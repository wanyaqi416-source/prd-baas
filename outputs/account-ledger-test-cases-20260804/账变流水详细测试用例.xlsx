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d-baas\outputs\account-ledger-test-cases-20260804\"/>
    </mc:Choice>
  </mc:AlternateContent>
  <bookViews>
    <workbookView windowWidth="27945" windowHeight="12375"/>
  </bookViews>
  <sheets>
    <sheet name="账变流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<sst xmlns="http://schemas.openxmlformats.org/spreadsheetml/2006/main" count="834" uniqueCount="480">
  <si>
    <t>用例编号</t>
  </si>
  <si>
    <t>模块</t>
  </si>
  <si>
    <t>优先级</t>
  </si>
  <si>
    <t>用例标题</t>
  </si>
  <si>
    <t>前置条件</t>
  </si>
  <si>
    <t>测试数据</t>
  </si>
  <si>
    <t>操作步骤</t>
  </si>
  <si>
    <t>预期结果</t>
  </si>
  <si>
    <t>页面入口与初始化</t>
  </si>
  <si>
    <t>P0</t>
  </si>
  <si>
    <t>从原型导航进入账变流水页面</t>
  </si>
  <si>
    <t>已使用具备管理端账变流水查看权限的运营账号登录；账变流水存在法币与数字资产模拟数据。</t>
  </si>
  <si>
    <t>入口：原型导航 → 账变流水 → 管理端</t>
  </si>
  <si>
    <t>1. 打开原型导航页。
2. 找到账变流水原型卡片。
3. 点击进入管理端。</t>
  </si>
  <si>
    <t>1. 成功进入账变流水页面。
2. 页面标题显示“账变流水”。
3. 页面无白屏、路由错误或控制台阻断性异常。</t>
  </si>
  <si>
    <t>P1</t>
  </si>
  <si>
    <t>页面标题与说明文案展示正确</t>
  </si>
  <si>
    <t>已使用具备管理端账变流水查看权限的运营账号登录；账变流水存在法币与数字资产模拟数据。
已进入管理端「账变流水」页面。</t>
  </si>
  <si>
    <t>标题：账变流水</t>
  </si>
  <si>
    <t>1. 查看页面顶部标题。
2. 查看标题下方说明文案。</t>
  </si>
  <si>
    <t>1. 标题为“账变流水”。
2. 说明文案明确法币与数字资产统一查询，并说明可通过业务交易编号关联多条账变。</t>
  </si>
  <si>
    <t>顶部不展示资产分类Tab</t>
  </si>
  <si>
    <t>不应出现：全部、法币、数字资产Tab</t>
  </si>
  <si>
    <t>1. 查看页面标题区域下方。
2. 检查是否存在“全部/法币/数字资产”切换按钮。</t>
  </si>
  <si>
    <t>页面顶部不展示“全部”“法币”“数字资产”Tab，账变数据直接统一展示。</t>
  </si>
  <si>
    <t>默认统一加载法币与数字资产账变</t>
  </si>
  <si>
    <t>法币示例：FL-20260804-0001
数字资产示例：DL-20260804-0001</t>
  </si>
  <si>
    <t>1. 不设置任何筛选条件。
2. 查看第一页数据。
3. 翻页查看后续数据。</t>
  </si>
  <si>
    <t>1. 列表同时包含FL开头的法币账变和DL开头的数字资产账变。
2. 不需要切换页面或Tab即可查看两类资产。</t>
  </si>
  <si>
    <t>页面刷新后恢复默认查询状态</t>
  </si>
  <si>
    <t>任意非默认筛选条件；任意非第一页页码</t>
  </si>
  <si>
    <t>1. 设置筛选条件并查询。
2. 切换到非第一页。
3. 刷新浏览器。</t>
  </si>
  <si>
    <t>1. 页面正常重新加载。
2. 按当前原型逻辑恢复默认未筛选状态。
3. 页码回到第1页。</t>
  </si>
  <si>
    <t>列表字段与展示</t>
  </si>
  <si>
    <t>列表字段顺序正确</t>
  </si>
  <si>
    <t>预期字段顺序见预期结果</t>
  </si>
  <si>
    <t>1. 横向查看完整表头。</t>
  </si>
  <si>
    <t>表头依次为：账变时间、交易编号、用户、交易类型、账户类型、币种、网络、变动金额、交易前余额、交易后余额、备注说明、操作。</t>
  </si>
  <si>
    <t>列表不展示资产类型列</t>
  </si>
  <si>
    <t>删除字段：资产类型</t>
  </si>
  <si>
    <t>1. 查看完整表头。
2. 横向滚动到表格末尾。</t>
  </si>
  <si>
    <t>列表中不存在“资产类型”列，其他字段顺序不受影响。</t>
  </si>
  <si>
    <t>交易编号列同时展示业务编号与账变流水号</t>
  </si>
  <si>
    <t>业务交易编号：OTC-20260804-0001
账变流水号：FL-20260804-0001</t>
  </si>
  <si>
    <t>1. 找到指定记录。
2. 查看“交易编号”单元格。</t>
  </si>
  <si>
    <t>1. 上方展示业务交易编号OTC-20260804-0001。
2. 下方展示“账变：FL-20260804-0001”。
3. 两个编号不会截断或错位。</t>
  </si>
  <si>
    <t>用户列展示姓名、用户ID和邮箱</t>
  </si>
  <si>
    <t>姓名：YAQI WAN
用户ID：6
邮箱：wanyaqi416@gmail.com</t>
  </si>
  <si>
    <t>1. 找到YAQI WAN的账变记录。
2. 查看用户列。</t>
  </si>
  <si>
    <t>1. 第一行展示用户姓名。
2. 第二行展示ID和邮箱。
3. 三项信息与账变所属用户一致。</t>
  </si>
  <si>
    <t>法币记录展示真实账户类型</t>
  </si>
  <si>
    <t>流水：FL-20260804-0001
账户类型：巴林账户
币种：EUR</t>
  </si>
  <si>
    <t>1. 找到指定法币记录。
2. 查看账户类型和币种列。</t>
  </si>
  <si>
    <t>账户类型展示“巴林账户”，币种展示“EUR”，不得展示为数字资产或其他法域账户。</t>
  </si>
  <si>
    <t>数字资产记录账户类型统一显示数字资产</t>
  </si>
  <si>
    <t>流水：DL-20260804-0001
币种：USDT
网络：TRC20</t>
  </si>
  <si>
    <t>1. 找到指定数字资产记录。
2. 查看账户类型列。</t>
  </si>
  <si>
    <t>账户类型显示“数字资产”，不得关联香港账户、新加坡账户、美国账户或巴林账户。</t>
  </si>
  <si>
    <t>交易类型以状态标签展示</t>
  </si>
  <si>
    <t>交易类型：OTC兑换、费用扣除、法币入金等</t>
  </si>
  <si>
    <t>1. 查看多条记录的交易类型列。</t>
  </si>
  <si>
    <t>每条记录展示唯一且完整的交易类型标签；标签文字不换行溢出，不与相邻列重叠。</t>
  </si>
  <si>
    <t>余额增加金额显示规则正确</t>
  </si>
  <si>
    <t>流水：FL-20260804-0001
变动金额：4.32 EUR</t>
  </si>
  <si>
    <t>1. 找到指定增加记录。
2. 查看变动金额。</t>
  </si>
  <si>
    <t>显示绿色“+4.32 EUR”；正号、数值、精度和币种完整。</t>
  </si>
  <si>
    <t>余额减少金额显示规则正确</t>
  </si>
  <si>
    <t>流水：DL-20260804-0001
变动金额：-5 USDT</t>
  </si>
  <si>
    <t>1. 找到指定减少记录。
2. 查看变动金额。</t>
  </si>
  <si>
    <t>显示红色“-5.00 USDT”；负号、数值、精度和币种完整。</t>
  </si>
  <si>
    <t>交易前后余额不显示正负号</t>
  </si>
  <si>
    <t>交易前余额：100.00 EUR
交易后余额：104.32 EUR</t>
  </si>
  <si>
    <t>1. 查看任意增加和减少记录的交易前余额、交易后余额。</t>
  </si>
  <si>
    <t>两个余额字段均显示绝对余额，不带“+”或“-”符号，币种精度正确。</t>
  </si>
  <si>
    <t>账变时间展示余额实际变动时间</t>
  </si>
  <si>
    <t>示例：2026-08-04 10:02:16</t>
  </si>
  <si>
    <t>1. 查看账变时间列。</t>
  </si>
  <si>
    <t>展示到秒的账变发生时间，字段名称为“账变时间”，不是提交时间或交易时间。</t>
  </si>
  <si>
    <t>备注说明与账变业务一致</t>
  </si>
  <si>
    <t>OTC记录：USDT兑换EUR，EUR转入巴林账户
费用扣除：账户管理费</t>
  </si>
  <si>
    <t>1. 查看不同交易类型的备注说明。</t>
  </si>
  <si>
    <t>备注能够说明余额变动原因、资金方向或业务背景，且与业务交易编号和交易类型一致。</t>
  </si>
  <si>
    <t>列表按账变时间倒序排列</t>
  </si>
  <si>
    <t>多条不同日期和时间的记录</t>
  </si>
  <si>
    <t>1. 记录第一页各行账变时间。
2. 翻到后续页面继续核对。</t>
  </si>
  <si>
    <t>账变时间从新到旧排列；后页记录时间不晚于前页最后一条。</t>
  </si>
  <si>
    <t>同一业务编号的关联账变相邻展示</t>
  </si>
  <si>
    <t>业务编号：OTC-20260804-0001</t>
  </si>
  <si>
    <t>1. 搜索或定位该业务编号。</t>
  </si>
  <si>
    <t>同一业务产生的数字资产扣减和法币增加记录使用相同业务编号，并在相同排序条件下相邻展示。</t>
  </si>
  <si>
    <t>表格横向滚动与固定列正常</t>
  </si>
  <si>
    <t>桌面端较窄窗口</t>
  </si>
  <si>
    <t>1. 缩小浏览器宽度。
2. 横向滚动表格。</t>
  </si>
  <si>
    <t>表格可横向滚动；左侧账变时间列和右侧操作列保持可见；内容不被强制压缩到不可读。</t>
  </si>
  <si>
    <t>列表无编辑或删除入口</t>
  </si>
  <si>
    <t>任意账变记录</t>
  </si>
  <si>
    <t>1. 查看每行操作列。</t>
  </si>
  <si>
    <t>操作列仅提供“查看”，不提供编辑、删除或直接修改余额的入口。</t>
  </si>
  <si>
    <t>查询筛选</t>
  </si>
  <si>
    <t>无筛选条件查询全部账变</t>
  </si>
  <si>
    <t>开始/结束时间、交易编号、用户、交易类型、变动方向均为空</t>
  </si>
  <si>
    <t>1. 点击重置。
2. 点击查询。</t>
  </si>
  <si>
    <t>返回全部26条账变数据；第一页显示1-6条，共26条。</t>
  </si>
  <si>
    <t>输入条件但未点击查询时列表不立即变化</t>
  </si>
  <si>
    <t>交易编号：OTC-20260804-0001</t>
  </si>
  <si>
    <t>1. 记录当前列表数量。
2. 在交易编号输入框输入测试值。
3. 暂不点击查询。</t>
  </si>
  <si>
    <t>列表仍保持上一次查询结果，只有点击“查询”后才应用新条件。</t>
  </si>
  <si>
    <t>按开始时间筛选且包含边界日期</t>
  </si>
  <si>
    <t>开始时间：2026-08-03</t>
  </si>
  <si>
    <t>1. 选择开始时间。
2. 点击查询。</t>
  </si>
  <si>
    <t>仅显示2026-08-03及之后发生的账变；2026-08-03当天记录被包含。</t>
  </si>
  <si>
    <t>按结束时间筛选且包含边界日期</t>
  </si>
  <si>
    <t>结束时间：2026-08-02</t>
  </si>
  <si>
    <t>1. 选择结束时间。
2. 点击查询。</t>
  </si>
  <si>
    <t>仅显示2026-08-02及之前发生的账变；2026-08-02当天记录被包含。</t>
  </si>
  <si>
    <t>按账变时间区间筛选</t>
  </si>
  <si>
    <t>开始时间：2026-08-02
结束时间：2026-08-03</t>
  </si>
  <si>
    <t>1. 设置开始和结束时间。
2. 点击查询。
3. 检查结果日期。</t>
  </si>
  <si>
    <t>结果仅包含2026-08-02至2026-08-03（含首尾日期）的记录。</t>
  </si>
  <si>
    <t>开始时间晚于结束时间时显示空结果</t>
  </si>
  <si>
    <t>开始时间：2026-08-04
结束时间：2026-08-01</t>
  </si>
  <si>
    <t>1. 设置反向日期区间。
2. 点击查询。</t>
  </si>
  <si>
    <t>无记录满足条件，页面显示空状态；不出现前端报错或旧结果残留。</t>
  </si>
  <si>
    <t>按完整业务交易编号查询</t>
  </si>
  <si>
    <t>业务交易编号：OTC-20260804-0001</t>
  </si>
  <si>
    <t>1. 输入完整业务交易编号。
2. 点击查询。</t>
  </si>
  <si>
    <t>返回该业务编号关联的全部账变，包括DL-20260804-0001和FL-20260804-0001。</t>
  </si>
  <si>
    <t>按部分业务交易编号模糊查询</t>
  </si>
  <si>
    <t>关键词：20260804-0001</t>
  </si>
  <si>
    <t>1. 输入部分编号。
2. 点击查询。</t>
  </si>
  <si>
    <t>返回业务编号或账变流水号中包含该关键词的记录。</t>
  </si>
  <si>
    <t>按完整账变流水号查询</t>
  </si>
  <si>
    <t>账变流水号：FL-20260804-0002</t>
  </si>
  <si>
    <t>1. 输入完整账变流水号。
2. 点击查询。</t>
  </si>
  <si>
    <t>仅返回指定账变流水，业务编号、用户和金额字段与原记录一致。</t>
  </si>
  <si>
    <t>交易编号查询不区分字母大小写</t>
  </si>
  <si>
    <t>关键词：otc-20260804-0001</t>
  </si>
  <si>
    <t>1. 输入小写交易编号。
2. 点击查询。</t>
  </si>
  <si>
    <t>仍可匹配大写存储的OTC业务编号并返回关联记录。</t>
  </si>
  <si>
    <t>按用户姓名查询</t>
  </si>
  <si>
    <t>用户姓名：YAQI WAN</t>
  </si>
  <si>
    <t>1. 输入完整用户姓名。
2. 点击查询。</t>
  </si>
  <si>
    <t>仅返回YAQI WAN名下的账变记录，其他用户记录不展示。</t>
  </si>
  <si>
    <t>按部分用户姓名模糊查询</t>
  </si>
  <si>
    <t>关键词：YAQI</t>
  </si>
  <si>
    <t>1. 输入部分姓名。
2. 点击查询。</t>
  </si>
  <si>
    <t>返回姓名中包含YAQI的用户账变，不要求完整匹配。</t>
  </si>
  <si>
    <t>按完整用户邮箱查询</t>
  </si>
  <si>
    <t>邮箱：voigtus1@123mails.org</t>
  </si>
  <si>
    <t>1. 输入完整邮箱。
2. 点击查询。</t>
  </si>
  <si>
    <t>仅返回该邮箱用户的账变记录，列表用户ID和姓名正确。</t>
  </si>
  <si>
    <t>用户邮箱查询不区分大小写</t>
  </si>
  <si>
    <t>邮箱：WANYAQI416@GMAIL.COM</t>
  </si>
  <si>
    <t>1. 输入大写邮箱。
2. 点击查询。</t>
  </si>
  <si>
    <t>能够匹配原小写邮箱并返回YAQI WAN的记录。</t>
  </si>
  <si>
    <t>按变动方向增加筛选</t>
  </si>
  <si>
    <t>变动方向：增加</t>
  </si>
  <si>
    <t>1. 选择“增加”。
2. 点击查询。
3. 检查每条变动金额。</t>
  </si>
  <si>
    <t>结果中所有变动金额均为绿色正数，不包含任何负数记录。</t>
  </si>
  <si>
    <t>按变动方向减少筛选</t>
  </si>
  <si>
    <t>变动方向：减少</t>
  </si>
  <si>
    <t>1. 选择“减少”。
2. 点击查询。
3. 检查每条变动金额。</t>
  </si>
  <si>
    <t>结果中所有变动金额均为红色负数，不包含任何正数记录。</t>
  </si>
  <si>
    <t>组合筛选条件取交集</t>
  </si>
  <si>
    <t>开始时间：2026-08-01
结束时间：2026-08-04
用户：YAQI WAN
交易类型：OTC兑换
方向：减少</t>
  </si>
  <si>
    <t>1. 依次填写全部条件。
2. 点击查询。
3. 核对每条结果。</t>
  </si>
  <si>
    <t>结果同时满足日期、用户、交易类型和减少方向，不返回只满足部分条件的记录。</t>
  </si>
  <si>
    <t>查询后自动返回第一页</t>
  </si>
  <si>
    <t>当前位于第3页；交易类型：法币入金</t>
  </si>
  <si>
    <t>1. 先翻到第3页。
2. 选择交易类型。
3. 点击查询。</t>
  </si>
  <si>
    <t>查询结果从第1页开始展示，分页数量按筛选结果重新计算。</t>
  </si>
  <si>
    <t>重置按钮清空全部筛选字段</t>
  </si>
  <si>
    <t>所有筛选字段均已填写</t>
  </si>
  <si>
    <t>1. 点击重置。
2. 查看每个筛选字段和列表。</t>
  </si>
  <si>
    <t>开始时间、结束时间、交易编号、用户姓名/邮箱、交易类型、变动方向全部恢复默认值；列表恢复全部数据并回到第1页。</t>
  </si>
  <si>
    <t>无匹配记录时展示空状态</t>
  </si>
  <si>
    <t>交易编号：NOT-EXIST-999999</t>
  </si>
  <si>
    <t>1. 输入不存在的编号。
2. 点击查询。</t>
  </si>
  <si>
    <t>1. 显示“暂无符合条件的账变流水”。
2. 展示调整筛选条件的说明。
3. 不显示旧数据和分页。
4. 导出按钮禁用。</t>
  </si>
  <si>
    <t>空状态重置筛选按钮恢复数据</t>
  </si>
  <si>
    <t>已通过不存在的编号进入空状态</t>
  </si>
  <si>
    <t>1. 点击空状态中的“重置筛选”。</t>
  </si>
  <si>
    <t>筛选字段清空，全部账变重新展示，分页恢复且页面回到第1页。</t>
  </si>
  <si>
    <t>交易类型筛选</t>
  </si>
  <si>
    <t>按“OTC兑换”筛选账变</t>
  </si>
  <si>
    <t>交易类型：OTC兑换
资产范围：法币与数字资产
示例业务编号：OTC-20260804-0001</t>
  </si>
  <si>
    <t>1. 在交易类型下拉框选择“OTC兑换”。
2. 点击查询。
3. 核对每条结果的交易类型。</t>
  </si>
  <si>
    <t>列表仅展示“OTC兑换”记录；资产范围符合法币与数字资产定义，示例业务编号可被查询到。</t>
  </si>
  <si>
    <t>按“费用扣除”筛选账变</t>
  </si>
  <si>
    <t>交易类型：费用扣除
资产范围：法币
示例业务编号：FEE-20260804-0018</t>
  </si>
  <si>
    <t>1. 在交易类型下拉框选择“费用扣除”。
2. 点击查询。
3. 核对每条结果的交易类型。</t>
  </si>
  <si>
    <t>列表仅展示“费用扣除”记录；资产范围符合法币定义，示例业务编号可被查询到。</t>
  </si>
  <si>
    <t>按“余额调整”筛选账变</t>
  </si>
  <si>
    <t>交易类型：余额调整
资产范围：法币
示例业务编号：ADJ-20260804-0007</t>
  </si>
  <si>
    <t>1. 在交易类型下拉框选择“余额调整”。
2. 点击查询。
3. 核对每条结果的交易类型。</t>
  </si>
  <si>
    <t>列表仅展示“余额调整”记录；资产范围符合法币定义，示例业务编号可被查询到。</t>
  </si>
  <si>
    <t>按“法币入金”筛选账变</t>
  </si>
  <si>
    <t>交易类型：法币入金
资产范围：法币
示例业务编号：DEP-20260803-0142</t>
  </si>
  <si>
    <t>1. 在交易类型下拉框选择“法币入金”。
2. 点击查询。
3. 核对每条结果的交易类型。</t>
  </si>
  <si>
    <t>列表仅展示“法币入金”记录；资产范围符合法币定义，示例业务编号可被查询到。</t>
  </si>
  <si>
    <t>按“法币出金”筛选账变</t>
  </si>
  <si>
    <t>交易类型：法币出金
资产范围：法币
示例业务编号：WDR-20260803-0031</t>
  </si>
  <si>
    <t>1. 在交易类型下拉框选择“法币出金”。
2. 点击查询。
3. 核对每条结果的交易类型。</t>
  </si>
  <si>
    <t>列表仅展示“法币出金”记录；资产范围符合法币定义，示例业务编号可被查询到。</t>
  </si>
  <si>
    <t>按“手续费扣除”筛选账变</t>
  </si>
  <si>
    <t>交易类型：手续费扣除
资产范围：法币与数字资产
示例业务编号：WDR-20260803-0031</t>
  </si>
  <si>
    <t>1. 在交易类型下拉框选择“手续费扣除”。
2. 点击查询。
3. 核对每条结果的交易类型。</t>
  </si>
  <si>
    <t>列表仅展示“手续费扣除”记录；资产范围符合法币与数字资产定义，示例业务编号可被查询到。</t>
  </si>
  <si>
    <t>按“资金互转”筛选账变</t>
  </si>
  <si>
    <t>交易类型：资金互转
资产范围：法币
示例业务编号：TRF-20260803-0088</t>
  </si>
  <si>
    <t>1. 在交易类型下拉框选择“资金互转”。
2. 点击查询。
3. 核对每条结果的交易类型。</t>
  </si>
  <si>
    <t>列表仅展示“资金互转”记录；资产范围符合法币定义，示例业务编号可被查询到。</t>
  </si>
  <si>
    <t>按“用户间转账”筛选账变</t>
  </si>
  <si>
    <t>交易类型：用户间转账
资产范围：法币与数字资产
示例业务编号：UTR-20260802-0026</t>
  </si>
  <si>
    <t>1. 在交易类型下拉框选择“用户间转账”。
2. 点击查询。
3. 核对每条结果的交易类型。</t>
  </si>
  <si>
    <t>列表仅展示“用户间转账”记录；资产范围符合法币与数字资产定义，示例业务编号可被查询到。</t>
  </si>
  <si>
    <t>按“手动入金”筛选账变</t>
  </si>
  <si>
    <t>交易类型：手动入金
资产范围：法币
示例业务编号：MDEP-20260802-0014</t>
  </si>
  <si>
    <t>1. 在交易类型下拉框选择“手动入金”。
2. 点击查询。
3. 核对每条结果的交易类型。</t>
  </si>
  <si>
    <t>列表仅展示“手动入金”记录；资产范围符合法币定义，示例业务编号可被查询到。</t>
  </si>
  <si>
    <t>按“手动出金”筛选账变</t>
  </si>
  <si>
    <t>交易类型：手动出金
资产范围：法币
示例业务编号：MWDR-20260801-0009</t>
  </si>
  <si>
    <t>1. 在交易类型下拉框选择“手动出金”。
2. 点击查询。
3. 核对每条结果的交易类型。</t>
  </si>
  <si>
    <t>列表仅展示“手动出金”记录；资产范围符合法币定义，示例业务编号可被查询到。</t>
  </si>
  <si>
    <t>按“开户费扣除”筛选账变</t>
  </si>
  <si>
    <t>交易类型：开户费扣除
资产范围：法币
示例业务编号：OPEN-20260801-0038</t>
  </si>
  <si>
    <t>1. 在交易类型下拉框选择“开户费扣除”。
2. 点击查询。
3. 核对每条结果的交易类型。</t>
  </si>
  <si>
    <t>列表仅展示“开户费扣除”记录；资产范围符合法币定义，示例业务编号可被查询到。</t>
  </si>
  <si>
    <t>按“退款”筛选账变</t>
  </si>
  <si>
    <t>交易类型：退款
资产范围：法币
示例业务编号：REF-20260731-0011</t>
  </si>
  <si>
    <t>1. 在交易类型下拉框选择“退款”。
2. 点击查询。
3. 核对每条结果的交易类型。</t>
  </si>
  <si>
    <t>列表仅展示“退款”记录；资产范围符合法币定义，示例业务编号可被查询到。</t>
  </si>
  <si>
    <t>按“收益发放”筛选账变</t>
  </si>
  <si>
    <t>交易类型：收益发放
资产范围：法币
示例业务编号：YLD-20260730-0042</t>
  </si>
  <si>
    <t>1. 在交易类型下拉框选择“收益发放”。
2. 点击查询。
3. 核对每条结果的交易类型。</t>
  </si>
  <si>
    <t>列表仅展示“收益发放”记录；资产范围符合法币定义，示例业务编号可被查询到。</t>
  </si>
  <si>
    <t>按“数字资产转入”筛选账变</t>
  </si>
  <si>
    <t>交易类型：数字资产转入
资产范围：数字资产
示例业务编号：DIN-20260804-0076</t>
  </si>
  <si>
    <t>1. 在交易类型下拉框选择“数字资产转入”。
2. 点击查询。
3. 核对每条结果的交易类型。</t>
  </si>
  <si>
    <t>列表仅展示“数字资产转入”记录；资产范围符合数字资产定义，示例业务编号可被查询到。</t>
  </si>
  <si>
    <t>按“数字资产转出”筛选账变</t>
  </si>
  <si>
    <t>交易类型：数字资产转出
资产范围：数字资产
示例业务编号：DOUT-20260803-0035</t>
  </si>
  <si>
    <t>1. 在交易类型下拉框选择“数字资产转出”。
2. 点击查询。
3. 核对每条结果的交易类型。</t>
  </si>
  <si>
    <t>列表仅展示“数字资产转出”记录；资产范围符合数字资产定义，示例业务编号可被查询到。</t>
  </si>
  <si>
    <t>按“归集”筛选账变</t>
  </si>
  <si>
    <t>交易类型：归集
资产范围：数字资产
示例业务编号：COLL-20260802-0041</t>
  </si>
  <si>
    <t>1. 在交易类型下拉框选择“归集”。
2. 点击查询。
3. 核对每条结果的交易类型。</t>
  </si>
  <si>
    <t>列表仅展示“归集”记录；资产范围符合数字资产定义，示例业务编号可被查询到。</t>
  </si>
  <si>
    <t>交易类型下拉包含当前全部合法类型</t>
  </si>
  <si>
    <t>法币与数字资产模拟数据均已加载</t>
  </si>
  <si>
    <t>1. 展开交易类型下拉框。</t>
  </si>
  <si>
    <t>下拉框包含法币和数字资产当前支持的交易类型以及“全部交易类型”，不存在重复选项。</t>
  </si>
  <si>
    <t>交易类型下拉不包含冲正</t>
  </si>
  <si>
    <t>已删除冲正类型</t>
  </si>
  <si>
    <t>下拉选项中不显示“冲正”，列表也不存在冲正类型模拟数据。</t>
  </si>
  <si>
    <t>数字资产交易类型范围正确</t>
  </si>
  <si>
    <t>数字资产记录</t>
  </si>
  <si>
    <t>1. 查询所有数字资产相关记录。2. 汇总其交易类型。</t>
  </si>
  <si>
    <t>数字资产仅出现：数字资产转入、数字资产转出、手续费扣除、OTC兑换、用户间转账、归集；不出现法币入金、法币出金、余额调整等类型。</t>
  </si>
  <si>
    <t>分页</t>
  </si>
  <si>
    <t>默认每页展示6条数据</t>
  </si>
  <si>
    <t>默认共26条账变数据</t>
  </si>
  <si>
    <t>1. 重置筛选。2. 统计第一页数据行。</t>
  </si>
  <si>
    <t>第一页展示6条数据；分页摘要显示“显示 1-6 条，共 26 条”。</t>
  </si>
  <si>
    <t>点击下一页切换数据</t>
  </si>
  <si>
    <t>当前位于第1页</t>
  </si>
  <si>
    <t>1. 点击下一页按钮。</t>
  </si>
  <si>
    <t>切换到第2页，展示第7-12条记录；页码2高亮，第一页数据不重复。</t>
  </si>
  <si>
    <t>点击上一页返回前一页</t>
  </si>
  <si>
    <t>当前位于第2页</t>
  </si>
  <si>
    <t>1. 点击上一页按钮。</t>
  </si>
  <si>
    <t>返回第1页，展示第1-6条记录；页码1高亮。</t>
  </si>
  <si>
    <t>点击指定页码跳转</t>
  </si>
  <si>
    <t>默认存在多页数据</t>
  </si>
  <si>
    <t>1. 点击页码3。</t>
  </si>
  <si>
    <t>直接展示第13-18条记录；页码3高亮，分页摘要同步更新。</t>
  </si>
  <si>
    <t>第一页禁用上一页按钮</t>
  </si>
  <si>
    <t>1. 查看并点击上一页按钮。</t>
  </si>
  <si>
    <t>上一页按钮为禁用状态，点击后页码和数据不变化。</t>
  </si>
  <si>
    <t>最后一页禁用下一页按钮</t>
  </si>
  <si>
    <t>共26条数据，每页6条，当前位于第5页</t>
  </si>
  <si>
    <t>1. 查看并点击下一页按钮。</t>
  </si>
  <si>
    <t>下一页按钮禁用；最后一页显示第25-26条，共26条。</t>
  </si>
  <si>
    <t>筛选结果不足一页时分页同步</t>
  </si>
  <si>
    <t>交易类型：归集</t>
  </si>
  <si>
    <t>1. 选择归集并查询。</t>
  </si>
  <si>
    <t>仅展示匹配记录；分页总数和显示区间按结果更新，不展示不存在的后续页码。</t>
  </si>
  <si>
    <t>空结果时隐藏分页</t>
  </si>
  <si>
    <t>1. 查询不存在的编号。</t>
  </si>
  <si>
    <t>显示空状态且分页区域不展示，不出现“显示1-0条”等异常文案。</t>
  </si>
  <si>
    <t>账变详情</t>
  </si>
  <si>
    <t>点击查看打开账变详情抽屉</t>
  </si>
  <si>
    <t>1. 点击该行“查看”按钮。</t>
  </si>
  <si>
    <t>右侧打开“账变详情”抽屉；抽屉顶部展示当前账变流水号，列表仍保留在背景中。</t>
  </si>
  <si>
    <t>详情公共字段展示完整</t>
  </si>
  <si>
    <t>流水：FL-20260804-0001</t>
  </si>
  <si>
    <t>1. 打开指定流水详情。2. 逐项核对字段。</t>
  </si>
  <si>
    <t>展示账变流水号、业务交易编号、用户姓名/ID/邮箱、交易类型、资产分类、币种、变动方向、变动金额、交易前余额、交易后余额、手续费、备注说明、账变时间、完成时间。</t>
  </si>
  <si>
    <t>法币详情展示账户类型且不展示网络</t>
  </si>
  <si>
    <t>流水：FL-20260804-0001；巴林账户EUR</t>
  </si>
  <si>
    <t>1. 打开法币流水详情。</t>
  </si>
  <si>
    <t>资产分类显示“法币”；展示账户类型“巴林账户”；不展示网络字段。</t>
  </si>
  <si>
    <t>数字资产详情展示网络且不展示法域账户</t>
  </si>
  <si>
    <t>流水：DL-20260804-0001；USDT/TRC20</t>
  </si>
  <si>
    <t>1. 打开数字资产流水详情。</t>
  </si>
  <si>
    <t>资产分类显示“数字资产”；展示币种USDT和网络TRC20；不展示香港/新加坡/美国/巴林账户类型。</t>
  </si>
  <si>
    <t>增加方向详情展示正确</t>
  </si>
  <si>
    <t>流水：FL-20260804-0001；金额+4.32 EUR</t>
  </si>
  <si>
    <t>1. 打开详情。2. 查看方向和金额。</t>
  </si>
  <si>
    <t>方向标签为“增加”；金额为绿色正数+4.32 EUR；前后余额与列表一致。</t>
  </si>
  <si>
    <t>减少方向详情展示正确</t>
  </si>
  <si>
    <t>流水：DL-20260804-0001；金额-5.00 USDT</t>
  </si>
  <si>
    <t>方向标签为“减少”；金额为红色负数-5.00 USDT；前后余额与列表一致。</t>
  </si>
  <si>
    <t>手续费为0时显示免费</t>
  </si>
  <si>
    <t>流水：FL-20260804-0001；fee=0</t>
  </si>
  <si>
    <t>1. 打开详情。2. 查看手续费字段。</t>
  </si>
  <si>
    <t>手续费显示“免费”，不显示0.00金额，也不展示手续费账变入口。</t>
  </si>
  <si>
    <t>存在手续费时展示金额与手续费账变入口</t>
  </si>
  <si>
    <t>业务：WDR-20260803-0031；手续费5.00 USD</t>
  </si>
  <si>
    <t>1. 打开法币出金主账变详情。2. 查看手续费字段。</t>
  </si>
  <si>
    <t>显示5.00 USD，并展示“查看手续费账变”入口；手续费值与独立手续费流水一致。</t>
  </si>
  <si>
    <t>点击查看手续费账变切换到独立流水</t>
  </si>
  <si>
    <t>主流水：FL-20260803-0005；手续费流水：FL-20260803-0018</t>
  </si>
  <si>
    <t>1. 打开主流水详情。2. 点击“查看手续费账变”。</t>
  </si>
  <si>
    <t>详情切换到FL-20260803-0018；交易类型为手续费扣除；账变性质显示“手续费账变”；业务编号保持WDR-20260803-0031。</t>
  </si>
  <si>
    <t>独立手续费流水不重复展示手续费字段</t>
  </si>
  <si>
    <t>手续费流水：FL-20260803-0018或DL-20260803-0013</t>
  </si>
  <si>
    <t>1. 打开手续费流水详情。</t>
  </si>
  <si>
    <t>展示“账变性质：手续费账变”，不再把自身手续费重复显示为新的手续费。</t>
  </si>
  <si>
    <t>列表与详情字段数据一致</t>
  </si>
  <si>
    <t>任选法币和数字资产记录各1条</t>
  </si>
  <si>
    <t>1. 记录列表中的编号、用户、类型、金额、前后余额。2. 打开详情比对。</t>
  </si>
  <si>
    <t>列表与详情所有重叠字段一致，不发生币种、符号、精度或用户串数据。</t>
  </si>
  <si>
    <t>点击底部关闭按钮关闭详情</t>
  </si>
  <si>
    <t>详情抽屉已打开</t>
  </si>
  <si>
    <t>1. 点击底部“关闭”按钮。</t>
  </si>
  <si>
    <t>抽屉关闭并返回原列表；原筛选条件和页码保持不变。</t>
  </si>
  <si>
    <t>点击抽屉关闭图标关闭详情</t>
  </si>
  <si>
    <t>1. 点击抽屉右上角关闭图标。</t>
  </si>
  <si>
    <t>抽屉关闭；列表状态、筛选条件和页码不丢失。</t>
  </si>
  <si>
    <t>关联账变与关联交易</t>
  </si>
  <si>
    <t>同一OTC业务展示跨资产关联账变</t>
  </si>
  <si>
    <t>1. 打开DL-20260804-0001详情。2. 查看关联账变区域。</t>
  </si>
  <si>
    <t>关联账变显示FL-20260804-0001；展示巴林账户/EUR和+4.32 EUR；两条记录业务编号一致。</t>
  </si>
  <si>
    <t>点击关联账变切换详情</t>
  </si>
  <si>
    <t>当前详情：DL-20260804-0001；关联：FL-20260804-0001</t>
  </si>
  <si>
    <t>1. 点击关联账变FL-20260804-0001。</t>
  </si>
  <si>
    <t>详情切换为法币账变，标题流水号、账户类型、币种、金额和余额全部更新；不叠加第二个详情抽屉。</t>
  </si>
  <si>
    <t>本人账户互转展示成对账变</t>
  </si>
  <si>
    <t>业务编号：TRF-20260803-0088</t>
  </si>
  <si>
    <t>1. 打开香港账户HKD扣减记录详情。2. 查看关联账变。</t>
  </si>
  <si>
    <t>显示新加坡账户HKD增加记录；两条金额绝对值相等、方向相反、业务编号一致。</t>
  </si>
  <si>
    <t>用户间转账展示付款方与收款方账变</t>
  </si>
  <si>
    <t>业务编号：UTR-20260802-0026</t>
  </si>
  <si>
    <t>1. 打开付款方减少记录详情。2. 查看关联账变。</t>
  </si>
  <si>
    <t>显示收款方增加记录；用户、账户、方向分别正确；同一业务只通过业务编号关联，不合并成一条账变。</t>
  </si>
  <si>
    <t>单条业务显示无其他关联账变提示</t>
  </si>
  <si>
    <t>流水：FL-20260804-0002；业务仅1条账变</t>
  </si>
  <si>
    <t>1. 打开详情。2. 查看关联账变区域。</t>
  </si>
  <si>
    <t>关联数量为0条，并显示“该业务当前仅产生一条账变记录”，不展示空白列表。</t>
  </si>
  <si>
    <t>关联账变数量不包含当前流水</t>
  </si>
  <si>
    <t>业务编号：OTC-20260804-0001，共2条账变</t>
  </si>
  <si>
    <t>1. 打开其中任意一条详情。</t>
  </si>
  <si>
    <t>关联账变区域显示1条，仅统计除当前流水之外的其他账变。</t>
  </si>
  <si>
    <t>查看关联交易打开原始业务摘要</t>
  </si>
  <si>
    <t>任意账变详情已打开</t>
  </si>
  <si>
    <t>1. 点击“查看关联交易”。</t>
  </si>
  <si>
    <t>账变详情关闭并打开“{交易类型}关联交易”抽屉；顶部展示业务交易编号。</t>
  </si>
  <si>
    <t>关联交易字段展示完整</t>
  </si>
  <si>
    <t>1. 打开关联交易抽屉。2. 逐项核对。</t>
  </si>
  <si>
    <t>展示业务交易编号、交易类型、用户信息、已完成状态、关联账变数量、当前资产、交易摘要和完成时间。</t>
  </si>
  <si>
    <t>关联交易数量统计同业务全部账变</t>
  </si>
  <si>
    <t>OTC-20260804-0001包含2条账变</t>
  </si>
  <si>
    <t>1. 打开该业务的关联交易抽屉。</t>
  </si>
  <si>
    <t>提示和字段均显示关联账变2条，统计包含当前账变和其他关联账变。</t>
  </si>
  <si>
    <t>从关联交易返回账变详情</t>
  </si>
  <si>
    <t>关联交易抽屉已打开</t>
  </si>
  <si>
    <t>1. 点击“返回账变详情”。</t>
  </si>
  <si>
    <t>关闭关联交易抽屉并重新打开进入前的账变详情，当前流水信息保持不变。</t>
  </si>
  <si>
    <t>关闭关联交易返回列表</t>
  </si>
  <si>
    <t>1. 点击“关闭”。</t>
  </si>
  <si>
    <t>抽屉关闭并返回账变列表；筛选条件和页码保持不变。</t>
  </si>
  <si>
    <t>金额与数据一致性</t>
  </si>
  <si>
    <t>账变流水号全局唯一</t>
  </si>
  <si>
    <t>全部账变数据</t>
  </si>
  <si>
    <t>1. 导出全部数据。2. 检查账变流水号重复值。</t>
  </si>
  <si>
    <t>每条余额变化拥有唯一账变流水号；不存在相同流水号对应不同业务或不同用户。</t>
  </si>
  <si>
    <t>多条账变使用同一业务编号关联</t>
  </si>
  <si>
    <t>OTC、资金互转、用户间转账</t>
  </si>
  <si>
    <t>1. 分别查询示例业务编号。2. 核对关联记录。</t>
  </si>
  <si>
    <t>同一业务产生的多条账变业务编号一致，但账变流水号不同；详情可互相关联。</t>
  </si>
  <si>
    <t>数字资产不关联法域账户</t>
  </si>
  <si>
    <t>全部数字资产账变</t>
  </si>
  <si>
    <t>1. 查询数字资产记录。2. 检查列表与详情。</t>
  </si>
  <si>
    <t>列表账户类型统一显示“数字资产”；详情不展示法域账户类型；网络字段正常展示。</t>
  </si>
  <si>
    <t>账变时间与完成时间逻辑合理</t>
  </si>
  <si>
    <t>任意已完成账变</t>
  </si>
  <si>
    <t>1. 打开详情。2. 对比账变时间与完成时间。</t>
  </si>
  <si>
    <t>两个时间格式一致且精确到秒；完成时间不早于账变时间。</t>
  </si>
  <si>
    <t>账变记录不可被直接编辑或删除</t>
  </si>
  <si>
    <t>1. 查看列表操作。2. 查看详情底部操作。</t>
  </si>
  <si>
    <t>不存在编辑、删除、修改金额或修改余额按钮；账变作为历史审计记录只读保存。</t>
  </si>
  <si>
    <t>重复业务事件不重复生成账变</t>
  </si>
  <si>
    <t>具备可重复发送同一业务完成事件的测试环境；使用同一幂等业务编号。</t>
  </si>
  <si>
    <t>业务编号：IDEMP-20260804-0001</t>
  </si>
  <si>
    <t>1. 首次触发余额变化事件。2. 使用相同业务编号和幂等键再次触发。3. 查询账变。</t>
  </si>
  <si>
    <t>仅生成一次对应账变；用户余额只变化一次；不会产生重复流水号或重复扣增。</t>
  </si>
  <si>
    <t>业务流水生成</t>
  </si>
  <si>
    <t>客户端法币入金完成后生成账变</t>
  </si>
  <si>
    <t>对应业务已成功完成并实际改变用户可用余额；可查询原业务订单和余额。</t>
  </si>
  <si>
    <t>香港账户USD入金1000.00</t>
  </si>
  <si>
    <t>1. 完成法币入金业务。
2. 记录变动前后余额。
3. 按业务编号查询账变。
4. 核对列表和详情。</t>
  </si>
  <si>
    <t>生成一条USD增加账变；</t>
  </si>
  <si>
    <t>客户端法币出金完成后生成账变</t>
  </si>
  <si>
    <t>巴林账户USD出金300.00</t>
  </si>
  <si>
    <t>1. 完成法币出金业务。
2. 记录变动前后余额。
3. 按业务编号查询账变。
4. 核对列表和详情。</t>
  </si>
  <si>
    <t>生成一条USD减少账变；</t>
  </si>
  <si>
    <t>法币手动入金完成后生成账变</t>
  </si>
  <si>
    <t>香港账户CNY手动入金500.00</t>
  </si>
  <si>
    <t>1. 完成手动入金业务。
2. 记录变动前后余额。
3. 按业务编号查询账变。
4. 核对列表和详情。</t>
  </si>
  <si>
    <t>生成手动入金增加账变，不混记为普通法币入金。</t>
  </si>
  <si>
    <t>法币手动出金完成后生成账变</t>
  </si>
  <si>
    <t>新加坡账户AED手动出金100.00</t>
  </si>
  <si>
    <t>1. 完成手动出金业务。
2. 记录变动前后余额。
3. 按业务编号查询账变。
4. 核对列表和详情。</t>
  </si>
  <si>
    <t>生成手动出金减少账变，不混记为普通法币出金。</t>
  </si>
  <si>
    <t>数字货币手动入金完成后生成账变</t>
  </si>
  <si>
    <t>数字货币手动出金完成后生成账变</t>
  </si>
  <si>
    <t>费用扣除完成后生成账变</t>
  </si>
  <si>
    <t>香港账户USD扣除账户管理费2.00</t>
  </si>
  <si>
    <t>1. 完成费用扣除业务。
2. 记录变动前后余额。
3. 按业务编号查询账变。
4. 核对列表和详情。</t>
  </si>
  <si>
    <t>生成费用扣除减少账变；备注记录自定义扣费原因；不计入银行出金。</t>
  </si>
  <si>
    <t>余额调整-增加完成后生成账变</t>
  </si>
  <si>
    <t>新加坡账户SGD调增10.00</t>
  </si>
  <si>
    <t>1. 完成余额调整-增加业务。
2. 记录变动前后余额。
3. 按业务编号查询账变。
4. 核对列表和详情。</t>
  </si>
  <si>
    <t>生成余额调整增加账变，保存调账前后余额和业务编号。</t>
  </si>
  <si>
    <t>余额调整-扣减完成后生成账变</t>
  </si>
  <si>
    <t>巴林账户BHD调减5.125</t>
  </si>
  <si>
    <t>1. 完成余额调整-扣减业务。
2. 记录变动前后余额。
3. 按业务编号查询账变。
4. 核对列表和详情。</t>
  </si>
  <si>
    <t>生成余额调整减少账变，精度为3位且不得超过可用余额。</t>
  </si>
  <si>
    <t>客户端开户费扣除完成后生成账变</t>
  </si>
  <si>
    <t>香港账户USD扣除开户费50.00</t>
  </si>
  <si>
    <t>1. 完成开户费扣除业务。
2. 记录变动前后余额。
3. 按业务编号查询账变。
4. 核对列表和详情。</t>
  </si>
  <si>
    <t>生成开户费扣除减少账变，并关联对应账户申请业务。</t>
  </si>
  <si>
    <t>管理端开户费扣除完成后生成账变</t>
  </si>
  <si>
    <t>退款完成后生成账变</t>
  </si>
  <si>
    <t>巴林账户EUR退款25.00</t>
  </si>
  <si>
    <t>1. 完成退款业务。
2. 记录变动前后余额。
3. 按业务编号查询账变。
4. 核对列表和详情。</t>
  </si>
  <si>
    <t>生成退款增加账变；交易类型不得记录为普通入金。</t>
  </si>
  <si>
    <t>数字资产转入完成后生成账变</t>
  </si>
  <si>
    <t>USDT/ERC20转入250.00</t>
  </si>
  <si>
    <t>1. 完成数字资产转入业务。
2. 记录变动前后余额。
3. 按业务编号查询账变。
4. 核对列表和详情。</t>
  </si>
  <si>
    <t>生成数字资产转入增加账变；币种USDT与网络ERC20分开保存。</t>
  </si>
  <si>
    <t>数字资产转出完成后生成账变</t>
  </si>
  <si>
    <t>ETH/Ethereum转出1.250000</t>
  </si>
  <si>
    <t>1. 完成数字资产转出业务。
2. 记录变动前后余额。
3. 按业务编号查询账变。
4. 核对列表和详情。</t>
  </si>
  <si>
    <t>生成数字资产转出减少账变；按ETH 6位精度保存。</t>
  </si>
  <si>
    <t>数字资产用户间转账完成后生成账变</t>
  </si>
  <si>
    <t>USDT/ERC20收款15.00</t>
  </si>
  <si>
    <t>1. 完成数字资产用户间转账业务。
2. 记录变动前后余额。
3. 按业务编号查询账变。
4. 核对列表和详情。</t>
  </si>
  <si>
    <t>付款方和收款方分别生成减少/增加账变，使用同一业务编号。</t>
  </si>
  <si>
    <t>OTC兑换分别生成来源与目标资产账变</t>
  </si>
  <si>
    <t>用户有10.00 USDT；巴林账户有100.00 EUR；OTC交易可成功完成。</t>
  </si>
  <si>
    <t>卖出：5.00 USDT/TRC20
买入：4.32 EUR
目标账户：巴林账户
业务编号：OTC-20260804-0001</t>
  </si>
  <si>
    <t>1. 完成OTC兑换。
2. 使用业务编号查询账变。
3. 分别核对数字资产和法币余额。</t>
  </si>
  <si>
    <t>1. 生成USDT减少账变：10.00-5.00=5.00。
2. 生成巴林账户EUR增加账变：100.00+4.32=104.32。
3. 两条账变业务编号一致、流水号不同且可互相关联。</t>
  </si>
  <si>
    <t>本人账户互转生成转出与转入两条账变</t>
  </si>
  <si>
    <t>用户同时拥有香港账户和新加坡账户，两个账户均支持HKD。</t>
  </si>
  <si>
    <t>转出：香港账户HKD 2000.00
转入：新加坡账户HKD 2000.00
业务编号：TRF-20260803-0088</t>
  </si>
  <si>
    <t>1. 完成资金互转。
2. 查询业务编号。</t>
  </si>
  <si>
    <t>香港账户生成-2000.00 HKD，新加坡账户生成+2000.00 HKD；两条记录用户相同、业务编号一致、账户类型不同。</t>
  </si>
  <si>
    <t>用户间转账生成付款方与收款方两条账变</t>
  </si>
  <si>
    <t>付款方和收款方均有可用的法币账户。</t>
  </si>
  <si>
    <t>付款方：YUE QI/新加坡账户
收款方：YAQI WAN/巴林账户
金额：150.00 USD
业务编号：UTR-20260802-0026</t>
  </si>
  <si>
    <t>1. 完成用户间转账。
2. 查询业务编号。</t>
  </si>
  <si>
    <t>付款方生成-150.00 USD，收款方生成+150.00 USD；用户信息、账户类型和余额分别准确。</t>
  </si>
  <si>
    <t>异常与稳定性</t>
  </si>
  <si>
    <t>快速连续点击查询不会产生异常</t>
  </si>
  <si>
    <t>任意筛选条件</t>
  </si>
  <si>
    <t>1. 连续快速点击查询按钮多次。</t>
  </si>
  <si>
    <t>页面稳定，最终结果一致，不出现重复行、闪烁到错误页码或报错。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</si>
</sst>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color rgb="FFFFFFFF"/>
      <name val="Microsoft YaHei"/>
      <charset val="134"/>
    </font>
    <font>
      <sz val="10"/>
      <color rgb="FF1F2937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dashed">
        <color rgb="FFD9E2F3"/>
      </left>
      <right style="dashed">
        <color rgb="FFD9E2F3"/>
      </right>
      <top style="dashed">
        <color rgb="FFD9E2F3"/>
      </top>
      <bottom style="dashed">
        <color rgb="FFD9E2F3"/>
      </bottom>
      <diagonal/>
    </border>
    <border>
      <left style="dashed">
        <color rgb="FFAEB6C4"/>
      </left>
      <right style="dashed">
        <color rgb="FFAEB6C4"/>
      </right>
      <top style="dashed">
        <color rgb="FFAEB6C4"/>
      </top>
      <bottom style="dashed">
        <color rgb="FFAEB6C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0" fillId="2" borderId="0" xfId="49" applyFill="1"/>
    <xf numFmtId="0" fontId="1" fillId="3" borderId="1" xfId="49" applyNumberFormat="1" applyFont="1" applyFill="1" applyBorder="1" applyAlignment="1">
      <alignment horizontal="center" vertical="center" wrapText="1"/>
    </xf>
    <xf numFmtId="0" fontId="2" fillId="4" borderId="2" xfId="49" applyNumberFormat="1" applyFont="1" applyFill="1" applyBorder="1" applyAlignment="1">
      <alignment horizontal="center" vertical="top" wrapText="1"/>
    </xf>
    <xf numFmtId="0" fontId="2" fillId="4" borderId="2" xfId="49" applyNumberFormat="1" applyFont="1" applyFill="1" applyBorder="1" applyAlignment="1">
      <alignment horizontal="left" vertical="top" wrapText="1"/>
    </xf>
    <xf numFmtId="0" fontId="2" fillId="5" borderId="2" xfId="49" applyNumberFormat="1" applyFont="1" applyFill="1" applyBorder="1" applyAlignment="1">
      <alignment horizontal="center" vertical="top" wrapText="1"/>
    </xf>
    <xf numFmtId="0" fontId="2" fillId="5" borderId="2" xfId="49" applyNumberFormat="1" applyFont="1" applyFill="1" applyBorder="1" applyAlignment="1">
      <alignment horizontal="left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9"/>
  <sheetViews>
    <sheetView showGridLines="0" tabSelected="1" topLeftCell="A82" workbookViewId="0">
      <selection activeCell="D86" sqref="D86"/>
    </sheetView>
  </sheetViews>
  <sheetFormatPr defaultColWidth="9" defaultRowHeight="14.25" outlineLevelCol="7"/>
  <cols>
    <col min="1" max="1" width="12" customWidth="1"/>
    <col min="2" max="2" width="16" customWidth="1"/>
    <col min="3" max="3" width="5.375" customWidth="1"/>
    <col min="4" max="4" width="30.5" customWidth="1"/>
    <col min="5" max="5" width="36.25" customWidth="1"/>
    <col min="6" max="6" width="32" customWidth="1"/>
    <col min="7" max="7" width="53.75" customWidth="1"/>
    <col min="8" max="8" width="56.25" customWidth="1"/>
  </cols>
  <sheetData>
    <row r="1" ht="27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="1" customFormat="1" ht="69" customHeight="1" spans="1:8">
      <c r="A2" s="3" t="str">
        <f>IF(D2="","","ZB-"&amp;TEXT(ROW()-1,"000"))</f>
        <v>ZB-001</v>
      </c>
      <c r="B2" s="4" t="s">
        <v>8</v>
      </c>
      <c r="C2" s="3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</row>
    <row r="3" s="1" customFormat="1" ht="69" customHeight="1" spans="1:8">
      <c r="A3" s="3" t="str">
        <f>IF(D3="","","ZB-"&amp;TEXT(ROW()-1,"000"))</f>
        <v>ZB-002</v>
      </c>
      <c r="B3" s="4" t="s">
        <v>8</v>
      </c>
      <c r="C3" s="3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</row>
    <row r="4" s="1" customFormat="1" ht="69" customHeight="1" spans="1:8">
      <c r="A4" s="3" t="str">
        <f>IF(D4="","","ZB-"&amp;TEXT(ROW()-1,"000"))</f>
        <v>ZB-003</v>
      </c>
      <c r="B4" s="4" t="s">
        <v>8</v>
      </c>
      <c r="C4" s="3" t="s">
        <v>9</v>
      </c>
      <c r="D4" s="4" t="s">
        <v>21</v>
      </c>
      <c r="E4" s="4" t="s">
        <v>17</v>
      </c>
      <c r="F4" s="4" t="s">
        <v>22</v>
      </c>
      <c r="G4" s="4" t="s">
        <v>23</v>
      </c>
      <c r="H4" s="4" t="s">
        <v>24</v>
      </c>
    </row>
    <row r="5" s="1" customFormat="1" ht="69" customHeight="1" spans="1:8">
      <c r="A5" s="3" t="str">
        <f>IF(D5="","","ZB-"&amp;TEXT(ROW()-1,"000"))</f>
        <v>ZB-004</v>
      </c>
      <c r="B5" s="4" t="s">
        <v>8</v>
      </c>
      <c r="C5" s="3" t="s">
        <v>9</v>
      </c>
      <c r="D5" s="4" t="s">
        <v>25</v>
      </c>
      <c r="E5" s="4" t="s">
        <v>17</v>
      </c>
      <c r="F5" s="4" t="s">
        <v>26</v>
      </c>
      <c r="G5" s="4" t="s">
        <v>27</v>
      </c>
      <c r="H5" s="4" t="s">
        <v>28</v>
      </c>
    </row>
    <row r="6" s="1" customFormat="1" ht="69" customHeight="1" spans="1:8">
      <c r="A6" s="3" t="str">
        <f>IF(D6="","","ZB-"&amp;TEXT(ROW()-1,"000"))</f>
        <v>ZB-005</v>
      </c>
      <c r="B6" s="4" t="s">
        <v>8</v>
      </c>
      <c r="C6" s="3" t="s">
        <v>15</v>
      </c>
      <c r="D6" s="4" t="s">
        <v>29</v>
      </c>
      <c r="E6" s="4" t="s">
        <v>17</v>
      </c>
      <c r="F6" s="4" t="s">
        <v>30</v>
      </c>
      <c r="G6" s="4" t="s">
        <v>31</v>
      </c>
      <c r="H6" s="4" t="s">
        <v>32</v>
      </c>
    </row>
    <row r="7" s="1" customFormat="1" ht="69" customHeight="1" spans="1:8">
      <c r="A7" s="3" t="str">
        <f>IF(D7="","","ZB-"&amp;TEXT(ROW()-1,"000"))</f>
        <v>ZB-006</v>
      </c>
      <c r="B7" s="4" t="s">
        <v>33</v>
      </c>
      <c r="C7" s="3" t="s">
        <v>9</v>
      </c>
      <c r="D7" s="4" t="s">
        <v>34</v>
      </c>
      <c r="E7" s="4" t="s">
        <v>17</v>
      </c>
      <c r="F7" s="4" t="s">
        <v>35</v>
      </c>
      <c r="G7" s="4" t="s">
        <v>36</v>
      </c>
      <c r="H7" s="4" t="s">
        <v>37</v>
      </c>
    </row>
    <row r="8" s="1" customFormat="1" ht="69" customHeight="1" spans="1:8">
      <c r="A8" s="3" t="str">
        <f>IF(D8="","","ZB-"&amp;TEXT(ROW()-1,"000"))</f>
        <v>ZB-007</v>
      </c>
      <c r="B8" s="4" t="s">
        <v>33</v>
      </c>
      <c r="C8" s="3" t="s">
        <v>9</v>
      </c>
      <c r="D8" s="4" t="s">
        <v>38</v>
      </c>
      <c r="E8" s="4" t="s">
        <v>17</v>
      </c>
      <c r="F8" s="4" t="s">
        <v>39</v>
      </c>
      <c r="G8" s="4" t="s">
        <v>40</v>
      </c>
      <c r="H8" s="4" t="s">
        <v>41</v>
      </c>
    </row>
    <row r="9" s="1" customFormat="1" ht="69" customHeight="1" spans="1:8">
      <c r="A9" s="3" t="str">
        <f>IF(D9="","","ZB-"&amp;TEXT(ROW()-1,"000"))</f>
        <v>ZB-008</v>
      </c>
      <c r="B9" s="4" t="s">
        <v>33</v>
      </c>
      <c r="C9" s="3" t="s">
        <v>9</v>
      </c>
      <c r="D9" s="4" t="s">
        <v>42</v>
      </c>
      <c r="E9" s="4" t="s">
        <v>17</v>
      </c>
      <c r="F9" s="4" t="s">
        <v>43</v>
      </c>
      <c r="G9" s="4" t="s">
        <v>44</v>
      </c>
      <c r="H9" s="4" t="s">
        <v>45</v>
      </c>
    </row>
    <row r="10" s="1" customFormat="1" ht="69" customHeight="1" spans="1:8">
      <c r="A10" s="3" t="str">
        <f>IF(D10="","","ZB-"&amp;TEXT(ROW()-1,"000"))</f>
        <v>ZB-009</v>
      </c>
      <c r="B10" s="4" t="s">
        <v>33</v>
      </c>
      <c r="C10" s="3" t="s">
        <v>9</v>
      </c>
      <c r="D10" s="4" t="s">
        <v>46</v>
      </c>
      <c r="E10" s="4" t="s">
        <v>17</v>
      </c>
      <c r="F10" s="4" t="s">
        <v>47</v>
      </c>
      <c r="G10" s="4" t="s">
        <v>48</v>
      </c>
      <c r="H10" s="4" t="s">
        <v>49</v>
      </c>
    </row>
    <row r="11" s="1" customFormat="1" ht="69" customHeight="1" spans="1:8">
      <c r="A11" s="3" t="str">
        <f>IF(D11="","","ZB-"&amp;TEXT(ROW()-1,"000"))</f>
        <v>ZB-010</v>
      </c>
      <c r="B11" s="4" t="s">
        <v>33</v>
      </c>
      <c r="C11" s="3" t="s">
        <v>9</v>
      </c>
      <c r="D11" s="4" t="s">
        <v>50</v>
      </c>
      <c r="E11" s="4" t="s">
        <v>17</v>
      </c>
      <c r="F11" s="4" t="s">
        <v>51</v>
      </c>
      <c r="G11" s="4" t="s">
        <v>52</v>
      </c>
      <c r="H11" s="4" t="s">
        <v>53</v>
      </c>
    </row>
    <row r="12" s="1" customFormat="1" ht="69" customHeight="1" spans="1:8">
      <c r="A12" s="3" t="str">
        <f>IF(D12="","","ZB-"&amp;TEXT(ROW()-1,"000"))</f>
        <v>ZB-011</v>
      </c>
      <c r="B12" s="4" t="s">
        <v>33</v>
      </c>
      <c r="C12" s="3" t="s">
        <v>9</v>
      </c>
      <c r="D12" s="4" t="s">
        <v>54</v>
      </c>
      <c r="E12" s="4" t="s">
        <v>17</v>
      </c>
      <c r="F12" s="4" t="s">
        <v>55</v>
      </c>
      <c r="G12" s="4" t="s">
        <v>56</v>
      </c>
      <c r="H12" s="4" t="s">
        <v>57</v>
      </c>
    </row>
    <row r="13" s="1" customFormat="1" ht="69" customHeight="1" spans="1:8">
      <c r="A13" s="3" t="str">
        <f>IF(D13="","","ZB-"&amp;TEXT(ROW()-1,"000"))</f>
        <v>ZB-012</v>
      </c>
      <c r="B13" s="4" t="s">
        <v>33</v>
      </c>
      <c r="C13" s="3" t="s">
        <v>15</v>
      </c>
      <c r="D13" s="4" t="s">
        <v>58</v>
      </c>
      <c r="E13" s="4" t="s">
        <v>17</v>
      </c>
      <c r="F13" s="4" t="s">
        <v>59</v>
      </c>
      <c r="G13" s="4" t="s">
        <v>60</v>
      </c>
      <c r="H13" s="4" t="s">
        <v>61</v>
      </c>
    </row>
    <row r="14" s="1" customFormat="1" ht="69" customHeight="1" spans="1:8">
      <c r="A14" s="3" t="str">
        <f>IF(D14="","","ZB-"&amp;TEXT(ROW()-1,"000"))</f>
        <v>ZB-013</v>
      </c>
      <c r="B14" s="4" t="s">
        <v>33</v>
      </c>
      <c r="C14" s="3" t="s">
        <v>9</v>
      </c>
      <c r="D14" s="4" t="s">
        <v>62</v>
      </c>
      <c r="E14" s="4" t="s">
        <v>17</v>
      </c>
      <c r="F14" s="4" t="s">
        <v>63</v>
      </c>
      <c r="G14" s="4" t="s">
        <v>64</v>
      </c>
      <c r="H14" s="4" t="s">
        <v>65</v>
      </c>
    </row>
    <row r="15" s="1" customFormat="1" ht="69" customHeight="1" spans="1:8">
      <c r="A15" s="3" t="str">
        <f>IF(D15="","","ZB-"&amp;TEXT(ROW()-1,"000"))</f>
        <v>ZB-014</v>
      </c>
      <c r="B15" s="4" t="s">
        <v>33</v>
      </c>
      <c r="C15" s="3" t="s">
        <v>9</v>
      </c>
      <c r="D15" s="4" t="s">
        <v>66</v>
      </c>
      <c r="E15" s="4" t="s">
        <v>17</v>
      </c>
      <c r="F15" s="4" t="s">
        <v>67</v>
      </c>
      <c r="G15" s="4" t="s">
        <v>68</v>
      </c>
      <c r="H15" s="4" t="s">
        <v>69</v>
      </c>
    </row>
    <row r="16" s="1" customFormat="1" ht="69" customHeight="1" spans="1:8">
      <c r="A16" s="3" t="str">
        <f>IF(D16="","","ZB-"&amp;TEXT(ROW()-1,"000"))</f>
        <v>ZB-015</v>
      </c>
      <c r="B16" s="4" t="s">
        <v>33</v>
      </c>
      <c r="C16" s="3" t="s">
        <v>9</v>
      </c>
      <c r="D16" s="4" t="s">
        <v>70</v>
      </c>
      <c r="E16" s="4" t="s">
        <v>17</v>
      </c>
      <c r="F16" s="4" t="s">
        <v>71</v>
      </c>
      <c r="G16" s="4" t="s">
        <v>72</v>
      </c>
      <c r="H16" s="4" t="s">
        <v>73</v>
      </c>
    </row>
    <row r="17" ht="69" customHeight="1" spans="1:8">
      <c r="A17" s="5" t="str">
        <f>IF(D17="","","ZB-"&amp;TEXT(ROW()-1,"000"))</f>
        <v>ZB-016</v>
      </c>
      <c r="B17" s="6" t="s">
        <v>33</v>
      </c>
      <c r="C17" s="5" t="s">
        <v>15</v>
      </c>
      <c r="D17" s="6" t="s">
        <v>74</v>
      </c>
      <c r="E17" s="6" t="s">
        <v>17</v>
      </c>
      <c r="F17" s="6" t="s">
        <v>75</v>
      </c>
      <c r="G17" s="6" t="s">
        <v>76</v>
      </c>
      <c r="H17" s="6" t="s">
        <v>77</v>
      </c>
    </row>
    <row r="18" ht="69" customHeight="1" spans="1:8">
      <c r="A18" s="5" t="str">
        <f>IF(D18="","","ZB-"&amp;TEXT(ROW()-1,"000"))</f>
        <v>ZB-017</v>
      </c>
      <c r="B18" s="6" t="s">
        <v>33</v>
      </c>
      <c r="C18" s="5" t="s">
        <v>15</v>
      </c>
      <c r="D18" s="6" t="s">
        <v>78</v>
      </c>
      <c r="E18" s="6" t="s">
        <v>17</v>
      </c>
      <c r="F18" s="6" t="s">
        <v>79</v>
      </c>
      <c r="G18" s="6" t="s">
        <v>80</v>
      </c>
      <c r="H18" s="6" t="s">
        <v>81</v>
      </c>
    </row>
    <row r="19" ht="69" customHeight="1" spans="1:8">
      <c r="A19" s="5" t="str">
        <f>IF(D19="","","ZB-"&amp;TEXT(ROW()-1,"000"))</f>
        <v>ZB-018</v>
      </c>
      <c r="B19" s="6" t="s">
        <v>33</v>
      </c>
      <c r="C19" s="5" t="s">
        <v>15</v>
      </c>
      <c r="D19" s="6" t="s">
        <v>82</v>
      </c>
      <c r="E19" s="6" t="s">
        <v>17</v>
      </c>
      <c r="F19" s="6" t="s">
        <v>83</v>
      </c>
      <c r="G19" s="6" t="s">
        <v>84</v>
      </c>
      <c r="H19" s="6" t="s">
        <v>85</v>
      </c>
    </row>
    <row r="20" ht="69" customHeight="1" spans="1:8">
      <c r="A20" s="5" t="str">
        <f>IF(D20="","","ZB-"&amp;TEXT(ROW()-1,"000"))</f>
        <v>ZB-019</v>
      </c>
      <c r="B20" s="6" t="s">
        <v>33</v>
      </c>
      <c r="C20" s="5" t="s">
        <v>15</v>
      </c>
      <c r="D20" s="6" t="s">
        <v>86</v>
      </c>
      <c r="E20" s="6" t="s">
        <v>17</v>
      </c>
      <c r="F20" s="6" t="s">
        <v>87</v>
      </c>
      <c r="G20" s="6" t="s">
        <v>88</v>
      </c>
      <c r="H20" s="6" t="s">
        <v>89</v>
      </c>
    </row>
    <row r="21" ht="69" customHeight="1" spans="1:8">
      <c r="A21" s="5" t="str">
        <f>IF(D21="","","ZB-"&amp;TEXT(ROW()-1,"000"))</f>
        <v>ZB-020</v>
      </c>
      <c r="B21" s="6" t="s">
        <v>33</v>
      </c>
      <c r="C21" s="5" t="s">
        <v>15</v>
      </c>
      <c r="D21" s="6" t="s">
        <v>90</v>
      </c>
      <c r="E21" s="6" t="s">
        <v>17</v>
      </c>
      <c r="F21" s="6" t="s">
        <v>91</v>
      </c>
      <c r="G21" s="6" t="s">
        <v>92</v>
      </c>
      <c r="H21" s="6" t="s">
        <v>93</v>
      </c>
    </row>
    <row r="22" ht="69" customHeight="1" spans="1:8">
      <c r="A22" s="5" t="str">
        <f>IF(D22="","","ZB-"&amp;TEXT(ROW()-1,"000"))</f>
        <v>ZB-021</v>
      </c>
      <c r="B22" s="6" t="s">
        <v>33</v>
      </c>
      <c r="C22" s="5" t="s">
        <v>15</v>
      </c>
      <c r="D22" s="6" t="s">
        <v>94</v>
      </c>
      <c r="E22" s="6" t="s">
        <v>17</v>
      </c>
      <c r="F22" s="6" t="s">
        <v>95</v>
      </c>
      <c r="G22" s="6" t="s">
        <v>96</v>
      </c>
      <c r="H22" s="6" t="s">
        <v>97</v>
      </c>
    </row>
    <row r="23" ht="69" customHeight="1" spans="1:8">
      <c r="A23" s="5" t="str">
        <f t="shared" ref="A23:A55" si="0">IF(D23="","","ZB-"&amp;TEXT(ROW()-1,"000"))</f>
        <v>ZB-022</v>
      </c>
      <c r="B23" s="6" t="s">
        <v>98</v>
      </c>
      <c r="C23" s="5" t="s">
        <v>9</v>
      </c>
      <c r="D23" s="6" t="s">
        <v>99</v>
      </c>
      <c r="E23" s="6" t="s">
        <v>17</v>
      </c>
      <c r="F23" s="6" t="s">
        <v>100</v>
      </c>
      <c r="G23" s="6" t="s">
        <v>101</v>
      </c>
      <c r="H23" s="6" t="s">
        <v>102</v>
      </c>
    </row>
    <row r="24" ht="69" customHeight="1" spans="1:8">
      <c r="A24" s="5" t="str">
        <f t="shared" si="0"/>
        <v>ZB-023</v>
      </c>
      <c r="B24" s="6" t="s">
        <v>98</v>
      </c>
      <c r="C24" s="5" t="s">
        <v>15</v>
      </c>
      <c r="D24" s="6" t="s">
        <v>103</v>
      </c>
      <c r="E24" s="6" t="s">
        <v>17</v>
      </c>
      <c r="F24" s="6" t="s">
        <v>104</v>
      </c>
      <c r="G24" s="6" t="s">
        <v>105</v>
      </c>
      <c r="H24" s="6" t="s">
        <v>106</v>
      </c>
    </row>
    <row r="25" s="1" customFormat="1" ht="69" customHeight="1" spans="1:8">
      <c r="A25" s="3" t="str">
        <f t="shared" si="0"/>
        <v>ZB-024</v>
      </c>
      <c r="B25" s="4" t="s">
        <v>98</v>
      </c>
      <c r="C25" s="3" t="s">
        <v>9</v>
      </c>
      <c r="D25" s="4" t="s">
        <v>107</v>
      </c>
      <c r="E25" s="4" t="s">
        <v>17</v>
      </c>
      <c r="F25" s="4" t="s">
        <v>108</v>
      </c>
      <c r="G25" s="4" t="s">
        <v>109</v>
      </c>
      <c r="H25" s="4" t="s">
        <v>110</v>
      </c>
    </row>
    <row r="26" s="1" customFormat="1" ht="69" customHeight="1" spans="1:8">
      <c r="A26" s="3" t="str">
        <f t="shared" si="0"/>
        <v>ZB-025</v>
      </c>
      <c r="B26" s="4" t="s">
        <v>98</v>
      </c>
      <c r="C26" s="3" t="s">
        <v>9</v>
      </c>
      <c r="D26" s="4" t="s">
        <v>111</v>
      </c>
      <c r="E26" s="4" t="s">
        <v>17</v>
      </c>
      <c r="F26" s="4" t="s">
        <v>112</v>
      </c>
      <c r="G26" s="4" t="s">
        <v>113</v>
      </c>
      <c r="H26" s="4" t="s">
        <v>114</v>
      </c>
    </row>
    <row r="27" s="1" customFormat="1" ht="96" customHeight="1" spans="1:8">
      <c r="A27" s="3" t="str">
        <f t="shared" si="0"/>
        <v>ZB-026</v>
      </c>
      <c r="B27" s="4" t="s">
        <v>98</v>
      </c>
      <c r="C27" s="3" t="s">
        <v>9</v>
      </c>
      <c r="D27" s="4" t="s">
        <v>115</v>
      </c>
      <c r="E27" s="4" t="s">
        <v>17</v>
      </c>
      <c r="F27" s="4" t="s">
        <v>116</v>
      </c>
      <c r="G27" s="4" t="s">
        <v>117</v>
      </c>
      <c r="H27" s="4" t="s">
        <v>118</v>
      </c>
    </row>
    <row r="28" s="1" customFormat="1" ht="69" customHeight="1" spans="1:8">
      <c r="A28" s="3" t="str">
        <f t="shared" si="0"/>
        <v>ZB-027</v>
      </c>
      <c r="B28" s="4" t="s">
        <v>98</v>
      </c>
      <c r="C28" s="3" t="s">
        <v>15</v>
      </c>
      <c r="D28" s="4" t="s">
        <v>119</v>
      </c>
      <c r="E28" s="4" t="s">
        <v>17</v>
      </c>
      <c r="F28" s="4" t="s">
        <v>120</v>
      </c>
      <c r="G28" s="4" t="s">
        <v>121</v>
      </c>
      <c r="H28" s="4" t="s">
        <v>122</v>
      </c>
    </row>
    <row r="29" s="1" customFormat="1" ht="69" customHeight="1" spans="1:8">
      <c r="A29" s="3" t="str">
        <f t="shared" si="0"/>
        <v>ZB-028</v>
      </c>
      <c r="B29" s="4" t="s">
        <v>98</v>
      </c>
      <c r="C29" s="3" t="s">
        <v>9</v>
      </c>
      <c r="D29" s="4" t="s">
        <v>123</v>
      </c>
      <c r="E29" s="4" t="s">
        <v>17</v>
      </c>
      <c r="F29" s="4" t="s">
        <v>124</v>
      </c>
      <c r="G29" s="4" t="s">
        <v>125</v>
      </c>
      <c r="H29" s="4" t="s">
        <v>126</v>
      </c>
    </row>
    <row r="30" s="1" customFormat="1" ht="69" customHeight="1" spans="1:8">
      <c r="A30" s="3" t="str">
        <f t="shared" si="0"/>
        <v>ZB-029</v>
      </c>
      <c r="B30" s="4" t="s">
        <v>98</v>
      </c>
      <c r="C30" s="3" t="s">
        <v>15</v>
      </c>
      <c r="D30" s="4" t="s">
        <v>127</v>
      </c>
      <c r="E30" s="4" t="s">
        <v>17</v>
      </c>
      <c r="F30" s="4" t="s">
        <v>128</v>
      </c>
      <c r="G30" s="4" t="s">
        <v>129</v>
      </c>
      <c r="H30" s="4" t="s">
        <v>130</v>
      </c>
    </row>
    <row r="31" s="1" customFormat="1" ht="69" customHeight="1" spans="1:8">
      <c r="A31" s="3" t="str">
        <f t="shared" si="0"/>
        <v>ZB-030</v>
      </c>
      <c r="B31" s="4" t="s">
        <v>98</v>
      </c>
      <c r="C31" s="3" t="s">
        <v>9</v>
      </c>
      <c r="D31" s="4" t="s">
        <v>131</v>
      </c>
      <c r="E31" s="4" t="s">
        <v>17</v>
      </c>
      <c r="F31" s="4" t="s">
        <v>132</v>
      </c>
      <c r="G31" s="4" t="s">
        <v>133</v>
      </c>
      <c r="H31" s="4" t="s">
        <v>134</v>
      </c>
    </row>
    <row r="32" s="1" customFormat="1" ht="69" customHeight="1" spans="1:8">
      <c r="A32" s="3" t="str">
        <f t="shared" si="0"/>
        <v>ZB-031</v>
      </c>
      <c r="B32" s="4" t="s">
        <v>98</v>
      </c>
      <c r="C32" s="3" t="s">
        <v>15</v>
      </c>
      <c r="D32" s="4" t="s">
        <v>135</v>
      </c>
      <c r="E32" s="4" t="s">
        <v>17</v>
      </c>
      <c r="F32" s="4" t="s">
        <v>136</v>
      </c>
      <c r="G32" s="4" t="s">
        <v>137</v>
      </c>
      <c r="H32" s="4" t="s">
        <v>138</v>
      </c>
    </row>
    <row r="33" ht="69" customHeight="1" spans="1:8">
      <c r="A33" s="5" t="str">
        <f t="shared" si="0"/>
        <v>ZB-032</v>
      </c>
      <c r="B33" s="6" t="s">
        <v>98</v>
      </c>
      <c r="C33" s="5" t="s">
        <v>9</v>
      </c>
      <c r="D33" s="6" t="s">
        <v>139</v>
      </c>
      <c r="E33" s="6" t="s">
        <v>17</v>
      </c>
      <c r="F33" s="6" t="s">
        <v>140</v>
      </c>
      <c r="G33" s="6" t="s">
        <v>141</v>
      </c>
      <c r="H33" s="6" t="s">
        <v>142</v>
      </c>
    </row>
    <row r="34" ht="69" customHeight="1" spans="1:8">
      <c r="A34" s="5" t="str">
        <f t="shared" si="0"/>
        <v>ZB-033</v>
      </c>
      <c r="B34" s="6" t="s">
        <v>98</v>
      </c>
      <c r="C34" s="5" t="s">
        <v>15</v>
      </c>
      <c r="D34" s="6" t="s">
        <v>143</v>
      </c>
      <c r="E34" s="6" t="s">
        <v>17</v>
      </c>
      <c r="F34" s="6" t="s">
        <v>144</v>
      </c>
      <c r="G34" s="6" t="s">
        <v>145</v>
      </c>
      <c r="H34" s="6" t="s">
        <v>146</v>
      </c>
    </row>
    <row r="35" ht="69" customHeight="1" spans="1:8">
      <c r="A35" s="5" t="str">
        <f t="shared" si="0"/>
        <v>ZB-034</v>
      </c>
      <c r="B35" s="6" t="s">
        <v>98</v>
      </c>
      <c r="C35" s="5" t="s">
        <v>9</v>
      </c>
      <c r="D35" s="6" t="s">
        <v>147</v>
      </c>
      <c r="E35" s="6" t="s">
        <v>17</v>
      </c>
      <c r="F35" s="6" t="s">
        <v>148</v>
      </c>
      <c r="G35" s="6" t="s">
        <v>149</v>
      </c>
      <c r="H35" s="6" t="s">
        <v>150</v>
      </c>
    </row>
    <row r="36" ht="69" customHeight="1" spans="1:8">
      <c r="A36" s="5" t="str">
        <f t="shared" si="0"/>
        <v>ZB-035</v>
      </c>
      <c r="B36" s="6" t="s">
        <v>98</v>
      </c>
      <c r="C36" s="5" t="s">
        <v>15</v>
      </c>
      <c r="D36" s="6" t="s">
        <v>151</v>
      </c>
      <c r="E36" s="6" t="s">
        <v>17</v>
      </c>
      <c r="F36" s="6" t="s">
        <v>152</v>
      </c>
      <c r="G36" s="6" t="s">
        <v>153</v>
      </c>
      <c r="H36" s="6" t="s">
        <v>154</v>
      </c>
    </row>
    <row r="37" ht="69" customHeight="1" spans="1:8">
      <c r="A37" s="5" t="str">
        <f t="shared" si="0"/>
        <v>ZB-036</v>
      </c>
      <c r="B37" s="6" t="s">
        <v>98</v>
      </c>
      <c r="C37" s="5" t="s">
        <v>9</v>
      </c>
      <c r="D37" s="6" t="s">
        <v>155</v>
      </c>
      <c r="E37" s="6" t="s">
        <v>17</v>
      </c>
      <c r="F37" s="6" t="s">
        <v>156</v>
      </c>
      <c r="G37" s="6" t="s">
        <v>157</v>
      </c>
      <c r="H37" s="6" t="s">
        <v>158</v>
      </c>
    </row>
    <row r="38" ht="69" customHeight="1" spans="1:8">
      <c r="A38" s="5" t="str">
        <f t="shared" si="0"/>
        <v>ZB-037</v>
      </c>
      <c r="B38" s="6" t="s">
        <v>98</v>
      </c>
      <c r="C38" s="5" t="s">
        <v>9</v>
      </c>
      <c r="D38" s="6" t="s">
        <v>159</v>
      </c>
      <c r="E38" s="6" t="s">
        <v>17</v>
      </c>
      <c r="F38" s="6" t="s">
        <v>160</v>
      </c>
      <c r="G38" s="6" t="s">
        <v>161</v>
      </c>
      <c r="H38" s="6" t="s">
        <v>162</v>
      </c>
    </row>
    <row r="39" ht="69" customHeight="1" spans="1:8">
      <c r="A39" s="5" t="str">
        <f t="shared" si="0"/>
        <v>ZB-038</v>
      </c>
      <c r="B39" s="6" t="s">
        <v>98</v>
      </c>
      <c r="C39" s="5" t="s">
        <v>9</v>
      </c>
      <c r="D39" s="6" t="s">
        <v>163</v>
      </c>
      <c r="E39" s="6" t="s">
        <v>17</v>
      </c>
      <c r="F39" s="6" t="s">
        <v>164</v>
      </c>
      <c r="G39" s="6" t="s">
        <v>165</v>
      </c>
      <c r="H39" s="6" t="s">
        <v>166</v>
      </c>
    </row>
    <row r="40" ht="69" customHeight="1" spans="1:8">
      <c r="A40" s="5" t="str">
        <f t="shared" si="0"/>
        <v>ZB-039</v>
      </c>
      <c r="B40" s="6" t="s">
        <v>98</v>
      </c>
      <c r="C40" s="5" t="s">
        <v>15</v>
      </c>
      <c r="D40" s="6" t="s">
        <v>167</v>
      </c>
      <c r="E40" s="6" t="s">
        <v>17</v>
      </c>
      <c r="F40" s="6" t="s">
        <v>168</v>
      </c>
      <c r="G40" s="6" t="s">
        <v>169</v>
      </c>
      <c r="H40" s="6" t="s">
        <v>170</v>
      </c>
    </row>
    <row r="41" ht="69" customHeight="1" spans="1:8">
      <c r="A41" s="5" t="str">
        <f t="shared" si="0"/>
        <v>ZB-040</v>
      </c>
      <c r="B41" s="6" t="s">
        <v>98</v>
      </c>
      <c r="C41" s="5" t="s">
        <v>9</v>
      </c>
      <c r="D41" s="6" t="s">
        <v>171</v>
      </c>
      <c r="E41" s="6" t="s">
        <v>17</v>
      </c>
      <c r="F41" s="6" t="s">
        <v>172</v>
      </c>
      <c r="G41" s="6" t="s">
        <v>173</v>
      </c>
      <c r="H41" s="6" t="s">
        <v>174</v>
      </c>
    </row>
    <row r="42" ht="69" customHeight="1" spans="1:8">
      <c r="A42" s="5" t="str">
        <f t="shared" si="0"/>
        <v>ZB-041</v>
      </c>
      <c r="B42" s="6" t="s">
        <v>98</v>
      </c>
      <c r="C42" s="5" t="s">
        <v>15</v>
      </c>
      <c r="D42" s="6" t="s">
        <v>175</v>
      </c>
      <c r="E42" s="6" t="s">
        <v>17</v>
      </c>
      <c r="F42" s="6" t="s">
        <v>176</v>
      </c>
      <c r="G42" s="6" t="s">
        <v>177</v>
      </c>
      <c r="H42" s="6" t="s">
        <v>178</v>
      </c>
    </row>
    <row r="43" ht="69" customHeight="1" spans="1:8">
      <c r="A43" s="5" t="str">
        <f t="shared" si="0"/>
        <v>ZB-042</v>
      </c>
      <c r="B43" s="6" t="s">
        <v>98</v>
      </c>
      <c r="C43" s="5" t="s">
        <v>15</v>
      </c>
      <c r="D43" s="6" t="s">
        <v>179</v>
      </c>
      <c r="E43" s="6" t="s">
        <v>17</v>
      </c>
      <c r="F43" s="6" t="s">
        <v>180</v>
      </c>
      <c r="G43" s="6" t="s">
        <v>181</v>
      </c>
      <c r="H43" s="6" t="s">
        <v>182</v>
      </c>
    </row>
    <row r="44" ht="69" customHeight="1" spans="1:8">
      <c r="A44" s="5" t="str">
        <f t="shared" si="0"/>
        <v>ZB-043</v>
      </c>
      <c r="B44" s="6" t="s">
        <v>183</v>
      </c>
      <c r="C44" s="5" t="s">
        <v>15</v>
      </c>
      <c r="D44" s="6" t="s">
        <v>184</v>
      </c>
      <c r="E44" s="6" t="s">
        <v>17</v>
      </c>
      <c r="F44" s="6" t="s">
        <v>185</v>
      </c>
      <c r="G44" s="6" t="s">
        <v>186</v>
      </c>
      <c r="H44" s="6" t="s">
        <v>187</v>
      </c>
    </row>
    <row r="45" ht="69" customHeight="1" spans="1:8">
      <c r="A45" s="5" t="str">
        <f t="shared" si="0"/>
        <v>ZB-044</v>
      </c>
      <c r="B45" s="6" t="s">
        <v>183</v>
      </c>
      <c r="C45" s="5" t="s">
        <v>15</v>
      </c>
      <c r="D45" s="6" t="s">
        <v>188</v>
      </c>
      <c r="E45" s="6" t="s">
        <v>17</v>
      </c>
      <c r="F45" s="6" t="s">
        <v>189</v>
      </c>
      <c r="G45" s="6" t="s">
        <v>190</v>
      </c>
      <c r="H45" s="6" t="s">
        <v>191</v>
      </c>
    </row>
    <row r="46" ht="69" customHeight="1" spans="1:8">
      <c r="A46" s="5" t="str">
        <f t="shared" si="0"/>
        <v>ZB-045</v>
      </c>
      <c r="B46" s="6" t="s">
        <v>183</v>
      </c>
      <c r="C46" s="5" t="s">
        <v>15</v>
      </c>
      <c r="D46" s="6" t="s">
        <v>192</v>
      </c>
      <c r="E46" s="6" t="s">
        <v>17</v>
      </c>
      <c r="F46" s="6" t="s">
        <v>193</v>
      </c>
      <c r="G46" s="6" t="s">
        <v>194</v>
      </c>
      <c r="H46" s="6" t="s">
        <v>195</v>
      </c>
    </row>
    <row r="47" ht="69" customHeight="1" spans="1:8">
      <c r="A47" s="5" t="str">
        <f t="shared" si="0"/>
        <v>ZB-046</v>
      </c>
      <c r="B47" s="6" t="s">
        <v>183</v>
      </c>
      <c r="C47" s="5" t="s">
        <v>15</v>
      </c>
      <c r="D47" s="6" t="s">
        <v>196</v>
      </c>
      <c r="E47" s="6" t="s">
        <v>17</v>
      </c>
      <c r="F47" s="6" t="s">
        <v>197</v>
      </c>
      <c r="G47" s="6" t="s">
        <v>198</v>
      </c>
      <c r="H47" s="6" t="s">
        <v>199</v>
      </c>
    </row>
    <row r="48" ht="69" customHeight="1" spans="1:8">
      <c r="A48" s="5" t="str">
        <f t="shared" si="0"/>
        <v>ZB-047</v>
      </c>
      <c r="B48" s="6" t="s">
        <v>183</v>
      </c>
      <c r="C48" s="5" t="s">
        <v>15</v>
      </c>
      <c r="D48" s="6" t="s">
        <v>200</v>
      </c>
      <c r="E48" s="6" t="s">
        <v>17</v>
      </c>
      <c r="F48" s="6" t="s">
        <v>201</v>
      </c>
      <c r="G48" s="6" t="s">
        <v>202</v>
      </c>
      <c r="H48" s="6" t="s">
        <v>203</v>
      </c>
    </row>
    <row r="49" ht="69" customHeight="1" spans="1:8">
      <c r="A49" s="5" t="str">
        <f t="shared" si="0"/>
        <v>ZB-048</v>
      </c>
      <c r="B49" s="6" t="s">
        <v>183</v>
      </c>
      <c r="C49" s="5" t="s">
        <v>15</v>
      </c>
      <c r="D49" s="6" t="s">
        <v>204</v>
      </c>
      <c r="E49" s="6" t="s">
        <v>17</v>
      </c>
      <c r="F49" s="6" t="s">
        <v>205</v>
      </c>
      <c r="G49" s="6" t="s">
        <v>206</v>
      </c>
      <c r="H49" s="6" t="s">
        <v>207</v>
      </c>
    </row>
    <row r="50" ht="69" customHeight="1" spans="1:8">
      <c r="A50" s="5" t="str">
        <f t="shared" si="0"/>
        <v>ZB-049</v>
      </c>
      <c r="B50" s="6" t="s">
        <v>183</v>
      </c>
      <c r="C50" s="5" t="s">
        <v>15</v>
      </c>
      <c r="D50" s="6" t="s">
        <v>208</v>
      </c>
      <c r="E50" s="6" t="s">
        <v>17</v>
      </c>
      <c r="F50" s="6" t="s">
        <v>209</v>
      </c>
      <c r="G50" s="6" t="s">
        <v>210</v>
      </c>
      <c r="H50" s="6" t="s">
        <v>211</v>
      </c>
    </row>
    <row r="51" ht="69" customHeight="1" spans="1:8">
      <c r="A51" s="5" t="str">
        <f t="shared" si="0"/>
        <v>ZB-050</v>
      </c>
      <c r="B51" s="6" t="s">
        <v>183</v>
      </c>
      <c r="C51" s="5" t="s">
        <v>15</v>
      </c>
      <c r="D51" s="6" t="s">
        <v>212</v>
      </c>
      <c r="E51" s="6" t="s">
        <v>17</v>
      </c>
      <c r="F51" s="6" t="s">
        <v>213</v>
      </c>
      <c r="G51" s="6" t="s">
        <v>214</v>
      </c>
      <c r="H51" s="6" t="s">
        <v>215</v>
      </c>
    </row>
    <row r="52" ht="69" customHeight="1" spans="1:8">
      <c r="A52" s="5" t="str">
        <f t="shared" si="0"/>
        <v>ZB-051</v>
      </c>
      <c r="B52" s="6" t="s">
        <v>183</v>
      </c>
      <c r="C52" s="5" t="s">
        <v>15</v>
      </c>
      <c r="D52" s="6" t="s">
        <v>216</v>
      </c>
      <c r="E52" s="6" t="s">
        <v>17</v>
      </c>
      <c r="F52" s="6" t="s">
        <v>217</v>
      </c>
      <c r="G52" s="6" t="s">
        <v>218</v>
      </c>
      <c r="H52" s="6" t="s">
        <v>219</v>
      </c>
    </row>
    <row r="53" ht="69" customHeight="1" spans="1:8">
      <c r="A53" s="5" t="str">
        <f t="shared" si="0"/>
        <v>ZB-052</v>
      </c>
      <c r="B53" s="6" t="s">
        <v>183</v>
      </c>
      <c r="C53" s="5" t="s">
        <v>15</v>
      </c>
      <c r="D53" s="6" t="s">
        <v>220</v>
      </c>
      <c r="E53" s="6" t="s">
        <v>17</v>
      </c>
      <c r="F53" s="6" t="s">
        <v>221</v>
      </c>
      <c r="G53" s="6" t="s">
        <v>222</v>
      </c>
      <c r="H53" s="6" t="s">
        <v>223</v>
      </c>
    </row>
    <row r="54" ht="69" customHeight="1" spans="1:8">
      <c r="A54" s="5" t="str">
        <f t="shared" si="0"/>
        <v>ZB-053</v>
      </c>
      <c r="B54" s="6" t="s">
        <v>183</v>
      </c>
      <c r="C54" s="5" t="s">
        <v>15</v>
      </c>
      <c r="D54" s="6" t="s">
        <v>224</v>
      </c>
      <c r="E54" s="6" t="s">
        <v>17</v>
      </c>
      <c r="F54" s="6" t="s">
        <v>225</v>
      </c>
      <c r="G54" s="6" t="s">
        <v>226</v>
      </c>
      <c r="H54" s="6" t="s">
        <v>227</v>
      </c>
    </row>
    <row r="55" ht="69" customHeight="1" spans="1:8">
      <c r="A55" s="5" t="str">
        <f t="shared" si="0"/>
        <v>ZB-054</v>
      </c>
      <c r="B55" s="6" t="s">
        <v>183</v>
      </c>
      <c r="C55" s="5" t="s">
        <v>15</v>
      </c>
      <c r="D55" s="6" t="s">
        <v>228</v>
      </c>
      <c r="E55" s="6" t="s">
        <v>17</v>
      </c>
      <c r="F55" s="6" t="s">
        <v>229</v>
      </c>
      <c r="G55" s="6" t="s">
        <v>230</v>
      </c>
      <c r="H55" s="6" t="s">
        <v>231</v>
      </c>
    </row>
    <row r="56" ht="69" customHeight="1" spans="1:8">
      <c r="A56" s="5" t="str">
        <f t="shared" ref="A56:A119" si="1">IF(D56="","","ZB-"&amp;TEXT(ROW()-1,"000"))</f>
        <v>ZB-055</v>
      </c>
      <c r="B56" s="6" t="s">
        <v>183</v>
      </c>
      <c r="C56" s="5" t="s">
        <v>15</v>
      </c>
      <c r="D56" s="6" t="s">
        <v>232</v>
      </c>
      <c r="E56" s="6" t="s">
        <v>17</v>
      </c>
      <c r="F56" s="6" t="s">
        <v>233</v>
      </c>
      <c r="G56" s="6" t="s">
        <v>234</v>
      </c>
      <c r="H56" s="6" t="s">
        <v>235</v>
      </c>
    </row>
    <row r="57" ht="69" customHeight="1" spans="1:8">
      <c r="A57" s="5" t="str">
        <f t="shared" si="1"/>
        <v>ZB-056</v>
      </c>
      <c r="B57" s="6" t="s">
        <v>183</v>
      </c>
      <c r="C57" s="5" t="s">
        <v>15</v>
      </c>
      <c r="D57" s="6" t="s">
        <v>236</v>
      </c>
      <c r="E57" s="6" t="s">
        <v>17</v>
      </c>
      <c r="F57" s="6" t="s">
        <v>237</v>
      </c>
      <c r="G57" s="6" t="s">
        <v>238</v>
      </c>
      <c r="H57" s="6" t="s">
        <v>239</v>
      </c>
    </row>
    <row r="58" ht="69" customHeight="1" spans="1:8">
      <c r="A58" s="5" t="str">
        <f t="shared" si="1"/>
        <v>ZB-057</v>
      </c>
      <c r="B58" s="6" t="s">
        <v>183</v>
      </c>
      <c r="C58" s="5" t="s">
        <v>15</v>
      </c>
      <c r="D58" s="6" t="s">
        <v>240</v>
      </c>
      <c r="E58" s="6" t="s">
        <v>17</v>
      </c>
      <c r="F58" s="6" t="s">
        <v>241</v>
      </c>
      <c r="G58" s="6" t="s">
        <v>242</v>
      </c>
      <c r="H58" s="6" t="s">
        <v>243</v>
      </c>
    </row>
    <row r="59" ht="69" customHeight="1" spans="1:8">
      <c r="A59" s="5" t="str">
        <f t="shared" si="1"/>
        <v>ZB-058</v>
      </c>
      <c r="B59" s="6" t="s">
        <v>183</v>
      </c>
      <c r="C59" s="5" t="s">
        <v>15</v>
      </c>
      <c r="D59" s="6" t="s">
        <v>244</v>
      </c>
      <c r="E59" s="6" t="s">
        <v>17</v>
      </c>
      <c r="F59" s="6" t="s">
        <v>245</v>
      </c>
      <c r="G59" s="6" t="s">
        <v>246</v>
      </c>
      <c r="H59" s="6" t="s">
        <v>247</v>
      </c>
    </row>
    <row r="60" ht="69" customHeight="1" spans="1:8">
      <c r="A60" s="5" t="str">
        <f t="shared" si="1"/>
        <v>ZB-059</v>
      </c>
      <c r="B60" s="6" t="s">
        <v>183</v>
      </c>
      <c r="C60" s="5" t="s">
        <v>9</v>
      </c>
      <c r="D60" s="6" t="s">
        <v>248</v>
      </c>
      <c r="E60" s="6" t="s">
        <v>17</v>
      </c>
      <c r="F60" s="6" t="s">
        <v>249</v>
      </c>
      <c r="G60" s="6" t="s">
        <v>250</v>
      </c>
      <c r="H60" s="6" t="s">
        <v>251</v>
      </c>
    </row>
    <row r="61" ht="69" customHeight="1" spans="1:8">
      <c r="A61" s="5" t="str">
        <f t="shared" si="1"/>
        <v>ZB-060</v>
      </c>
      <c r="B61" s="6" t="s">
        <v>183</v>
      </c>
      <c r="C61" s="5" t="s">
        <v>9</v>
      </c>
      <c r="D61" s="6" t="s">
        <v>252</v>
      </c>
      <c r="E61" s="6" t="s">
        <v>17</v>
      </c>
      <c r="F61" s="6" t="s">
        <v>253</v>
      </c>
      <c r="G61" s="6" t="s">
        <v>250</v>
      </c>
      <c r="H61" s="6" t="s">
        <v>254</v>
      </c>
    </row>
    <row r="62" ht="69" customHeight="1" spans="1:8">
      <c r="A62" s="5" t="str">
        <f t="shared" si="1"/>
        <v>ZB-061</v>
      </c>
      <c r="B62" s="6" t="s">
        <v>183</v>
      </c>
      <c r="C62" s="5" t="s">
        <v>9</v>
      </c>
      <c r="D62" s="6" t="s">
        <v>255</v>
      </c>
      <c r="E62" s="6" t="s">
        <v>17</v>
      </c>
      <c r="F62" s="6" t="s">
        <v>256</v>
      </c>
      <c r="G62" s="6" t="s">
        <v>257</v>
      </c>
      <c r="H62" s="6" t="s">
        <v>258</v>
      </c>
    </row>
    <row r="63" ht="69" customHeight="1" spans="1:8">
      <c r="A63" s="5" t="str">
        <f t="shared" si="1"/>
        <v>ZB-062</v>
      </c>
      <c r="B63" s="6" t="s">
        <v>259</v>
      </c>
      <c r="C63" s="5" t="s">
        <v>9</v>
      </c>
      <c r="D63" s="6" t="s">
        <v>260</v>
      </c>
      <c r="E63" s="6" t="s">
        <v>17</v>
      </c>
      <c r="F63" s="6" t="s">
        <v>261</v>
      </c>
      <c r="G63" s="6" t="s">
        <v>262</v>
      </c>
      <c r="H63" s="6" t="s">
        <v>263</v>
      </c>
    </row>
    <row r="64" ht="69" customHeight="1" spans="1:8">
      <c r="A64" s="5" t="str">
        <f t="shared" si="1"/>
        <v>ZB-063</v>
      </c>
      <c r="B64" s="6" t="s">
        <v>259</v>
      </c>
      <c r="C64" s="5" t="s">
        <v>15</v>
      </c>
      <c r="D64" s="6" t="s">
        <v>264</v>
      </c>
      <c r="E64" s="6" t="s">
        <v>17</v>
      </c>
      <c r="F64" s="6" t="s">
        <v>265</v>
      </c>
      <c r="G64" s="6" t="s">
        <v>266</v>
      </c>
      <c r="H64" s="6" t="s">
        <v>267</v>
      </c>
    </row>
    <row r="65" ht="69" customHeight="1" spans="1:8">
      <c r="A65" s="5" t="str">
        <f t="shared" si="1"/>
        <v>ZB-064</v>
      </c>
      <c r="B65" s="6" t="s">
        <v>259</v>
      </c>
      <c r="C65" s="5" t="s">
        <v>15</v>
      </c>
      <c r="D65" s="6" t="s">
        <v>268</v>
      </c>
      <c r="E65" s="6" t="s">
        <v>17</v>
      </c>
      <c r="F65" s="6" t="s">
        <v>269</v>
      </c>
      <c r="G65" s="6" t="s">
        <v>270</v>
      </c>
      <c r="H65" s="6" t="s">
        <v>271</v>
      </c>
    </row>
    <row r="66" ht="69" customHeight="1" spans="1:8">
      <c r="A66" s="5" t="str">
        <f t="shared" si="1"/>
        <v>ZB-065</v>
      </c>
      <c r="B66" s="6" t="s">
        <v>259</v>
      </c>
      <c r="C66" s="5" t="s">
        <v>15</v>
      </c>
      <c r="D66" s="6" t="s">
        <v>272</v>
      </c>
      <c r="E66" s="6" t="s">
        <v>17</v>
      </c>
      <c r="F66" s="6" t="s">
        <v>273</v>
      </c>
      <c r="G66" s="6" t="s">
        <v>274</v>
      </c>
      <c r="H66" s="6" t="s">
        <v>275</v>
      </c>
    </row>
    <row r="67" ht="69" customHeight="1" spans="1:8">
      <c r="A67" s="5" t="str">
        <f t="shared" si="1"/>
        <v>ZB-066</v>
      </c>
      <c r="B67" s="6" t="s">
        <v>259</v>
      </c>
      <c r="C67" s="5" t="s">
        <v>15</v>
      </c>
      <c r="D67" s="6" t="s">
        <v>276</v>
      </c>
      <c r="E67" s="6" t="s">
        <v>17</v>
      </c>
      <c r="F67" s="6" t="s">
        <v>265</v>
      </c>
      <c r="G67" s="6" t="s">
        <v>277</v>
      </c>
      <c r="H67" s="6" t="s">
        <v>278</v>
      </c>
    </row>
    <row r="68" ht="69" customHeight="1" spans="1:8">
      <c r="A68" s="5" t="str">
        <f t="shared" si="1"/>
        <v>ZB-067</v>
      </c>
      <c r="B68" s="6" t="s">
        <v>259</v>
      </c>
      <c r="C68" s="5" t="s">
        <v>15</v>
      </c>
      <c r="D68" s="6" t="s">
        <v>279</v>
      </c>
      <c r="E68" s="6" t="s">
        <v>17</v>
      </c>
      <c r="F68" s="6" t="s">
        <v>280</v>
      </c>
      <c r="G68" s="6" t="s">
        <v>281</v>
      </c>
      <c r="H68" s="6" t="s">
        <v>282</v>
      </c>
    </row>
    <row r="69" ht="69" customHeight="1" spans="1:8">
      <c r="A69" s="5" t="str">
        <f t="shared" si="1"/>
        <v>ZB-068</v>
      </c>
      <c r="B69" s="6" t="s">
        <v>259</v>
      </c>
      <c r="C69" s="5" t="s">
        <v>15</v>
      </c>
      <c r="D69" s="6" t="s">
        <v>283</v>
      </c>
      <c r="E69" s="6" t="s">
        <v>17</v>
      </c>
      <c r="F69" s="6" t="s">
        <v>284</v>
      </c>
      <c r="G69" s="6" t="s">
        <v>285</v>
      </c>
      <c r="H69" s="6" t="s">
        <v>286</v>
      </c>
    </row>
    <row r="70" ht="69" customHeight="1" spans="1:8">
      <c r="A70" s="5" t="str">
        <f t="shared" si="1"/>
        <v>ZB-069</v>
      </c>
      <c r="B70" s="6" t="s">
        <v>259</v>
      </c>
      <c r="C70" s="5" t="s">
        <v>15</v>
      </c>
      <c r="D70" s="6" t="s">
        <v>287</v>
      </c>
      <c r="E70" s="6" t="s">
        <v>17</v>
      </c>
      <c r="F70" s="6" t="s">
        <v>176</v>
      </c>
      <c r="G70" s="6" t="s">
        <v>288</v>
      </c>
      <c r="H70" s="6" t="s">
        <v>289</v>
      </c>
    </row>
    <row r="71" ht="69" customHeight="1" spans="1:8">
      <c r="A71" s="5" t="str">
        <f t="shared" si="1"/>
        <v>ZB-070</v>
      </c>
      <c r="B71" s="6" t="s">
        <v>290</v>
      </c>
      <c r="C71" s="5" t="s">
        <v>9</v>
      </c>
      <c r="D71" s="6" t="s">
        <v>291</v>
      </c>
      <c r="E71" s="6" t="s">
        <v>17</v>
      </c>
      <c r="F71" s="6" t="s">
        <v>95</v>
      </c>
      <c r="G71" s="6" t="s">
        <v>292</v>
      </c>
      <c r="H71" s="6" t="s">
        <v>293</v>
      </c>
    </row>
    <row r="72" ht="69" customHeight="1" spans="1:8">
      <c r="A72" s="5" t="str">
        <f t="shared" si="1"/>
        <v>ZB-071</v>
      </c>
      <c r="B72" s="6" t="s">
        <v>290</v>
      </c>
      <c r="C72" s="5" t="s">
        <v>9</v>
      </c>
      <c r="D72" s="6" t="s">
        <v>294</v>
      </c>
      <c r="E72" s="6" t="s">
        <v>17</v>
      </c>
      <c r="F72" s="6" t="s">
        <v>295</v>
      </c>
      <c r="G72" s="6" t="s">
        <v>296</v>
      </c>
      <c r="H72" s="6" t="s">
        <v>297</v>
      </c>
    </row>
    <row r="73" ht="69" customHeight="1" spans="1:8">
      <c r="A73" s="5" t="str">
        <f t="shared" si="1"/>
        <v>ZB-072</v>
      </c>
      <c r="B73" s="6" t="s">
        <v>290</v>
      </c>
      <c r="C73" s="5" t="s">
        <v>9</v>
      </c>
      <c r="D73" s="6" t="s">
        <v>298</v>
      </c>
      <c r="E73" s="6" t="s">
        <v>17</v>
      </c>
      <c r="F73" s="6" t="s">
        <v>299</v>
      </c>
      <c r="G73" s="6" t="s">
        <v>300</v>
      </c>
      <c r="H73" s="6" t="s">
        <v>301</v>
      </c>
    </row>
    <row r="74" ht="69" customHeight="1" spans="1:8">
      <c r="A74" s="5" t="str">
        <f t="shared" si="1"/>
        <v>ZB-073</v>
      </c>
      <c r="B74" s="6" t="s">
        <v>290</v>
      </c>
      <c r="C74" s="5" t="s">
        <v>9</v>
      </c>
      <c r="D74" s="6" t="s">
        <v>302</v>
      </c>
      <c r="E74" s="6" t="s">
        <v>17</v>
      </c>
      <c r="F74" s="6" t="s">
        <v>303</v>
      </c>
      <c r="G74" s="6" t="s">
        <v>304</v>
      </c>
      <c r="H74" s="6" t="s">
        <v>305</v>
      </c>
    </row>
    <row r="75" ht="69" customHeight="1" spans="1:8">
      <c r="A75" s="5" t="str">
        <f t="shared" si="1"/>
        <v>ZB-074</v>
      </c>
      <c r="B75" s="6" t="s">
        <v>290</v>
      </c>
      <c r="C75" s="5" t="s">
        <v>9</v>
      </c>
      <c r="D75" s="6" t="s">
        <v>306</v>
      </c>
      <c r="E75" s="6" t="s">
        <v>17</v>
      </c>
      <c r="F75" s="6" t="s">
        <v>307</v>
      </c>
      <c r="G75" s="6" t="s">
        <v>308</v>
      </c>
      <c r="H75" s="6" t="s">
        <v>309</v>
      </c>
    </row>
    <row r="76" ht="69" customHeight="1" spans="1:8">
      <c r="A76" s="5" t="str">
        <f t="shared" si="1"/>
        <v>ZB-075</v>
      </c>
      <c r="B76" s="6" t="s">
        <v>290</v>
      </c>
      <c r="C76" s="5" t="s">
        <v>9</v>
      </c>
      <c r="D76" s="6" t="s">
        <v>310</v>
      </c>
      <c r="E76" s="6" t="s">
        <v>17</v>
      </c>
      <c r="F76" s="6" t="s">
        <v>311</v>
      </c>
      <c r="G76" s="6" t="s">
        <v>308</v>
      </c>
      <c r="H76" s="6" t="s">
        <v>312</v>
      </c>
    </row>
    <row r="77" ht="69" customHeight="1" spans="1:8">
      <c r="A77" s="5" t="str">
        <f t="shared" si="1"/>
        <v>ZB-076</v>
      </c>
      <c r="B77" s="6" t="s">
        <v>290</v>
      </c>
      <c r="C77" s="5" t="s">
        <v>15</v>
      </c>
      <c r="D77" s="6" t="s">
        <v>313</v>
      </c>
      <c r="E77" s="6" t="s">
        <v>17</v>
      </c>
      <c r="F77" s="6" t="s">
        <v>314</v>
      </c>
      <c r="G77" s="6" t="s">
        <v>315</v>
      </c>
      <c r="H77" s="6" t="s">
        <v>316</v>
      </c>
    </row>
    <row r="78" ht="69" customHeight="1" spans="1:8">
      <c r="A78" s="5" t="str">
        <f t="shared" si="1"/>
        <v>ZB-077</v>
      </c>
      <c r="B78" s="6" t="s">
        <v>290</v>
      </c>
      <c r="C78" s="5" t="s">
        <v>9</v>
      </c>
      <c r="D78" s="6" t="s">
        <v>317</v>
      </c>
      <c r="E78" s="6" t="s">
        <v>17</v>
      </c>
      <c r="F78" s="6" t="s">
        <v>318</v>
      </c>
      <c r="G78" s="6" t="s">
        <v>319</v>
      </c>
      <c r="H78" s="6" t="s">
        <v>320</v>
      </c>
    </row>
    <row r="79" ht="69" customHeight="1" spans="1:8">
      <c r="A79" s="5" t="str">
        <f t="shared" si="1"/>
        <v>ZB-078</v>
      </c>
      <c r="B79" s="6" t="s">
        <v>290</v>
      </c>
      <c r="C79" s="5" t="s">
        <v>9</v>
      </c>
      <c r="D79" s="6" t="s">
        <v>321</v>
      </c>
      <c r="E79" s="6" t="s">
        <v>17</v>
      </c>
      <c r="F79" s="6" t="s">
        <v>322</v>
      </c>
      <c r="G79" s="6" t="s">
        <v>323</v>
      </c>
      <c r="H79" s="6" t="s">
        <v>324</v>
      </c>
    </row>
    <row r="80" ht="69" customHeight="1" spans="1:8">
      <c r="A80" s="5" t="str">
        <f t="shared" si="1"/>
        <v>ZB-079</v>
      </c>
      <c r="B80" s="6" t="s">
        <v>290</v>
      </c>
      <c r="C80" s="5" t="s">
        <v>15</v>
      </c>
      <c r="D80" s="6" t="s">
        <v>325</v>
      </c>
      <c r="E80" s="6" t="s">
        <v>17</v>
      </c>
      <c r="F80" s="6" t="s">
        <v>326</v>
      </c>
      <c r="G80" s="6" t="s">
        <v>327</v>
      </c>
      <c r="H80" s="6" t="s">
        <v>328</v>
      </c>
    </row>
    <row r="81" ht="69" customHeight="1" spans="1:8">
      <c r="A81" s="5" t="str">
        <f t="shared" si="1"/>
        <v>ZB-080</v>
      </c>
      <c r="B81" s="6" t="s">
        <v>290</v>
      </c>
      <c r="C81" s="5" t="s">
        <v>15</v>
      </c>
      <c r="D81" s="6" t="s">
        <v>329</v>
      </c>
      <c r="E81" s="6" t="s">
        <v>17</v>
      </c>
      <c r="F81" s="6" t="s">
        <v>330</v>
      </c>
      <c r="G81" s="6" t="s">
        <v>331</v>
      </c>
      <c r="H81" s="6" t="s">
        <v>332</v>
      </c>
    </row>
    <row r="82" ht="69" customHeight="1" spans="1:8">
      <c r="A82" s="5" t="str">
        <f t="shared" si="1"/>
        <v>ZB-081</v>
      </c>
      <c r="B82" s="6" t="s">
        <v>290</v>
      </c>
      <c r="C82" s="5" t="s">
        <v>15</v>
      </c>
      <c r="D82" s="6" t="s">
        <v>333</v>
      </c>
      <c r="E82" s="6" t="s">
        <v>17</v>
      </c>
      <c r="F82" s="6" t="s">
        <v>334</v>
      </c>
      <c r="G82" s="6" t="s">
        <v>335</v>
      </c>
      <c r="H82" s="6" t="s">
        <v>336</v>
      </c>
    </row>
    <row r="83" ht="69" customHeight="1" spans="1:8">
      <c r="A83" s="5" t="str">
        <f t="shared" si="1"/>
        <v>ZB-082</v>
      </c>
      <c r="B83" s="6" t="s">
        <v>290</v>
      </c>
      <c r="C83" s="5" t="s">
        <v>15</v>
      </c>
      <c r="D83" s="6" t="s">
        <v>337</v>
      </c>
      <c r="E83" s="6" t="s">
        <v>17</v>
      </c>
      <c r="F83" s="6" t="s">
        <v>334</v>
      </c>
      <c r="G83" s="6" t="s">
        <v>338</v>
      </c>
      <c r="H83" s="6" t="s">
        <v>339</v>
      </c>
    </row>
    <row r="84" ht="69" customHeight="1" spans="1:8">
      <c r="A84" s="5" t="str">
        <f t="shared" si="1"/>
        <v>ZB-083</v>
      </c>
      <c r="B84" s="6" t="s">
        <v>340</v>
      </c>
      <c r="C84" s="5" t="s">
        <v>9</v>
      </c>
      <c r="D84" s="6" t="s">
        <v>341</v>
      </c>
      <c r="E84" s="6" t="s">
        <v>17</v>
      </c>
      <c r="F84" s="6" t="s">
        <v>87</v>
      </c>
      <c r="G84" s="6" t="s">
        <v>342</v>
      </c>
      <c r="H84" s="6" t="s">
        <v>343</v>
      </c>
    </row>
    <row r="85" ht="69" customHeight="1" spans="1:8">
      <c r="A85" s="5" t="str">
        <f t="shared" si="1"/>
        <v>ZB-084</v>
      </c>
      <c r="B85" s="6" t="s">
        <v>340</v>
      </c>
      <c r="C85" s="5" t="s">
        <v>9</v>
      </c>
      <c r="D85" s="6" t="s">
        <v>344</v>
      </c>
      <c r="E85" s="6" t="s">
        <v>17</v>
      </c>
      <c r="F85" s="6" t="s">
        <v>345</v>
      </c>
      <c r="G85" s="6" t="s">
        <v>346</v>
      </c>
      <c r="H85" s="6" t="s">
        <v>347</v>
      </c>
    </row>
    <row r="86" ht="69" customHeight="1" spans="1:8">
      <c r="A86" s="5" t="str">
        <f t="shared" si="1"/>
        <v>ZB-085</v>
      </c>
      <c r="B86" s="6" t="s">
        <v>340</v>
      </c>
      <c r="C86" s="5" t="s">
        <v>9</v>
      </c>
      <c r="D86" s="6" t="s">
        <v>348</v>
      </c>
      <c r="E86" s="6" t="s">
        <v>17</v>
      </c>
      <c r="F86" s="6" t="s">
        <v>349</v>
      </c>
      <c r="G86" s="6" t="s">
        <v>350</v>
      </c>
      <c r="H86" s="6" t="s">
        <v>351</v>
      </c>
    </row>
    <row r="87" ht="69" customHeight="1" spans="1:8">
      <c r="A87" s="5" t="str">
        <f t="shared" si="1"/>
        <v>ZB-086</v>
      </c>
      <c r="B87" s="6" t="s">
        <v>340</v>
      </c>
      <c r="C87" s="5" t="s">
        <v>9</v>
      </c>
      <c r="D87" s="6" t="s">
        <v>352</v>
      </c>
      <c r="E87" s="6" t="s">
        <v>17</v>
      </c>
      <c r="F87" s="6" t="s">
        <v>353</v>
      </c>
      <c r="G87" s="6" t="s">
        <v>354</v>
      </c>
      <c r="H87" s="6" t="s">
        <v>355</v>
      </c>
    </row>
    <row r="88" ht="69" customHeight="1" spans="1:8">
      <c r="A88" s="5" t="str">
        <f t="shared" si="1"/>
        <v>ZB-087</v>
      </c>
      <c r="B88" s="6" t="s">
        <v>340</v>
      </c>
      <c r="C88" s="5" t="s">
        <v>15</v>
      </c>
      <c r="D88" s="6" t="s">
        <v>356</v>
      </c>
      <c r="E88" s="6" t="s">
        <v>17</v>
      </c>
      <c r="F88" s="6" t="s">
        <v>357</v>
      </c>
      <c r="G88" s="6" t="s">
        <v>358</v>
      </c>
      <c r="H88" s="6" t="s">
        <v>359</v>
      </c>
    </row>
    <row r="89" ht="69" customHeight="1" spans="1:8">
      <c r="A89" s="5" t="str">
        <f t="shared" si="1"/>
        <v>ZB-088</v>
      </c>
      <c r="B89" s="6" t="s">
        <v>340</v>
      </c>
      <c r="C89" s="5" t="s">
        <v>15</v>
      </c>
      <c r="D89" s="6" t="s">
        <v>360</v>
      </c>
      <c r="E89" s="6" t="s">
        <v>17</v>
      </c>
      <c r="F89" s="6" t="s">
        <v>361</v>
      </c>
      <c r="G89" s="6" t="s">
        <v>362</v>
      </c>
      <c r="H89" s="6" t="s">
        <v>363</v>
      </c>
    </row>
    <row r="90" ht="69" customHeight="1" spans="1:8">
      <c r="A90" s="5" t="str">
        <f t="shared" si="1"/>
        <v>ZB-089</v>
      </c>
      <c r="B90" s="6" t="s">
        <v>340</v>
      </c>
      <c r="C90" s="5" t="s">
        <v>9</v>
      </c>
      <c r="D90" s="6" t="s">
        <v>364</v>
      </c>
      <c r="E90" s="6" t="s">
        <v>17</v>
      </c>
      <c r="F90" s="6" t="s">
        <v>365</v>
      </c>
      <c r="G90" s="6" t="s">
        <v>366</v>
      </c>
      <c r="H90" s="6" t="s">
        <v>367</v>
      </c>
    </row>
    <row r="91" ht="69" customHeight="1" spans="1:8">
      <c r="A91" s="5" t="str">
        <f t="shared" si="1"/>
        <v>ZB-090</v>
      </c>
      <c r="B91" s="6" t="s">
        <v>340</v>
      </c>
      <c r="C91" s="5" t="s">
        <v>15</v>
      </c>
      <c r="D91" s="6" t="s">
        <v>368</v>
      </c>
      <c r="E91" s="6" t="s">
        <v>17</v>
      </c>
      <c r="F91" s="6" t="s">
        <v>87</v>
      </c>
      <c r="G91" s="6" t="s">
        <v>369</v>
      </c>
      <c r="H91" s="6" t="s">
        <v>370</v>
      </c>
    </row>
    <row r="92" ht="69" customHeight="1" spans="1:8">
      <c r="A92" s="5" t="str">
        <f t="shared" si="1"/>
        <v>ZB-091</v>
      </c>
      <c r="B92" s="6" t="s">
        <v>340</v>
      </c>
      <c r="C92" s="5" t="s">
        <v>15</v>
      </c>
      <c r="D92" s="6" t="s">
        <v>371</v>
      </c>
      <c r="E92" s="6" t="s">
        <v>17</v>
      </c>
      <c r="F92" s="6" t="s">
        <v>372</v>
      </c>
      <c r="G92" s="6" t="s">
        <v>373</v>
      </c>
      <c r="H92" s="6" t="s">
        <v>374</v>
      </c>
    </row>
    <row r="93" ht="69" customHeight="1" spans="1:8">
      <c r="A93" s="5" t="str">
        <f t="shared" si="1"/>
        <v>ZB-092</v>
      </c>
      <c r="B93" s="6" t="s">
        <v>340</v>
      </c>
      <c r="C93" s="5" t="s">
        <v>15</v>
      </c>
      <c r="D93" s="6" t="s">
        <v>375</v>
      </c>
      <c r="E93" s="6" t="s">
        <v>17</v>
      </c>
      <c r="F93" s="6" t="s">
        <v>376</v>
      </c>
      <c r="G93" s="6" t="s">
        <v>377</v>
      </c>
      <c r="H93" s="6" t="s">
        <v>378</v>
      </c>
    </row>
    <row r="94" ht="69" customHeight="1" spans="1:8">
      <c r="A94" s="5" t="str">
        <f t="shared" si="1"/>
        <v>ZB-093</v>
      </c>
      <c r="B94" s="6" t="s">
        <v>340</v>
      </c>
      <c r="C94" s="5" t="s">
        <v>15</v>
      </c>
      <c r="D94" s="6" t="s">
        <v>379</v>
      </c>
      <c r="E94" s="6" t="s">
        <v>17</v>
      </c>
      <c r="F94" s="6" t="s">
        <v>376</v>
      </c>
      <c r="G94" s="6" t="s">
        <v>380</v>
      </c>
      <c r="H94" s="6" t="s">
        <v>381</v>
      </c>
    </row>
    <row r="95" s="1" customFormat="1" ht="69" customHeight="1" spans="1:8">
      <c r="A95" s="3" t="str">
        <f>IF(D95="","","ZB-"&amp;TEXT(ROW()-1,"000"))</f>
        <v>ZB-094</v>
      </c>
      <c r="B95" s="4" t="s">
        <v>382</v>
      </c>
      <c r="C95" s="3" t="s">
        <v>9</v>
      </c>
      <c r="D95" s="4" t="s">
        <v>383</v>
      </c>
      <c r="E95" s="4" t="s">
        <v>17</v>
      </c>
      <c r="F95" s="4" t="s">
        <v>384</v>
      </c>
      <c r="G95" s="4" t="s">
        <v>385</v>
      </c>
      <c r="H95" s="4" t="s">
        <v>386</v>
      </c>
    </row>
    <row r="96" s="1" customFormat="1" ht="69" customHeight="1" spans="1:8">
      <c r="A96" s="3" t="str">
        <f>IF(D96="","","ZB-"&amp;TEXT(ROW()-1,"000"))</f>
        <v>ZB-095</v>
      </c>
      <c r="B96" s="4" t="s">
        <v>382</v>
      </c>
      <c r="C96" s="3" t="s">
        <v>9</v>
      </c>
      <c r="D96" s="4" t="s">
        <v>387</v>
      </c>
      <c r="E96" s="4" t="s">
        <v>17</v>
      </c>
      <c r="F96" s="4" t="s">
        <v>388</v>
      </c>
      <c r="G96" s="4" t="s">
        <v>389</v>
      </c>
      <c r="H96" s="4" t="s">
        <v>390</v>
      </c>
    </row>
    <row r="97" s="1" customFormat="1" ht="69" customHeight="1" spans="1:8">
      <c r="A97" s="3" t="str">
        <f>IF(D97="","","ZB-"&amp;TEXT(ROW()-1,"000"))</f>
        <v>ZB-096</v>
      </c>
      <c r="B97" s="4" t="s">
        <v>382</v>
      </c>
      <c r="C97" s="3" t="s">
        <v>9</v>
      </c>
      <c r="D97" s="4" t="s">
        <v>391</v>
      </c>
      <c r="E97" s="4" t="s">
        <v>17</v>
      </c>
      <c r="F97" s="4" t="s">
        <v>392</v>
      </c>
      <c r="G97" s="4" t="s">
        <v>393</v>
      </c>
      <c r="H97" s="4" t="s">
        <v>394</v>
      </c>
    </row>
    <row r="98" s="1" customFormat="1" ht="69" customHeight="1" spans="1:8">
      <c r="A98" s="3" t="str">
        <f>IF(D98="","","ZB-"&amp;TEXT(ROW()-1,"000"))</f>
        <v>ZB-097</v>
      </c>
      <c r="B98" s="4" t="s">
        <v>382</v>
      </c>
      <c r="C98" s="3" t="s">
        <v>15</v>
      </c>
      <c r="D98" s="4" t="s">
        <v>395</v>
      </c>
      <c r="E98" s="4" t="s">
        <v>17</v>
      </c>
      <c r="F98" s="4" t="s">
        <v>396</v>
      </c>
      <c r="G98" s="4" t="s">
        <v>397</v>
      </c>
      <c r="H98" s="4" t="s">
        <v>398</v>
      </c>
    </row>
    <row r="99" s="1" customFormat="1" ht="69" customHeight="1" spans="1:8">
      <c r="A99" s="3" t="str">
        <f>IF(D99="","","ZB-"&amp;TEXT(ROW()-1,"000"))</f>
        <v>ZB-098</v>
      </c>
      <c r="B99" s="4" t="s">
        <v>382</v>
      </c>
      <c r="C99" s="3" t="s">
        <v>9</v>
      </c>
      <c r="D99" s="4" t="s">
        <v>399</v>
      </c>
      <c r="E99" s="4" t="s">
        <v>17</v>
      </c>
      <c r="F99" s="4" t="s">
        <v>396</v>
      </c>
      <c r="G99" s="4" t="s">
        <v>400</v>
      </c>
      <c r="H99" s="4" t="s">
        <v>401</v>
      </c>
    </row>
    <row r="100" s="1" customFormat="1" ht="69" customHeight="1" spans="1:8">
      <c r="A100" s="3" t="str">
        <f>IF(D100="","","ZB-"&amp;TEXT(ROW()-1,"000"))</f>
        <v>ZB-099</v>
      </c>
      <c r="B100" s="4" t="s">
        <v>382</v>
      </c>
      <c r="C100" s="3" t="s">
        <v>9</v>
      </c>
      <c r="D100" s="4" t="s">
        <v>402</v>
      </c>
      <c r="E100" s="4" t="s">
        <v>403</v>
      </c>
      <c r="F100" s="4" t="s">
        <v>404</v>
      </c>
      <c r="G100" s="4" t="s">
        <v>405</v>
      </c>
      <c r="H100" s="4" t="s">
        <v>406</v>
      </c>
    </row>
    <row r="101" s="1" customFormat="1" ht="69" customHeight="1" spans="1:8">
      <c r="A101" s="3" t="str">
        <f>IF(D101="","","ZB-"&amp;TEXT(ROW()-1,"000"))</f>
        <v>ZB-100</v>
      </c>
      <c r="B101" s="4" t="s">
        <v>407</v>
      </c>
      <c r="C101" s="3" t="s">
        <v>9</v>
      </c>
      <c r="D101" s="4" t="s">
        <v>408</v>
      </c>
      <c r="E101" s="4" t="s">
        <v>409</v>
      </c>
      <c r="F101" s="4" t="s">
        <v>410</v>
      </c>
      <c r="G101" s="4" t="s">
        <v>411</v>
      </c>
      <c r="H101" s="4" t="s">
        <v>412</v>
      </c>
    </row>
    <row r="102" ht="69" customHeight="1" spans="1:8">
      <c r="A102" s="3" t="str">
        <f>IF(D102="","","ZB-"&amp;TEXT(ROW()-1,"000"))</f>
        <v>ZB-101</v>
      </c>
      <c r="B102" s="4" t="s">
        <v>407</v>
      </c>
      <c r="C102" s="3" t="s">
        <v>9</v>
      </c>
      <c r="D102" s="4" t="s">
        <v>413</v>
      </c>
      <c r="E102" s="4" t="s">
        <v>409</v>
      </c>
      <c r="F102" s="4" t="s">
        <v>414</v>
      </c>
      <c r="G102" s="4" t="s">
        <v>415</v>
      </c>
      <c r="H102" s="4" t="s">
        <v>416</v>
      </c>
    </row>
    <row r="103" s="1" customFormat="1" ht="69" customHeight="1" spans="1:8">
      <c r="A103" s="3" t="str">
        <f t="shared" ref="A103:A106" si="2">IF(D103="","","ZB-"&amp;TEXT(ROW()-1,"000"))</f>
        <v>ZB-102</v>
      </c>
      <c r="B103" s="4" t="s">
        <v>407</v>
      </c>
      <c r="C103" s="3" t="s">
        <v>9</v>
      </c>
      <c r="D103" s="4" t="s">
        <v>417</v>
      </c>
      <c r="E103" s="4" t="s">
        <v>409</v>
      </c>
      <c r="F103" s="4" t="s">
        <v>418</v>
      </c>
      <c r="G103" s="4" t="s">
        <v>419</v>
      </c>
      <c r="H103" s="4" t="s">
        <v>420</v>
      </c>
    </row>
    <row r="104" s="1" customFormat="1" ht="69" customHeight="1" spans="1:8">
      <c r="A104" s="3" t="str">
        <f t="shared" si="2"/>
        <v>ZB-103</v>
      </c>
      <c r="B104" s="4" t="s">
        <v>407</v>
      </c>
      <c r="C104" s="3" t="s">
        <v>9</v>
      </c>
      <c r="D104" s="4" t="s">
        <v>421</v>
      </c>
      <c r="E104" s="4" t="s">
        <v>409</v>
      </c>
      <c r="F104" s="4" t="s">
        <v>422</v>
      </c>
      <c r="G104" s="4" t="s">
        <v>423</v>
      </c>
      <c r="H104" s="4" t="s">
        <v>424</v>
      </c>
    </row>
    <row r="105" s="1" customFormat="1" ht="69" customHeight="1" spans="1:8">
      <c r="A105" s="3" t="str">
        <f t="shared" si="2"/>
        <v>ZB-104</v>
      </c>
      <c r="B105" s="4" t="s">
        <v>407</v>
      </c>
      <c r="C105" s="3" t="s">
        <v>9</v>
      </c>
      <c r="D105" s="4" t="s">
        <v>425</v>
      </c>
      <c r="E105" s="4" t="s">
        <v>409</v>
      </c>
      <c r="F105" s="4" t="s">
        <v>418</v>
      </c>
      <c r="G105" s="4" t="s">
        <v>419</v>
      </c>
      <c r="H105" s="4" t="s">
        <v>420</v>
      </c>
    </row>
    <row r="106" s="1" customFormat="1" ht="69" customHeight="1" spans="1:8">
      <c r="A106" s="3" t="str">
        <f t="shared" si="2"/>
        <v>ZB-105</v>
      </c>
      <c r="B106" s="4" t="s">
        <v>407</v>
      </c>
      <c r="C106" s="3" t="s">
        <v>9</v>
      </c>
      <c r="D106" s="4" t="s">
        <v>426</v>
      </c>
      <c r="E106" s="4" t="s">
        <v>409</v>
      </c>
      <c r="F106" s="4" t="s">
        <v>422</v>
      </c>
      <c r="G106" s="4" t="s">
        <v>423</v>
      </c>
      <c r="H106" s="4" t="s">
        <v>424</v>
      </c>
    </row>
    <row r="107" s="1" customFormat="1" ht="69" customHeight="1" spans="1:8">
      <c r="A107" s="3" t="str">
        <f t="shared" ref="A107:A111" si="3">IF(D107="","","ZB-"&amp;TEXT(ROW()-1,"000"))</f>
        <v>ZB-106</v>
      </c>
      <c r="B107" s="4" t="s">
        <v>407</v>
      </c>
      <c r="C107" s="3" t="s">
        <v>9</v>
      </c>
      <c r="D107" s="4" t="s">
        <v>427</v>
      </c>
      <c r="E107" s="4" t="s">
        <v>409</v>
      </c>
      <c r="F107" s="4" t="s">
        <v>428</v>
      </c>
      <c r="G107" s="4" t="s">
        <v>429</v>
      </c>
      <c r="H107" s="4" t="s">
        <v>430</v>
      </c>
    </row>
    <row r="108" s="1" customFormat="1" ht="69" customHeight="1" spans="1:8">
      <c r="A108" s="3" t="str">
        <f t="shared" si="3"/>
        <v>ZB-107</v>
      </c>
      <c r="B108" s="4" t="s">
        <v>407</v>
      </c>
      <c r="C108" s="3" t="s">
        <v>9</v>
      </c>
      <c r="D108" s="4" t="s">
        <v>431</v>
      </c>
      <c r="E108" s="4" t="s">
        <v>409</v>
      </c>
      <c r="F108" s="4" t="s">
        <v>432</v>
      </c>
      <c r="G108" s="4" t="s">
        <v>433</v>
      </c>
      <c r="H108" s="4" t="s">
        <v>434</v>
      </c>
    </row>
    <row r="109" s="1" customFormat="1" ht="69" customHeight="1" spans="1:8">
      <c r="A109" s="3" t="str">
        <f t="shared" si="3"/>
        <v>ZB-108</v>
      </c>
      <c r="B109" s="4" t="s">
        <v>407</v>
      </c>
      <c r="C109" s="3" t="s">
        <v>9</v>
      </c>
      <c r="D109" s="4" t="s">
        <v>435</v>
      </c>
      <c r="E109" s="4" t="s">
        <v>409</v>
      </c>
      <c r="F109" s="4" t="s">
        <v>436</v>
      </c>
      <c r="G109" s="4" t="s">
        <v>437</v>
      </c>
      <c r="H109" s="4" t="s">
        <v>438</v>
      </c>
    </row>
    <row r="110" s="1" customFormat="1" ht="69" customHeight="1" spans="1:8">
      <c r="A110" s="3" t="str">
        <f t="shared" si="3"/>
        <v>ZB-109</v>
      </c>
      <c r="B110" s="4" t="s">
        <v>407</v>
      </c>
      <c r="C110" s="3" t="s">
        <v>9</v>
      </c>
      <c r="D110" s="4" t="s">
        <v>439</v>
      </c>
      <c r="E110" s="4" t="s">
        <v>409</v>
      </c>
      <c r="F110" s="4" t="s">
        <v>440</v>
      </c>
      <c r="G110" s="4" t="s">
        <v>441</v>
      </c>
      <c r="H110" s="4" t="s">
        <v>442</v>
      </c>
    </row>
    <row r="111" s="1" customFormat="1" ht="69" customHeight="1" spans="1:8">
      <c r="A111" s="3" t="str">
        <f t="shared" si="3"/>
        <v>ZB-110</v>
      </c>
      <c r="B111" s="4" t="s">
        <v>407</v>
      </c>
      <c r="C111" s="3" t="s">
        <v>9</v>
      </c>
      <c r="D111" s="4" t="s">
        <v>443</v>
      </c>
      <c r="E111" s="4" t="s">
        <v>409</v>
      </c>
      <c r="F111" s="4" t="s">
        <v>440</v>
      </c>
      <c r="G111" s="4" t="s">
        <v>441</v>
      </c>
      <c r="H111" s="4" t="s">
        <v>442</v>
      </c>
    </row>
    <row r="112" s="1" customFormat="1" ht="69" customHeight="1" spans="1:8">
      <c r="A112" s="3" t="str">
        <f>IF(D112="","","ZB-"&amp;TEXT(ROW()-1,"000"))</f>
        <v>ZB-111</v>
      </c>
      <c r="B112" s="4" t="s">
        <v>407</v>
      </c>
      <c r="C112" s="3" t="s">
        <v>9</v>
      </c>
      <c r="D112" s="4" t="s">
        <v>444</v>
      </c>
      <c r="E112" s="4" t="s">
        <v>409</v>
      </c>
      <c r="F112" s="4" t="s">
        <v>445</v>
      </c>
      <c r="G112" s="4" t="s">
        <v>446</v>
      </c>
      <c r="H112" s="4" t="s">
        <v>447</v>
      </c>
    </row>
    <row r="113" s="1" customFormat="1" ht="69" customHeight="1" spans="1:8">
      <c r="A113" s="3" t="str">
        <f>IF(D113="","","ZB-"&amp;TEXT(ROW()-1,"000"))</f>
        <v>ZB-112</v>
      </c>
      <c r="B113" s="4" t="s">
        <v>407</v>
      </c>
      <c r="C113" s="3" t="s">
        <v>9</v>
      </c>
      <c r="D113" s="4" t="s">
        <v>448</v>
      </c>
      <c r="E113" s="4" t="s">
        <v>409</v>
      </c>
      <c r="F113" s="4" t="s">
        <v>449</v>
      </c>
      <c r="G113" s="4" t="s">
        <v>450</v>
      </c>
      <c r="H113" s="4" t="s">
        <v>451</v>
      </c>
    </row>
    <row r="114" s="1" customFormat="1" ht="69" customHeight="1" spans="1:8">
      <c r="A114" s="3" t="str">
        <f>IF(D114="","","ZB-"&amp;TEXT(ROW()-1,"000"))</f>
        <v>ZB-113</v>
      </c>
      <c r="B114" s="4" t="s">
        <v>407</v>
      </c>
      <c r="C114" s="3" t="s">
        <v>9</v>
      </c>
      <c r="D114" s="4" t="s">
        <v>452</v>
      </c>
      <c r="E114" s="4" t="s">
        <v>409</v>
      </c>
      <c r="F114" s="4" t="s">
        <v>453</v>
      </c>
      <c r="G114" s="4" t="s">
        <v>454</v>
      </c>
      <c r="H114" s="4" t="s">
        <v>455</v>
      </c>
    </row>
    <row r="115" s="1" customFormat="1" ht="69" customHeight="1" spans="1:8">
      <c r="A115" s="3" t="str">
        <f>IF(D115="","","ZB-"&amp;TEXT(ROW()-1,"000"))</f>
        <v>ZB-114</v>
      </c>
      <c r="B115" s="4" t="s">
        <v>407</v>
      </c>
      <c r="C115" s="3" t="s">
        <v>9</v>
      </c>
      <c r="D115" s="4" t="s">
        <v>456</v>
      </c>
      <c r="E115" s="4" t="s">
        <v>409</v>
      </c>
      <c r="F115" s="4" t="s">
        <v>457</v>
      </c>
      <c r="G115" s="4" t="s">
        <v>458</v>
      </c>
      <c r="H115" s="4" t="s">
        <v>459</v>
      </c>
    </row>
    <row r="116" s="1" customFormat="1" ht="69" customHeight="1" spans="1:8">
      <c r="A116" s="3" t="str">
        <f>IF(D116="","","ZB-"&amp;TEXT(ROW()-1,"000"))</f>
        <v>ZB-115</v>
      </c>
      <c r="B116" s="4" t="s">
        <v>407</v>
      </c>
      <c r="C116" s="3" t="s">
        <v>9</v>
      </c>
      <c r="D116" s="4" t="s">
        <v>460</v>
      </c>
      <c r="E116" s="4" t="s">
        <v>461</v>
      </c>
      <c r="F116" s="4" t="s">
        <v>462</v>
      </c>
      <c r="G116" s="4" t="s">
        <v>463</v>
      </c>
      <c r="H116" s="4" t="s">
        <v>464</v>
      </c>
    </row>
    <row r="117" s="1" customFormat="1" ht="69" customHeight="1" spans="1:8">
      <c r="A117" s="3" t="str">
        <f>IF(D117="","","ZB-"&amp;TEXT(ROW()-1,"000"))</f>
        <v>ZB-116</v>
      </c>
      <c r="B117" s="4" t="s">
        <v>407</v>
      </c>
      <c r="C117" s="3" t="s">
        <v>9</v>
      </c>
      <c r="D117" s="4" t="s">
        <v>465</v>
      </c>
      <c r="E117" s="4" t="s">
        <v>466</v>
      </c>
      <c r="F117" s="4" t="s">
        <v>467</v>
      </c>
      <c r="G117" s="4" t="s">
        <v>468</v>
      </c>
      <c r="H117" s="4" t="s">
        <v>469</v>
      </c>
    </row>
    <row r="118" s="1" customFormat="1" ht="69" customHeight="1" spans="1:8">
      <c r="A118" s="3" t="str">
        <f>IF(D118="","","ZB-"&amp;TEXT(ROW()-1,"000"))</f>
        <v>ZB-117</v>
      </c>
      <c r="B118" s="4" t="s">
        <v>407</v>
      </c>
      <c r="C118" s="3" t="s">
        <v>9</v>
      </c>
      <c r="D118" s="4" t="s">
        <v>470</v>
      </c>
      <c r="E118" s="4" t="s">
        <v>471</v>
      </c>
      <c r="F118" s="4" t="s">
        <v>472</v>
      </c>
      <c r="G118" s="4" t="s">
        <v>473</v>
      </c>
      <c r="H118" s="4" t="s">
        <v>474</v>
      </c>
    </row>
    <row r="119" s="1" customFormat="1" ht="69" customHeight="1" spans="1:8">
      <c r="A119" s="3" t="str">
        <f>IF(D119="","","ZB-"&amp;TEXT(ROW()-1,"000"))</f>
        <v>ZB-118</v>
      </c>
      <c r="B119" s="4" t="s">
        <v>475</v>
      </c>
      <c r="C119" s="3" t="s">
        <v>15</v>
      </c>
      <c r="D119" s="4" t="s">
        <v>476</v>
      </c>
      <c r="E119" s="4" t="s">
        <v>17</v>
      </c>
      <c r="F119" s="4" t="s">
        <v>477</v>
      </c>
      <c r="G119" s="4" t="s">
        <v>478</v>
      </c>
      <c r="H119" s="4" t="s">
        <v>479</v>
      </c>
    </row>
  </sheetData>
  <dataValidations count="1">
    <dataValidation type="list" sqref="C107 C111 C112 C119 C2:C6 C7:C12 C13:C22 C23:C94 C95:C100 C101:C102 C103:C104 C105:C106 C108:C110 C113:C114 C115:C118">
      <formula1>"P0,P1,P2"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账变流水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万</cp:lastModifiedBy>
  <dcterms:created xsi:type="dcterms:W3CDTF">2026-08-04T09:25:31Z</dcterms:created>
  <dcterms:modified xsi:type="dcterms:W3CDTF">2026-08-06T06:38:16Z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7FCFD8BC15AA4C47B145618BCD7B6A3D_12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