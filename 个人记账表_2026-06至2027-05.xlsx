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流水记账" sheetId="1" r:id="rId1"/>
    <sheet name="按周汇总" sheetId="2" r:id="rId2"/>
    <sheet name="按月汇总" sheetId="3" r:id="rId3"/>
    <sheet name="选项设置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¥#,##0.00;[Red]-¥#,##0.00;¥0.00"/>
    <numFmt numFmtId="165" formatCode="m月d日"/>
  </numFmts>
  <fonts count="4">
    <font>
      <sz val="11"/>
      <color rgb="FF334235"/>
      <name val="Microsoft YaHei"/>
    </font>
    <font>
      <b/>
      <sz val="11"/>
      <color rgb="FF263528"/>
      <name val="Microsoft YaHei"/>
    </font>
    <font>
      <b/>
      <sz val="13"/>
      <color rgb="FF243225"/>
      <name val="Microsoft YaHei"/>
    </font>
    <font>
      <b/>
      <sz val="12"/>
      <color rgb="FF243225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F8F5EA"/>
        <bgColor indexed="64"/>
      </patternFill>
    </fill>
    <fill>
      <patternFill patternType="solid">
        <fgColor rgb="FFDDE8D4"/>
        <bgColor indexed="64"/>
      </patternFill>
    </fill>
    <fill>
      <patternFill patternType="solid">
        <fgColor rgb="FFC9D8BF"/>
        <bgColor indexed="64"/>
      </patternFill>
    </fill>
    <fill>
      <patternFill patternType="solid">
        <fgColor rgb="FFF0F6EA"/>
        <bgColor indexed="64"/>
      </patternFill>
    </fill>
    <fill>
      <patternFill patternType="solid">
        <fgColor rgb="FFE7EEDA"/>
        <bgColor indexed="64"/>
      </patternFill>
    </fill>
    <fill>
      <patternFill patternType="solid">
        <fgColor rgb="FFFFFFFF"/>
        <bgColor indexed="64"/>
      </patternFill>
    </fill>
  </fills>
  <borders count="2">
    <border/>
    <border>
      <left style="thin">
        <color rgb="FFD8DED0"/>
      </left>
      <right style="thin">
        <color rgb="FFD8DED0"/>
      </right>
      <top style="thin">
        <color rgb="FFD8DED0"/>
      </top>
      <bottom style="thin">
        <color rgb="FFD8DED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4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9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2" customWidth="1"/>
    <col min="2" max="2" width="11" customWidth="1"/>
    <col min="3" max="3" width="14" customWidth="1"/>
    <col min="4" max="4" width="18" customWidth="1"/>
    <col min="5" max="7" width="13" customWidth="1"/>
    <col min="8" max="8" width="13" customWidth="1"/>
    <col min="9" max="9" width="28" customWidth="1"/>
  </cols>
  <sheetData>
    <row r="1" ht="24" customHeight="1">
      <c r="A1" t="inlineStr" s="1">
        <is>
          <t>日期</t>
        </is>
      </c>
      <c r="B1" t="inlineStr" s="1">
        <is>
          <t>星期</t>
        </is>
      </c>
      <c r="C1" t="inlineStr" s="1">
        <is>
          <t>分类</t>
        </is>
      </c>
      <c r="D1" t="inlineStr" s="1">
        <is>
          <t>事项</t>
        </is>
      </c>
      <c r="E1" t="inlineStr" s="1">
        <is>
          <t>支出金额</t>
        </is>
      </c>
      <c r="F1" t="inlineStr" s="1">
        <is>
          <t>收入金额</t>
        </is>
      </c>
      <c r="G1" t="inlineStr" s="1">
        <is>
          <t>当笔净额</t>
        </is>
      </c>
      <c r="H1" t="inlineStr" s="1">
        <is>
          <t>支付方式</t>
        </is>
      </c>
      <c r="I1" t="inlineStr" s="1">
        <is>
          <t>备注</t>
        </is>
      </c>
    </row>
    <row r="2" ht="26" customHeight="1">
      <c r="A2" t="inlineStr" s="2">
        <is>
          <t>2026年6月｜第一周（6月1日 - 6月7日）</t>
        </is>
      </c>
      <c r="B2" s="2"/>
      <c r="C2" s="2"/>
      <c r="D2" s="2"/>
      <c r="E2" s="2"/>
      <c r="F2" s="2"/>
      <c r="G2" s="2"/>
      <c r="H2" s="2"/>
      <c r="I2" s="2"/>
    </row>
    <row r="3" ht="22" customHeight="1">
      <c r="A3" t="inlineStr" s="1">
        <is>
          <t>日期</t>
        </is>
      </c>
      <c r="B3" t="inlineStr" s="1">
        <is>
          <t>星期</t>
        </is>
      </c>
      <c r="C3" t="inlineStr" s="1">
        <is>
          <t>分类</t>
        </is>
      </c>
      <c r="D3" t="inlineStr" s="1">
        <is>
          <t>事项</t>
        </is>
      </c>
      <c r="E3" t="inlineStr" s="1">
        <is>
          <t>支出金额</t>
        </is>
      </c>
      <c r="F3" t="inlineStr" s="1">
        <is>
          <t>收入金额</t>
        </is>
      </c>
      <c r="G3" t="inlineStr" s="1">
        <is>
          <t>当笔净额</t>
        </is>
      </c>
      <c r="H3" t="inlineStr" s="1">
        <is>
          <t>支付方式</t>
        </is>
      </c>
      <c r="I3" t="inlineStr" s="1">
        <is>
          <t>备注</t>
        </is>
      </c>
    </row>
    <row r="4" ht="21" customHeight="1">
      <c r="A4" s="3">
        <v>46174</v>
      </c>
      <c r="B4" t="inlineStr" s="4">
        <is>
          <t>星期一</t>
        </is>
      </c>
      <c r="C4" t="inlineStr" s="4">
        <is>
          <t>餐饮</t>
        </is>
      </c>
      <c r="D4" t="inlineStr" s="5">
        <is>
          <t>早餐</t>
        </is>
      </c>
      <c r="E4" s="6"/>
      <c r="F4" s="6"/>
      <c r="G4" s="6">
        <f>IF(AND(E4="",F4=""),"",F4-E4)</f>
      </c>
      <c r="H4" s="4"/>
      <c r="I4" s="5"/>
    </row>
    <row r="5" ht="21" customHeight="1">
      <c r="A5" s="3">
        <v>46174</v>
      </c>
      <c r="B5" t="inlineStr" s="4">
        <is>
          <t>星期一</t>
        </is>
      </c>
      <c r="C5" t="inlineStr" s="4">
        <is>
          <t>餐饮</t>
        </is>
      </c>
      <c r="D5" t="inlineStr" s="5">
        <is>
          <t>中餐</t>
        </is>
      </c>
      <c r="E5" s="6"/>
      <c r="F5" s="6"/>
      <c r="G5" s="6">
        <f>IF(AND(E5="",F5=""),"",F5-E5)</f>
      </c>
      <c r="H5" s="4"/>
      <c r="I5" s="5"/>
    </row>
    <row r="6" ht="21" customHeight="1">
      <c r="A6" s="3">
        <v>46174</v>
      </c>
      <c r="B6" t="inlineStr" s="4">
        <is>
          <t>星期一</t>
        </is>
      </c>
      <c r="C6" t="inlineStr" s="4">
        <is>
          <t>餐饮</t>
        </is>
      </c>
      <c r="D6" t="inlineStr" s="5">
        <is>
          <t>晚餐</t>
        </is>
      </c>
      <c r="E6" s="6"/>
      <c r="F6" s="6"/>
      <c r="G6" s="6">
        <f>IF(AND(E6="",F6=""),"",F6-E6)</f>
      </c>
      <c r="H6" s="4"/>
      <c r="I6" s="5"/>
    </row>
    <row r="7" ht="21" customHeight="1">
      <c r="A7" s="3">
        <v>46174</v>
      </c>
      <c r="B7" t="inlineStr" s="4">
        <is>
          <t>星期一</t>
        </is>
      </c>
      <c r="C7" t="inlineStr" s="4">
        <is>
          <t>奶茶/咖啡</t>
        </is>
      </c>
      <c r="D7" t="inlineStr" s="5">
        <is>
          <t>奶茶/咖啡</t>
        </is>
      </c>
      <c r="E7" s="6"/>
      <c r="F7" s="6"/>
      <c r="G7" s="6">
        <f>IF(AND(E7="",F7=""),"",F7-E7)</f>
      </c>
      <c r="H7" s="4"/>
      <c r="I7" s="5"/>
    </row>
    <row r="8" ht="21" customHeight="1">
      <c r="A8" s="3">
        <v>46174</v>
      </c>
      <c r="B8" t="inlineStr" s="4">
        <is>
          <t>星期一</t>
        </is>
      </c>
      <c r="C8" t="inlineStr" s="4">
        <is>
          <t>其他</t>
        </is>
      </c>
      <c r="D8" t="inlineStr" s="5">
        <is>
          <t>其他</t>
        </is>
      </c>
      <c r="E8" s="6"/>
      <c r="F8" s="6"/>
      <c r="G8" s="6">
        <f>IF(AND(E8="",F8=""),"",F8-E8)</f>
      </c>
      <c r="H8" s="4"/>
      <c r="I8" s="5"/>
    </row>
    <row r="9" ht="21" customHeight="1">
      <c r="A9" s="3">
        <v>46174</v>
      </c>
      <c r="B9" t="inlineStr" s="4">
        <is>
          <t>星期一</t>
        </is>
      </c>
      <c r="C9" t="inlineStr" s="4">
        <is>
          <t>其他</t>
        </is>
      </c>
      <c r="D9" t="inlineStr" s="5">
        <is>
          <t>其他</t>
        </is>
      </c>
      <c r="E9" s="6"/>
      <c r="F9" s="6"/>
      <c r="G9" s="6">
        <f>IF(AND(E9="",F9=""),"",F9-E9)</f>
      </c>
      <c r="H9" s="4"/>
      <c r="I9" s="5"/>
    </row>
    <row r="10" ht="21" customHeight="1">
      <c r="A10" s="3">
        <v>46175</v>
      </c>
      <c r="B10" t="inlineStr" s="4">
        <is>
          <t>星期二</t>
        </is>
      </c>
      <c r="C10" t="inlineStr" s="4">
        <is>
          <t>餐饮</t>
        </is>
      </c>
      <c r="D10" t="inlineStr" s="5">
        <is>
          <t>早餐</t>
        </is>
      </c>
      <c r="E10" s="6"/>
      <c r="F10" s="6"/>
      <c r="G10" s="6">
        <f>IF(AND(E10="",F10=""),"",F10-E10)</f>
      </c>
      <c r="H10" s="4"/>
      <c r="I10" s="5"/>
    </row>
    <row r="11" ht="21" customHeight="1">
      <c r="A11" s="3">
        <v>46175</v>
      </c>
      <c r="B11" t="inlineStr" s="4">
        <is>
          <t>星期二</t>
        </is>
      </c>
      <c r="C11" t="inlineStr" s="4">
        <is>
          <t>餐饮</t>
        </is>
      </c>
      <c r="D11" t="inlineStr" s="5">
        <is>
          <t>中餐</t>
        </is>
      </c>
      <c r="E11" s="6"/>
      <c r="F11" s="6"/>
      <c r="G11" s="6">
        <f>IF(AND(E11="",F11=""),"",F11-E11)</f>
      </c>
      <c r="H11" s="4"/>
      <c r="I11" s="5"/>
    </row>
    <row r="12" ht="21" customHeight="1">
      <c r="A12" s="3">
        <v>46175</v>
      </c>
      <c r="B12" t="inlineStr" s="4">
        <is>
          <t>星期二</t>
        </is>
      </c>
      <c r="C12" t="inlineStr" s="4">
        <is>
          <t>餐饮</t>
        </is>
      </c>
      <c r="D12" t="inlineStr" s="5">
        <is>
          <t>晚餐</t>
        </is>
      </c>
      <c r="E12" s="6"/>
      <c r="F12" s="6"/>
      <c r="G12" s="6">
        <f>IF(AND(E12="",F12=""),"",F12-E12)</f>
      </c>
      <c r="H12" s="4"/>
      <c r="I12" s="5"/>
    </row>
    <row r="13" ht="21" customHeight="1">
      <c r="A13" s="3">
        <v>46175</v>
      </c>
      <c r="B13" t="inlineStr" s="4">
        <is>
          <t>星期二</t>
        </is>
      </c>
      <c r="C13" t="inlineStr" s="4">
        <is>
          <t>奶茶/咖啡</t>
        </is>
      </c>
      <c r="D13" t="inlineStr" s="5">
        <is>
          <t>奶茶/咖啡</t>
        </is>
      </c>
      <c r="E13" s="6"/>
      <c r="F13" s="6"/>
      <c r="G13" s="6">
        <f>IF(AND(E13="",F13=""),"",F13-E13)</f>
      </c>
      <c r="H13" s="4"/>
      <c r="I13" s="5"/>
    </row>
    <row r="14" ht="21" customHeight="1">
      <c r="A14" s="3">
        <v>46175</v>
      </c>
      <c r="B14" t="inlineStr" s="4">
        <is>
          <t>星期二</t>
        </is>
      </c>
      <c r="C14" t="inlineStr" s="4">
        <is>
          <t>其他</t>
        </is>
      </c>
      <c r="D14" t="inlineStr" s="5">
        <is>
          <t>其他</t>
        </is>
      </c>
      <c r="E14" s="6"/>
      <c r="F14" s="6"/>
      <c r="G14" s="6">
        <f>IF(AND(E14="",F14=""),"",F14-E14)</f>
      </c>
      <c r="H14" s="4"/>
      <c r="I14" s="5"/>
    </row>
    <row r="15" ht="21" customHeight="1">
      <c r="A15" s="3">
        <v>46175</v>
      </c>
      <c r="B15" t="inlineStr" s="4">
        <is>
          <t>星期二</t>
        </is>
      </c>
      <c r="C15" t="inlineStr" s="4">
        <is>
          <t>其他</t>
        </is>
      </c>
      <c r="D15" t="inlineStr" s="5">
        <is>
          <t>其他</t>
        </is>
      </c>
      <c r="E15" s="6"/>
      <c r="F15" s="6"/>
      <c r="G15" s="6">
        <f>IF(AND(E15="",F15=""),"",F15-E15)</f>
      </c>
      <c r="H15" s="4"/>
      <c r="I15" s="5"/>
    </row>
    <row r="16" ht="21" customHeight="1">
      <c r="A16" s="3">
        <v>46176</v>
      </c>
      <c r="B16" t="inlineStr" s="4">
        <is>
          <t>星期三</t>
        </is>
      </c>
      <c r="C16" t="inlineStr" s="4">
        <is>
          <t>餐饮</t>
        </is>
      </c>
      <c r="D16" t="inlineStr" s="5">
        <is>
          <t>早餐</t>
        </is>
      </c>
      <c r="E16" s="6"/>
      <c r="F16" s="6"/>
      <c r="G16" s="6">
        <f>IF(AND(E16="",F16=""),"",F16-E16)</f>
      </c>
      <c r="H16" s="4"/>
      <c r="I16" s="5"/>
    </row>
    <row r="17" ht="21" customHeight="1">
      <c r="A17" s="3">
        <v>46176</v>
      </c>
      <c r="B17" t="inlineStr" s="4">
        <is>
          <t>星期三</t>
        </is>
      </c>
      <c r="C17" t="inlineStr" s="4">
        <is>
          <t>餐饮</t>
        </is>
      </c>
      <c r="D17" t="inlineStr" s="5">
        <is>
          <t>中餐</t>
        </is>
      </c>
      <c r="E17" s="6"/>
      <c r="F17" s="6"/>
      <c r="G17" s="6">
        <f>IF(AND(E17="",F17=""),"",F17-E17)</f>
      </c>
      <c r="H17" s="4"/>
      <c r="I17" s="5"/>
    </row>
    <row r="18" ht="21" customHeight="1">
      <c r="A18" s="3">
        <v>46176</v>
      </c>
      <c r="B18" t="inlineStr" s="4">
        <is>
          <t>星期三</t>
        </is>
      </c>
      <c r="C18" t="inlineStr" s="4">
        <is>
          <t>餐饮</t>
        </is>
      </c>
      <c r="D18" t="inlineStr" s="5">
        <is>
          <t>晚餐</t>
        </is>
      </c>
      <c r="E18" s="6"/>
      <c r="F18" s="6"/>
      <c r="G18" s="6">
        <f>IF(AND(E18="",F18=""),"",F18-E18)</f>
      </c>
      <c r="H18" s="4"/>
      <c r="I18" s="5"/>
    </row>
    <row r="19" ht="21" customHeight="1">
      <c r="A19" s="3">
        <v>46176</v>
      </c>
      <c r="B19" t="inlineStr" s="4">
        <is>
          <t>星期三</t>
        </is>
      </c>
      <c r="C19" t="inlineStr" s="4">
        <is>
          <t>奶茶/咖啡</t>
        </is>
      </c>
      <c r="D19" t="inlineStr" s="5">
        <is>
          <t>奶茶/咖啡</t>
        </is>
      </c>
      <c r="E19" s="6"/>
      <c r="F19" s="6"/>
      <c r="G19" s="6">
        <f>IF(AND(E19="",F19=""),"",F19-E19)</f>
      </c>
      <c r="H19" s="4"/>
      <c r="I19" s="5"/>
    </row>
    <row r="20" ht="21" customHeight="1">
      <c r="A20" s="3">
        <v>46176</v>
      </c>
      <c r="B20" t="inlineStr" s="4">
        <is>
          <t>星期三</t>
        </is>
      </c>
      <c r="C20" t="inlineStr" s="4">
        <is>
          <t>其他</t>
        </is>
      </c>
      <c r="D20" t="inlineStr" s="5">
        <is>
          <t>其他</t>
        </is>
      </c>
      <c r="E20" s="6"/>
      <c r="F20" s="6"/>
      <c r="G20" s="6">
        <f>IF(AND(E20="",F20=""),"",F20-E20)</f>
      </c>
      <c r="H20" s="4"/>
      <c r="I20" s="5"/>
    </row>
    <row r="21" ht="21" customHeight="1">
      <c r="A21" s="3">
        <v>46176</v>
      </c>
      <c r="B21" t="inlineStr" s="4">
        <is>
          <t>星期三</t>
        </is>
      </c>
      <c r="C21" t="inlineStr" s="4">
        <is>
          <t>其他</t>
        </is>
      </c>
      <c r="D21" t="inlineStr" s="5">
        <is>
          <t>其他</t>
        </is>
      </c>
      <c r="E21" s="6"/>
      <c r="F21" s="6"/>
      <c r="G21" s="6">
        <f>IF(AND(E21="",F21=""),"",F21-E21)</f>
      </c>
      <c r="H21" s="4"/>
      <c r="I21" s="5"/>
    </row>
    <row r="22" ht="21" customHeight="1">
      <c r="A22" s="3">
        <v>46177</v>
      </c>
      <c r="B22" t="inlineStr" s="4">
        <is>
          <t>星期四</t>
        </is>
      </c>
      <c r="C22" t="inlineStr" s="4">
        <is>
          <t>餐饮</t>
        </is>
      </c>
      <c r="D22" t="inlineStr" s="5">
        <is>
          <t>早餐</t>
        </is>
      </c>
      <c r="E22" s="6"/>
      <c r="F22" s="6"/>
      <c r="G22" s="6">
        <f>IF(AND(E22="",F22=""),"",F22-E22)</f>
      </c>
      <c r="H22" s="4"/>
      <c r="I22" s="5"/>
    </row>
    <row r="23" ht="21" customHeight="1">
      <c r="A23" s="3">
        <v>46177</v>
      </c>
      <c r="B23" t="inlineStr" s="4">
        <is>
          <t>星期四</t>
        </is>
      </c>
      <c r="C23" t="inlineStr" s="4">
        <is>
          <t>餐饮</t>
        </is>
      </c>
      <c r="D23" t="inlineStr" s="5">
        <is>
          <t>中餐</t>
        </is>
      </c>
      <c r="E23" s="6"/>
      <c r="F23" s="6"/>
      <c r="G23" s="6">
        <f>IF(AND(E23="",F23=""),"",F23-E23)</f>
      </c>
      <c r="H23" s="4"/>
      <c r="I23" s="5"/>
    </row>
    <row r="24" ht="21" customHeight="1">
      <c r="A24" s="3">
        <v>46177</v>
      </c>
      <c r="B24" t="inlineStr" s="4">
        <is>
          <t>星期四</t>
        </is>
      </c>
      <c r="C24" t="inlineStr" s="4">
        <is>
          <t>餐饮</t>
        </is>
      </c>
      <c r="D24" t="inlineStr" s="5">
        <is>
          <t>晚餐</t>
        </is>
      </c>
      <c r="E24" s="6"/>
      <c r="F24" s="6"/>
      <c r="G24" s="6">
        <f>IF(AND(E24="",F24=""),"",F24-E24)</f>
      </c>
      <c r="H24" s="4"/>
      <c r="I24" s="5"/>
    </row>
    <row r="25" ht="21" customHeight="1">
      <c r="A25" s="3">
        <v>46177</v>
      </c>
      <c r="B25" t="inlineStr" s="4">
        <is>
          <t>星期四</t>
        </is>
      </c>
      <c r="C25" t="inlineStr" s="4">
        <is>
          <t>奶茶/咖啡</t>
        </is>
      </c>
      <c r="D25" t="inlineStr" s="5">
        <is>
          <t>奶茶/咖啡</t>
        </is>
      </c>
      <c r="E25" s="6"/>
      <c r="F25" s="6"/>
      <c r="G25" s="6">
        <f>IF(AND(E25="",F25=""),"",F25-E25)</f>
      </c>
      <c r="H25" s="4"/>
      <c r="I25" s="5"/>
    </row>
    <row r="26" ht="21" customHeight="1">
      <c r="A26" s="3">
        <v>46177</v>
      </c>
      <c r="B26" t="inlineStr" s="4">
        <is>
          <t>星期四</t>
        </is>
      </c>
      <c r="C26" t="inlineStr" s="4">
        <is>
          <t>其他</t>
        </is>
      </c>
      <c r="D26" t="inlineStr" s="5">
        <is>
          <t>其他</t>
        </is>
      </c>
      <c r="E26" s="6"/>
      <c r="F26" s="6"/>
      <c r="G26" s="6">
        <f>IF(AND(E26="",F26=""),"",F26-E26)</f>
      </c>
      <c r="H26" s="4"/>
      <c r="I26" s="5"/>
    </row>
    <row r="27" ht="21" customHeight="1">
      <c r="A27" s="3">
        <v>46177</v>
      </c>
      <c r="B27" t="inlineStr" s="4">
        <is>
          <t>星期四</t>
        </is>
      </c>
      <c r="C27" t="inlineStr" s="4">
        <is>
          <t>其他</t>
        </is>
      </c>
      <c r="D27" t="inlineStr" s="5">
        <is>
          <t>其他</t>
        </is>
      </c>
      <c r="E27" s="6"/>
      <c r="F27" s="6"/>
      <c r="G27" s="6">
        <f>IF(AND(E27="",F27=""),"",F27-E27)</f>
      </c>
      <c r="H27" s="4"/>
      <c r="I27" s="5"/>
    </row>
    <row r="28" ht="21" customHeight="1">
      <c r="A28" s="3">
        <v>46178</v>
      </c>
      <c r="B28" t="inlineStr" s="4">
        <is>
          <t>星期五</t>
        </is>
      </c>
      <c r="C28" t="inlineStr" s="4">
        <is>
          <t>餐饮</t>
        </is>
      </c>
      <c r="D28" t="inlineStr" s="5">
        <is>
          <t>早餐</t>
        </is>
      </c>
      <c r="E28" s="6"/>
      <c r="F28" s="6"/>
      <c r="G28" s="6">
        <f>IF(AND(E28="",F28=""),"",F28-E28)</f>
      </c>
      <c r="H28" s="4"/>
      <c r="I28" s="5"/>
    </row>
    <row r="29" ht="21" customHeight="1">
      <c r="A29" s="3">
        <v>46178</v>
      </c>
      <c r="B29" t="inlineStr" s="4">
        <is>
          <t>星期五</t>
        </is>
      </c>
      <c r="C29" t="inlineStr" s="4">
        <is>
          <t>餐饮</t>
        </is>
      </c>
      <c r="D29" t="inlineStr" s="5">
        <is>
          <t>中餐</t>
        </is>
      </c>
      <c r="E29" s="6"/>
      <c r="F29" s="6"/>
      <c r="G29" s="6">
        <f>IF(AND(E29="",F29=""),"",F29-E29)</f>
      </c>
      <c r="H29" s="4"/>
      <c r="I29" s="5"/>
    </row>
    <row r="30" ht="21" customHeight="1">
      <c r="A30" s="3">
        <v>46178</v>
      </c>
      <c r="B30" t="inlineStr" s="4">
        <is>
          <t>星期五</t>
        </is>
      </c>
      <c r="C30" t="inlineStr" s="4">
        <is>
          <t>餐饮</t>
        </is>
      </c>
      <c r="D30" t="inlineStr" s="5">
        <is>
          <t>晚餐</t>
        </is>
      </c>
      <c r="E30" s="6"/>
      <c r="F30" s="6"/>
      <c r="G30" s="6">
        <f>IF(AND(E30="",F30=""),"",F30-E30)</f>
      </c>
      <c r="H30" s="4"/>
      <c r="I30" s="5"/>
    </row>
    <row r="31" ht="21" customHeight="1">
      <c r="A31" s="3">
        <v>46178</v>
      </c>
      <c r="B31" t="inlineStr" s="4">
        <is>
          <t>星期五</t>
        </is>
      </c>
      <c r="C31" t="inlineStr" s="4">
        <is>
          <t>奶茶/咖啡</t>
        </is>
      </c>
      <c r="D31" t="inlineStr" s="5">
        <is>
          <t>奶茶/咖啡</t>
        </is>
      </c>
      <c r="E31" s="6"/>
      <c r="F31" s="6"/>
      <c r="G31" s="6">
        <f>IF(AND(E31="",F31=""),"",F31-E31)</f>
      </c>
      <c r="H31" s="4"/>
      <c r="I31" s="5"/>
    </row>
    <row r="32" ht="21" customHeight="1">
      <c r="A32" s="3">
        <v>46178</v>
      </c>
      <c r="B32" t="inlineStr" s="4">
        <is>
          <t>星期五</t>
        </is>
      </c>
      <c r="C32" t="inlineStr" s="4">
        <is>
          <t>其他</t>
        </is>
      </c>
      <c r="D32" t="inlineStr" s="5">
        <is>
          <t>其他</t>
        </is>
      </c>
      <c r="E32" s="6"/>
      <c r="F32" s="6"/>
      <c r="G32" s="6">
        <f>IF(AND(E32="",F32=""),"",F32-E32)</f>
      </c>
      <c r="H32" s="4"/>
      <c r="I32" s="5"/>
    </row>
    <row r="33" ht="21" customHeight="1">
      <c r="A33" s="3">
        <v>46178</v>
      </c>
      <c r="B33" t="inlineStr" s="4">
        <is>
          <t>星期五</t>
        </is>
      </c>
      <c r="C33" t="inlineStr" s="4">
        <is>
          <t>其他</t>
        </is>
      </c>
      <c r="D33" t="inlineStr" s="5">
        <is>
          <t>其他</t>
        </is>
      </c>
      <c r="E33" s="6"/>
      <c r="F33" s="6"/>
      <c r="G33" s="6">
        <f>IF(AND(E33="",F33=""),"",F33-E33)</f>
      </c>
      <c r="H33" s="4"/>
      <c r="I33" s="5"/>
    </row>
    <row r="34" ht="21" customHeight="1">
      <c r="A34" s="3">
        <v>46179</v>
      </c>
      <c r="B34" t="inlineStr" s="4">
        <is>
          <t>星期六</t>
        </is>
      </c>
      <c r="C34" t="inlineStr" s="4">
        <is>
          <t>餐饮</t>
        </is>
      </c>
      <c r="D34" t="inlineStr" s="5">
        <is>
          <t>早餐</t>
        </is>
      </c>
      <c r="E34" s="6"/>
      <c r="F34" s="6"/>
      <c r="G34" s="6">
        <f>IF(AND(E34="",F34=""),"",F34-E34)</f>
      </c>
      <c r="H34" s="4"/>
      <c r="I34" s="5"/>
    </row>
    <row r="35" ht="21" customHeight="1">
      <c r="A35" s="3">
        <v>46179</v>
      </c>
      <c r="B35" t="inlineStr" s="4">
        <is>
          <t>星期六</t>
        </is>
      </c>
      <c r="C35" t="inlineStr" s="4">
        <is>
          <t>餐饮</t>
        </is>
      </c>
      <c r="D35" t="inlineStr" s="5">
        <is>
          <t>中餐</t>
        </is>
      </c>
      <c r="E35" s="6"/>
      <c r="F35" s="6"/>
      <c r="G35" s="6">
        <f>IF(AND(E35="",F35=""),"",F35-E35)</f>
      </c>
      <c r="H35" s="4"/>
      <c r="I35" s="5"/>
    </row>
    <row r="36" ht="21" customHeight="1">
      <c r="A36" s="3">
        <v>46179</v>
      </c>
      <c r="B36" t="inlineStr" s="4">
        <is>
          <t>星期六</t>
        </is>
      </c>
      <c r="C36" t="inlineStr" s="4">
        <is>
          <t>餐饮</t>
        </is>
      </c>
      <c r="D36" t="inlineStr" s="5">
        <is>
          <t>晚餐</t>
        </is>
      </c>
      <c r="E36" s="6"/>
      <c r="F36" s="6"/>
      <c r="G36" s="6">
        <f>IF(AND(E36="",F36=""),"",F36-E36)</f>
      </c>
      <c r="H36" s="4"/>
      <c r="I36" s="5"/>
    </row>
    <row r="37" ht="21" customHeight="1">
      <c r="A37" s="3">
        <v>46179</v>
      </c>
      <c r="B37" t="inlineStr" s="4">
        <is>
          <t>星期六</t>
        </is>
      </c>
      <c r="C37" t="inlineStr" s="4">
        <is>
          <t>奶茶/咖啡</t>
        </is>
      </c>
      <c r="D37" t="inlineStr" s="5">
        <is>
          <t>奶茶/咖啡</t>
        </is>
      </c>
      <c r="E37" s="6"/>
      <c r="F37" s="6"/>
      <c r="G37" s="6">
        <f>IF(AND(E37="",F37=""),"",F37-E37)</f>
      </c>
      <c r="H37" s="4"/>
      <c r="I37" s="5"/>
    </row>
    <row r="38" ht="21" customHeight="1">
      <c r="A38" s="3">
        <v>46179</v>
      </c>
      <c r="B38" t="inlineStr" s="4">
        <is>
          <t>星期六</t>
        </is>
      </c>
      <c r="C38" t="inlineStr" s="4">
        <is>
          <t>其他</t>
        </is>
      </c>
      <c r="D38" t="inlineStr" s="5">
        <is>
          <t>其他</t>
        </is>
      </c>
      <c r="E38" s="6"/>
      <c r="F38" s="6"/>
      <c r="G38" s="6">
        <f>IF(AND(E38="",F38=""),"",F38-E38)</f>
      </c>
      <c r="H38" s="4"/>
      <c r="I38" s="5"/>
    </row>
    <row r="39" ht="21" customHeight="1">
      <c r="A39" s="3">
        <v>46179</v>
      </c>
      <c r="B39" t="inlineStr" s="4">
        <is>
          <t>星期六</t>
        </is>
      </c>
      <c r="C39" t="inlineStr" s="4">
        <is>
          <t>其他</t>
        </is>
      </c>
      <c r="D39" t="inlineStr" s="5">
        <is>
          <t>其他</t>
        </is>
      </c>
      <c r="E39" s="6"/>
      <c r="F39" s="6"/>
      <c r="G39" s="6">
        <f>IF(AND(E39="",F39=""),"",F39-E39)</f>
      </c>
      <c r="H39" s="4"/>
      <c r="I39" s="5"/>
    </row>
    <row r="40" ht="21" customHeight="1">
      <c r="A40" s="3">
        <v>46180</v>
      </c>
      <c r="B40" t="inlineStr" s="4">
        <is>
          <t>星期日</t>
        </is>
      </c>
      <c r="C40" t="inlineStr" s="4">
        <is>
          <t>餐饮</t>
        </is>
      </c>
      <c r="D40" t="inlineStr" s="5">
        <is>
          <t>早餐</t>
        </is>
      </c>
      <c r="E40" s="6"/>
      <c r="F40" s="6"/>
      <c r="G40" s="6">
        <f>IF(AND(E40="",F40=""),"",F40-E40)</f>
      </c>
      <c r="H40" s="4"/>
      <c r="I40" s="5"/>
    </row>
    <row r="41" ht="21" customHeight="1">
      <c r="A41" s="3">
        <v>46180</v>
      </c>
      <c r="B41" t="inlineStr" s="4">
        <is>
          <t>星期日</t>
        </is>
      </c>
      <c r="C41" t="inlineStr" s="4">
        <is>
          <t>餐饮</t>
        </is>
      </c>
      <c r="D41" t="inlineStr" s="5">
        <is>
          <t>中餐</t>
        </is>
      </c>
      <c r="E41" s="6"/>
      <c r="F41" s="6"/>
      <c r="G41" s="6">
        <f>IF(AND(E41="",F41=""),"",F41-E41)</f>
      </c>
      <c r="H41" s="4"/>
      <c r="I41" s="5"/>
    </row>
    <row r="42" ht="21" customHeight="1">
      <c r="A42" s="3">
        <v>46180</v>
      </c>
      <c r="B42" t="inlineStr" s="4">
        <is>
          <t>星期日</t>
        </is>
      </c>
      <c r="C42" t="inlineStr" s="4">
        <is>
          <t>餐饮</t>
        </is>
      </c>
      <c r="D42" t="inlineStr" s="5">
        <is>
          <t>晚餐</t>
        </is>
      </c>
      <c r="E42" s="6"/>
      <c r="F42" s="6"/>
      <c r="G42" s="6">
        <f>IF(AND(E42="",F42=""),"",F42-E42)</f>
      </c>
      <c r="H42" s="4"/>
      <c r="I42" s="5"/>
    </row>
    <row r="43" ht="21" customHeight="1">
      <c r="A43" s="3">
        <v>46180</v>
      </c>
      <c r="B43" t="inlineStr" s="4">
        <is>
          <t>星期日</t>
        </is>
      </c>
      <c r="C43" t="inlineStr" s="4">
        <is>
          <t>奶茶/咖啡</t>
        </is>
      </c>
      <c r="D43" t="inlineStr" s="5">
        <is>
          <t>奶茶/咖啡</t>
        </is>
      </c>
      <c r="E43" s="6"/>
      <c r="F43" s="6"/>
      <c r="G43" s="6">
        <f>IF(AND(E43="",F43=""),"",F43-E43)</f>
      </c>
      <c r="H43" s="4"/>
      <c r="I43" s="5"/>
    </row>
    <row r="44" ht="21" customHeight="1">
      <c r="A44" s="3">
        <v>46180</v>
      </c>
      <c r="B44" t="inlineStr" s="4">
        <is>
          <t>星期日</t>
        </is>
      </c>
      <c r="C44" t="inlineStr" s="4">
        <is>
          <t>其他</t>
        </is>
      </c>
      <c r="D44" t="inlineStr" s="5">
        <is>
          <t>其他</t>
        </is>
      </c>
      <c r="E44" s="6"/>
      <c r="F44" s="6"/>
      <c r="G44" s="6">
        <f>IF(AND(E44="",F44=""),"",F44-E44)</f>
      </c>
      <c r="H44" s="4"/>
      <c r="I44" s="5"/>
    </row>
    <row r="45" ht="21" customHeight="1">
      <c r="A45" s="3">
        <v>46180</v>
      </c>
      <c r="B45" t="inlineStr" s="4">
        <is>
          <t>星期日</t>
        </is>
      </c>
      <c r="C45" t="inlineStr" s="4">
        <is>
          <t>其他</t>
        </is>
      </c>
      <c r="D45" t="inlineStr" s="5">
        <is>
          <t>其他</t>
        </is>
      </c>
      <c r="E45" s="6"/>
      <c r="F45" s="6"/>
      <c r="G45" s="6">
        <f>IF(AND(E45="",F45=""),"",F45-E45)</f>
      </c>
      <c r="H45" s="4"/>
      <c r="I45" s="5"/>
    </row>
    <row r="46" ht="23" customHeight="1">
      <c r="A46" t="inlineStr" s="7">
        <is>
          <t>本周小计</t>
        </is>
      </c>
      <c r="B46" s="7"/>
      <c r="C46" s="7"/>
      <c r="D46" s="7"/>
      <c r="E46" s="8">
        <f>SUM(E4:E45)</f>
      </c>
      <c r="F46" s="8">
        <f>SUM(F4:F45)</f>
      </c>
      <c r="G46" s="8">
        <f>SUM(G4:G45)</f>
      </c>
      <c r="H46" s="7"/>
      <c r="I46" s="7"/>
    </row>
    <row r="47" ht="18" customHeight="1">
      <c r="A47" s="9"/>
      <c r="B47" s="9"/>
      <c r="C47" s="9"/>
      <c r="D47" s="9"/>
      <c r="E47" s="9"/>
      <c r="F47" s="9"/>
      <c r="G47" s="9"/>
      <c r="H47" s="9"/>
      <c r="I47" s="9"/>
    </row>
    <row r="48" ht="18" customHeight="1">
      <c r="A48" s="9"/>
      <c r="B48" s="9"/>
      <c r="C48" s="9"/>
      <c r="D48" s="9"/>
      <c r="E48" s="9"/>
      <c r="F48" s="9"/>
      <c r="G48" s="9"/>
      <c r="H48" s="9"/>
      <c r="I48" s="9"/>
    </row>
    <row r="49" ht="26" customHeight="1">
      <c r="A49" t="inlineStr" s="2">
        <is>
          <t>2026年6月｜第二周（6月8日 - 6月14日）</t>
        </is>
      </c>
      <c r="B49" s="2"/>
      <c r="C49" s="2"/>
      <c r="D49" s="2"/>
      <c r="E49" s="2"/>
      <c r="F49" s="2"/>
      <c r="G49" s="2"/>
      <c r="H49" s="2"/>
      <c r="I49" s="2"/>
    </row>
    <row r="50" ht="22" customHeight="1">
      <c r="A50" t="inlineStr" s="1">
        <is>
          <t>日期</t>
        </is>
      </c>
      <c r="B50" t="inlineStr" s="1">
        <is>
          <t>星期</t>
        </is>
      </c>
      <c r="C50" t="inlineStr" s="1">
        <is>
          <t>分类</t>
        </is>
      </c>
      <c r="D50" t="inlineStr" s="1">
        <is>
          <t>事项</t>
        </is>
      </c>
      <c r="E50" t="inlineStr" s="1">
        <is>
          <t>支出金额</t>
        </is>
      </c>
      <c r="F50" t="inlineStr" s="1">
        <is>
          <t>收入金额</t>
        </is>
      </c>
      <c r="G50" t="inlineStr" s="1">
        <is>
          <t>当笔净额</t>
        </is>
      </c>
      <c r="H50" t="inlineStr" s="1">
        <is>
          <t>支付方式</t>
        </is>
      </c>
      <c r="I50" t="inlineStr" s="1">
        <is>
          <t>备注</t>
        </is>
      </c>
    </row>
    <row r="51" ht="21" customHeight="1">
      <c r="A51" s="3">
        <v>46181</v>
      </c>
      <c r="B51" t="inlineStr" s="4">
        <is>
          <t>星期一</t>
        </is>
      </c>
      <c r="C51" t="inlineStr" s="4">
        <is>
          <t>餐饮</t>
        </is>
      </c>
      <c r="D51" t="inlineStr" s="5">
        <is>
          <t>早餐</t>
        </is>
      </c>
      <c r="E51" s="6"/>
      <c r="F51" s="6"/>
      <c r="G51" s="6">
        <f>IF(AND(E51="",F51=""),"",F51-E51)</f>
      </c>
      <c r="H51" s="4"/>
      <c r="I51" s="5"/>
    </row>
    <row r="52" ht="21" customHeight="1">
      <c r="A52" s="3">
        <v>46181</v>
      </c>
      <c r="B52" t="inlineStr" s="4">
        <is>
          <t>星期一</t>
        </is>
      </c>
      <c r="C52" t="inlineStr" s="4">
        <is>
          <t>餐饮</t>
        </is>
      </c>
      <c r="D52" t="inlineStr" s="5">
        <is>
          <t>中餐</t>
        </is>
      </c>
      <c r="E52" s="6"/>
      <c r="F52" s="6"/>
      <c r="G52" s="6">
        <f>IF(AND(E52="",F52=""),"",F52-E52)</f>
      </c>
      <c r="H52" s="4"/>
      <c r="I52" s="5"/>
    </row>
    <row r="53" ht="21" customHeight="1">
      <c r="A53" s="3">
        <v>46181</v>
      </c>
      <c r="B53" t="inlineStr" s="4">
        <is>
          <t>星期一</t>
        </is>
      </c>
      <c r="C53" t="inlineStr" s="4">
        <is>
          <t>餐饮</t>
        </is>
      </c>
      <c r="D53" t="inlineStr" s="5">
        <is>
          <t>晚餐</t>
        </is>
      </c>
      <c r="E53" s="6"/>
      <c r="F53" s="6"/>
      <c r="G53" s="6">
        <f>IF(AND(E53="",F53=""),"",F53-E53)</f>
      </c>
      <c r="H53" s="4"/>
      <c r="I53" s="5"/>
    </row>
    <row r="54" ht="21" customHeight="1">
      <c r="A54" s="3">
        <v>46181</v>
      </c>
      <c r="B54" t="inlineStr" s="4">
        <is>
          <t>星期一</t>
        </is>
      </c>
      <c r="C54" t="inlineStr" s="4">
        <is>
          <t>奶茶/咖啡</t>
        </is>
      </c>
      <c r="D54" t="inlineStr" s="5">
        <is>
          <t>奶茶/咖啡</t>
        </is>
      </c>
      <c r="E54" s="6"/>
      <c r="F54" s="6"/>
      <c r="G54" s="6">
        <f>IF(AND(E54="",F54=""),"",F54-E54)</f>
      </c>
      <c r="H54" s="4"/>
      <c r="I54" s="5"/>
    </row>
    <row r="55" ht="21" customHeight="1">
      <c r="A55" s="3">
        <v>46181</v>
      </c>
      <c r="B55" t="inlineStr" s="4">
        <is>
          <t>星期一</t>
        </is>
      </c>
      <c r="C55" t="inlineStr" s="4">
        <is>
          <t>其他</t>
        </is>
      </c>
      <c r="D55" t="inlineStr" s="5">
        <is>
          <t>其他</t>
        </is>
      </c>
      <c r="E55" s="6"/>
      <c r="F55" s="6"/>
      <c r="G55" s="6">
        <f>IF(AND(E55="",F55=""),"",F55-E55)</f>
      </c>
      <c r="H55" s="4"/>
      <c r="I55" s="5"/>
    </row>
    <row r="56" ht="21" customHeight="1">
      <c r="A56" s="3">
        <v>46181</v>
      </c>
      <c r="B56" t="inlineStr" s="4">
        <is>
          <t>星期一</t>
        </is>
      </c>
      <c r="C56" t="inlineStr" s="4">
        <is>
          <t>其他</t>
        </is>
      </c>
      <c r="D56" t="inlineStr" s="5">
        <is>
          <t>其他</t>
        </is>
      </c>
      <c r="E56" s="6"/>
      <c r="F56" s="6"/>
      <c r="G56" s="6">
        <f>IF(AND(E56="",F56=""),"",F56-E56)</f>
      </c>
      <c r="H56" s="4"/>
      <c r="I56" s="5"/>
    </row>
    <row r="57" ht="21" customHeight="1">
      <c r="A57" s="3">
        <v>46182</v>
      </c>
      <c r="B57" t="inlineStr" s="4">
        <is>
          <t>星期二</t>
        </is>
      </c>
      <c r="C57" t="inlineStr" s="4">
        <is>
          <t>餐饮</t>
        </is>
      </c>
      <c r="D57" t="inlineStr" s="5">
        <is>
          <t>早餐</t>
        </is>
      </c>
      <c r="E57" s="6"/>
      <c r="F57" s="6"/>
      <c r="G57" s="6">
        <f>IF(AND(E57="",F57=""),"",F57-E57)</f>
      </c>
      <c r="H57" s="4"/>
      <c r="I57" s="5"/>
    </row>
    <row r="58" ht="21" customHeight="1">
      <c r="A58" s="3">
        <v>46182</v>
      </c>
      <c r="B58" t="inlineStr" s="4">
        <is>
          <t>星期二</t>
        </is>
      </c>
      <c r="C58" t="inlineStr" s="4">
        <is>
          <t>餐饮</t>
        </is>
      </c>
      <c r="D58" t="inlineStr" s="5">
        <is>
          <t>中餐</t>
        </is>
      </c>
      <c r="E58" s="6"/>
      <c r="F58" s="6"/>
      <c r="G58" s="6">
        <f>IF(AND(E58="",F58=""),"",F58-E58)</f>
      </c>
      <c r="H58" s="4"/>
      <c r="I58" s="5"/>
    </row>
    <row r="59" ht="21" customHeight="1">
      <c r="A59" s="3">
        <v>46182</v>
      </c>
      <c r="B59" t="inlineStr" s="4">
        <is>
          <t>星期二</t>
        </is>
      </c>
      <c r="C59" t="inlineStr" s="4">
        <is>
          <t>餐饮</t>
        </is>
      </c>
      <c r="D59" t="inlineStr" s="5">
        <is>
          <t>晚餐</t>
        </is>
      </c>
      <c r="E59" s="6"/>
      <c r="F59" s="6"/>
      <c r="G59" s="6">
        <f>IF(AND(E59="",F59=""),"",F59-E59)</f>
      </c>
      <c r="H59" s="4"/>
      <c r="I59" s="5"/>
    </row>
    <row r="60" ht="21" customHeight="1">
      <c r="A60" s="3">
        <v>46182</v>
      </c>
      <c r="B60" t="inlineStr" s="4">
        <is>
          <t>星期二</t>
        </is>
      </c>
      <c r="C60" t="inlineStr" s="4">
        <is>
          <t>奶茶/咖啡</t>
        </is>
      </c>
      <c r="D60" t="inlineStr" s="5">
        <is>
          <t>奶茶/咖啡</t>
        </is>
      </c>
      <c r="E60" s="6"/>
      <c r="F60" s="6"/>
      <c r="G60" s="6">
        <f>IF(AND(E60="",F60=""),"",F60-E60)</f>
      </c>
      <c r="H60" s="4"/>
      <c r="I60" s="5"/>
    </row>
    <row r="61" ht="21" customHeight="1">
      <c r="A61" s="3">
        <v>46182</v>
      </c>
      <c r="B61" t="inlineStr" s="4">
        <is>
          <t>星期二</t>
        </is>
      </c>
      <c r="C61" t="inlineStr" s="4">
        <is>
          <t>其他</t>
        </is>
      </c>
      <c r="D61" t="inlineStr" s="5">
        <is>
          <t>其他</t>
        </is>
      </c>
      <c r="E61" s="6"/>
      <c r="F61" s="6"/>
      <c r="G61" s="6">
        <f>IF(AND(E61="",F61=""),"",F61-E61)</f>
      </c>
      <c r="H61" s="4"/>
      <c r="I61" s="5"/>
    </row>
    <row r="62" ht="21" customHeight="1">
      <c r="A62" s="3">
        <v>46182</v>
      </c>
      <c r="B62" t="inlineStr" s="4">
        <is>
          <t>星期二</t>
        </is>
      </c>
      <c r="C62" t="inlineStr" s="4">
        <is>
          <t>其他</t>
        </is>
      </c>
      <c r="D62" t="inlineStr" s="5">
        <is>
          <t>其他</t>
        </is>
      </c>
      <c r="E62" s="6"/>
      <c r="F62" s="6"/>
      <c r="G62" s="6">
        <f>IF(AND(E62="",F62=""),"",F62-E62)</f>
      </c>
      <c r="H62" s="4"/>
      <c r="I62" s="5"/>
    </row>
    <row r="63" ht="21" customHeight="1">
      <c r="A63" s="3">
        <v>46183</v>
      </c>
      <c r="B63" t="inlineStr" s="4">
        <is>
          <t>星期三</t>
        </is>
      </c>
      <c r="C63" t="inlineStr" s="4">
        <is>
          <t>餐饮</t>
        </is>
      </c>
      <c r="D63" t="inlineStr" s="5">
        <is>
          <t>早餐</t>
        </is>
      </c>
      <c r="E63" s="6"/>
      <c r="F63" s="6"/>
      <c r="G63" s="6">
        <f>IF(AND(E63="",F63=""),"",F63-E63)</f>
      </c>
      <c r="H63" s="4"/>
      <c r="I63" s="5"/>
    </row>
    <row r="64" ht="21" customHeight="1">
      <c r="A64" s="3">
        <v>46183</v>
      </c>
      <c r="B64" t="inlineStr" s="4">
        <is>
          <t>星期三</t>
        </is>
      </c>
      <c r="C64" t="inlineStr" s="4">
        <is>
          <t>餐饮</t>
        </is>
      </c>
      <c r="D64" t="inlineStr" s="5">
        <is>
          <t>中餐</t>
        </is>
      </c>
      <c r="E64" s="6"/>
      <c r="F64" s="6"/>
      <c r="G64" s="6">
        <f>IF(AND(E64="",F64=""),"",F64-E64)</f>
      </c>
      <c r="H64" s="4"/>
      <c r="I64" s="5"/>
    </row>
    <row r="65" ht="21" customHeight="1">
      <c r="A65" s="3">
        <v>46183</v>
      </c>
      <c r="B65" t="inlineStr" s="4">
        <is>
          <t>星期三</t>
        </is>
      </c>
      <c r="C65" t="inlineStr" s="4">
        <is>
          <t>餐饮</t>
        </is>
      </c>
      <c r="D65" t="inlineStr" s="5">
        <is>
          <t>晚餐</t>
        </is>
      </c>
      <c r="E65" s="6"/>
      <c r="F65" s="6"/>
      <c r="G65" s="6">
        <f>IF(AND(E65="",F65=""),"",F65-E65)</f>
      </c>
      <c r="H65" s="4"/>
      <c r="I65" s="5"/>
    </row>
    <row r="66" ht="21" customHeight="1">
      <c r="A66" s="3">
        <v>46183</v>
      </c>
      <c r="B66" t="inlineStr" s="4">
        <is>
          <t>星期三</t>
        </is>
      </c>
      <c r="C66" t="inlineStr" s="4">
        <is>
          <t>奶茶/咖啡</t>
        </is>
      </c>
      <c r="D66" t="inlineStr" s="5">
        <is>
          <t>奶茶/咖啡</t>
        </is>
      </c>
      <c r="E66" s="6"/>
      <c r="F66" s="6"/>
      <c r="G66" s="6">
        <f>IF(AND(E66="",F66=""),"",F66-E66)</f>
      </c>
      <c r="H66" s="4"/>
      <c r="I66" s="5"/>
    </row>
    <row r="67" ht="21" customHeight="1">
      <c r="A67" s="3">
        <v>46183</v>
      </c>
      <c r="B67" t="inlineStr" s="4">
        <is>
          <t>星期三</t>
        </is>
      </c>
      <c r="C67" t="inlineStr" s="4">
        <is>
          <t>其他</t>
        </is>
      </c>
      <c r="D67" t="inlineStr" s="5">
        <is>
          <t>其他</t>
        </is>
      </c>
      <c r="E67" s="6"/>
      <c r="F67" s="6"/>
      <c r="G67" s="6">
        <f>IF(AND(E67="",F67=""),"",F67-E67)</f>
      </c>
      <c r="H67" s="4"/>
      <c r="I67" s="5"/>
    </row>
    <row r="68" ht="21" customHeight="1">
      <c r="A68" s="3">
        <v>46183</v>
      </c>
      <c r="B68" t="inlineStr" s="4">
        <is>
          <t>星期三</t>
        </is>
      </c>
      <c r="C68" t="inlineStr" s="4">
        <is>
          <t>其他</t>
        </is>
      </c>
      <c r="D68" t="inlineStr" s="5">
        <is>
          <t>其他</t>
        </is>
      </c>
      <c r="E68" s="6"/>
      <c r="F68" s="6"/>
      <c r="G68" s="6">
        <f>IF(AND(E68="",F68=""),"",F68-E68)</f>
      </c>
      <c r="H68" s="4"/>
      <c r="I68" s="5"/>
    </row>
    <row r="69" ht="21" customHeight="1">
      <c r="A69" s="3">
        <v>46184</v>
      </c>
      <c r="B69" t="inlineStr" s="4">
        <is>
          <t>星期四</t>
        </is>
      </c>
      <c r="C69" t="inlineStr" s="4">
        <is>
          <t>餐饮</t>
        </is>
      </c>
      <c r="D69" t="inlineStr" s="5">
        <is>
          <t>早餐</t>
        </is>
      </c>
      <c r="E69" s="6"/>
      <c r="F69" s="6"/>
      <c r="G69" s="6">
        <f>IF(AND(E69="",F69=""),"",F69-E69)</f>
      </c>
      <c r="H69" s="4"/>
      <c r="I69" s="5"/>
    </row>
    <row r="70" ht="21" customHeight="1">
      <c r="A70" s="3">
        <v>46184</v>
      </c>
      <c r="B70" t="inlineStr" s="4">
        <is>
          <t>星期四</t>
        </is>
      </c>
      <c r="C70" t="inlineStr" s="4">
        <is>
          <t>餐饮</t>
        </is>
      </c>
      <c r="D70" t="inlineStr" s="5">
        <is>
          <t>中餐</t>
        </is>
      </c>
      <c r="E70" s="6"/>
      <c r="F70" s="6"/>
      <c r="G70" s="6">
        <f>IF(AND(E70="",F70=""),"",F70-E70)</f>
      </c>
      <c r="H70" s="4"/>
      <c r="I70" s="5"/>
    </row>
    <row r="71" ht="21" customHeight="1">
      <c r="A71" s="3">
        <v>46184</v>
      </c>
      <c r="B71" t="inlineStr" s="4">
        <is>
          <t>星期四</t>
        </is>
      </c>
      <c r="C71" t="inlineStr" s="4">
        <is>
          <t>餐饮</t>
        </is>
      </c>
      <c r="D71" t="inlineStr" s="5">
        <is>
          <t>晚餐</t>
        </is>
      </c>
      <c r="E71" s="6"/>
      <c r="F71" s="6"/>
      <c r="G71" s="6">
        <f>IF(AND(E71="",F71=""),"",F71-E71)</f>
      </c>
      <c r="H71" s="4"/>
      <c r="I71" s="5"/>
    </row>
    <row r="72" ht="21" customHeight="1">
      <c r="A72" s="3">
        <v>46184</v>
      </c>
      <c r="B72" t="inlineStr" s="4">
        <is>
          <t>星期四</t>
        </is>
      </c>
      <c r="C72" t="inlineStr" s="4">
        <is>
          <t>奶茶/咖啡</t>
        </is>
      </c>
      <c r="D72" t="inlineStr" s="5">
        <is>
          <t>奶茶/咖啡</t>
        </is>
      </c>
      <c r="E72" s="6"/>
      <c r="F72" s="6"/>
      <c r="G72" s="6">
        <f>IF(AND(E72="",F72=""),"",F72-E72)</f>
      </c>
      <c r="H72" s="4"/>
      <c r="I72" s="5"/>
    </row>
    <row r="73" ht="21" customHeight="1">
      <c r="A73" s="3">
        <v>46184</v>
      </c>
      <c r="B73" t="inlineStr" s="4">
        <is>
          <t>星期四</t>
        </is>
      </c>
      <c r="C73" t="inlineStr" s="4">
        <is>
          <t>其他</t>
        </is>
      </c>
      <c r="D73" t="inlineStr" s="5">
        <is>
          <t>其他</t>
        </is>
      </c>
      <c r="E73" s="6"/>
      <c r="F73" s="6"/>
      <c r="G73" s="6">
        <f>IF(AND(E73="",F73=""),"",F73-E73)</f>
      </c>
      <c r="H73" s="4"/>
      <c r="I73" s="5"/>
    </row>
    <row r="74" ht="21" customHeight="1">
      <c r="A74" s="3">
        <v>46184</v>
      </c>
      <c r="B74" t="inlineStr" s="4">
        <is>
          <t>星期四</t>
        </is>
      </c>
      <c r="C74" t="inlineStr" s="4">
        <is>
          <t>其他</t>
        </is>
      </c>
      <c r="D74" t="inlineStr" s="5">
        <is>
          <t>其他</t>
        </is>
      </c>
      <c r="E74" s="6"/>
      <c r="F74" s="6"/>
      <c r="G74" s="6">
        <f>IF(AND(E74="",F74=""),"",F74-E74)</f>
      </c>
      <c r="H74" s="4"/>
      <c r="I74" s="5"/>
    </row>
    <row r="75" ht="21" customHeight="1">
      <c r="A75" s="3">
        <v>46185</v>
      </c>
      <c r="B75" t="inlineStr" s="4">
        <is>
          <t>星期五</t>
        </is>
      </c>
      <c r="C75" t="inlineStr" s="4">
        <is>
          <t>餐饮</t>
        </is>
      </c>
      <c r="D75" t="inlineStr" s="5">
        <is>
          <t>早餐</t>
        </is>
      </c>
      <c r="E75" s="6"/>
      <c r="F75" s="6"/>
      <c r="G75" s="6">
        <f>IF(AND(E75="",F75=""),"",F75-E75)</f>
      </c>
      <c r="H75" s="4"/>
      <c r="I75" s="5"/>
    </row>
    <row r="76" ht="21" customHeight="1">
      <c r="A76" s="3">
        <v>46185</v>
      </c>
      <c r="B76" t="inlineStr" s="4">
        <is>
          <t>星期五</t>
        </is>
      </c>
      <c r="C76" t="inlineStr" s="4">
        <is>
          <t>餐饮</t>
        </is>
      </c>
      <c r="D76" t="inlineStr" s="5">
        <is>
          <t>中餐</t>
        </is>
      </c>
      <c r="E76" s="6"/>
      <c r="F76" s="6"/>
      <c r="G76" s="6">
        <f>IF(AND(E76="",F76=""),"",F76-E76)</f>
      </c>
      <c r="H76" s="4"/>
      <c r="I76" s="5"/>
    </row>
    <row r="77" ht="21" customHeight="1">
      <c r="A77" s="3">
        <v>46185</v>
      </c>
      <c r="B77" t="inlineStr" s="4">
        <is>
          <t>星期五</t>
        </is>
      </c>
      <c r="C77" t="inlineStr" s="4">
        <is>
          <t>餐饮</t>
        </is>
      </c>
      <c r="D77" t="inlineStr" s="5">
        <is>
          <t>晚餐</t>
        </is>
      </c>
      <c r="E77" s="6"/>
      <c r="F77" s="6"/>
      <c r="G77" s="6">
        <f>IF(AND(E77="",F77=""),"",F77-E77)</f>
      </c>
      <c r="H77" s="4"/>
      <c r="I77" s="5"/>
    </row>
    <row r="78" ht="21" customHeight="1">
      <c r="A78" s="3">
        <v>46185</v>
      </c>
      <c r="B78" t="inlineStr" s="4">
        <is>
          <t>星期五</t>
        </is>
      </c>
      <c r="C78" t="inlineStr" s="4">
        <is>
          <t>奶茶/咖啡</t>
        </is>
      </c>
      <c r="D78" t="inlineStr" s="5">
        <is>
          <t>奶茶/咖啡</t>
        </is>
      </c>
      <c r="E78" s="6"/>
      <c r="F78" s="6"/>
      <c r="G78" s="6">
        <f>IF(AND(E78="",F78=""),"",F78-E78)</f>
      </c>
      <c r="H78" s="4"/>
      <c r="I78" s="5"/>
    </row>
    <row r="79" ht="21" customHeight="1">
      <c r="A79" s="3">
        <v>46185</v>
      </c>
      <c r="B79" t="inlineStr" s="4">
        <is>
          <t>星期五</t>
        </is>
      </c>
      <c r="C79" t="inlineStr" s="4">
        <is>
          <t>其他</t>
        </is>
      </c>
      <c r="D79" t="inlineStr" s="5">
        <is>
          <t>其他</t>
        </is>
      </c>
      <c r="E79" s="6"/>
      <c r="F79" s="6"/>
      <c r="G79" s="6">
        <f>IF(AND(E79="",F79=""),"",F79-E79)</f>
      </c>
      <c r="H79" s="4"/>
      <c r="I79" s="5"/>
    </row>
    <row r="80" ht="21" customHeight="1">
      <c r="A80" s="3">
        <v>46185</v>
      </c>
      <c r="B80" t="inlineStr" s="4">
        <is>
          <t>星期五</t>
        </is>
      </c>
      <c r="C80" t="inlineStr" s="4">
        <is>
          <t>其他</t>
        </is>
      </c>
      <c r="D80" t="inlineStr" s="5">
        <is>
          <t>其他</t>
        </is>
      </c>
      <c r="E80" s="6"/>
      <c r="F80" s="6"/>
      <c r="G80" s="6">
        <f>IF(AND(E80="",F80=""),"",F80-E80)</f>
      </c>
      <c r="H80" s="4"/>
      <c r="I80" s="5"/>
    </row>
    <row r="81" ht="21" customHeight="1">
      <c r="A81" s="3">
        <v>46186</v>
      </c>
      <c r="B81" t="inlineStr" s="4">
        <is>
          <t>星期六</t>
        </is>
      </c>
      <c r="C81" t="inlineStr" s="4">
        <is>
          <t>餐饮</t>
        </is>
      </c>
      <c r="D81" t="inlineStr" s="5">
        <is>
          <t>早餐</t>
        </is>
      </c>
      <c r="E81" s="6"/>
      <c r="F81" s="6"/>
      <c r="G81" s="6">
        <f>IF(AND(E81="",F81=""),"",F81-E81)</f>
      </c>
      <c r="H81" s="4"/>
      <c r="I81" s="5"/>
    </row>
    <row r="82" ht="21" customHeight="1">
      <c r="A82" s="3">
        <v>46186</v>
      </c>
      <c r="B82" t="inlineStr" s="4">
        <is>
          <t>星期六</t>
        </is>
      </c>
      <c r="C82" t="inlineStr" s="4">
        <is>
          <t>餐饮</t>
        </is>
      </c>
      <c r="D82" t="inlineStr" s="5">
        <is>
          <t>中餐</t>
        </is>
      </c>
      <c r="E82" s="6"/>
      <c r="F82" s="6"/>
      <c r="G82" s="6">
        <f>IF(AND(E82="",F82=""),"",F82-E82)</f>
      </c>
      <c r="H82" s="4"/>
      <c r="I82" s="5"/>
    </row>
    <row r="83" ht="21" customHeight="1">
      <c r="A83" s="3">
        <v>46186</v>
      </c>
      <c r="B83" t="inlineStr" s="4">
        <is>
          <t>星期六</t>
        </is>
      </c>
      <c r="C83" t="inlineStr" s="4">
        <is>
          <t>餐饮</t>
        </is>
      </c>
      <c r="D83" t="inlineStr" s="5">
        <is>
          <t>晚餐</t>
        </is>
      </c>
      <c r="E83" s="6"/>
      <c r="F83" s="6"/>
      <c r="G83" s="6">
        <f>IF(AND(E83="",F83=""),"",F83-E83)</f>
      </c>
      <c r="H83" s="4"/>
      <c r="I83" s="5"/>
    </row>
    <row r="84" ht="21" customHeight="1">
      <c r="A84" s="3">
        <v>46186</v>
      </c>
      <c r="B84" t="inlineStr" s="4">
        <is>
          <t>星期六</t>
        </is>
      </c>
      <c r="C84" t="inlineStr" s="4">
        <is>
          <t>奶茶/咖啡</t>
        </is>
      </c>
      <c r="D84" t="inlineStr" s="5">
        <is>
          <t>奶茶/咖啡</t>
        </is>
      </c>
      <c r="E84" s="6"/>
      <c r="F84" s="6"/>
      <c r="G84" s="6">
        <f>IF(AND(E84="",F84=""),"",F84-E84)</f>
      </c>
      <c r="H84" s="4"/>
      <c r="I84" s="5"/>
    </row>
    <row r="85" ht="21" customHeight="1">
      <c r="A85" s="3">
        <v>46186</v>
      </c>
      <c r="B85" t="inlineStr" s="4">
        <is>
          <t>星期六</t>
        </is>
      </c>
      <c r="C85" t="inlineStr" s="4">
        <is>
          <t>其他</t>
        </is>
      </c>
      <c r="D85" t="inlineStr" s="5">
        <is>
          <t>其他</t>
        </is>
      </c>
      <c r="E85" s="6"/>
      <c r="F85" s="6"/>
      <c r="G85" s="6">
        <f>IF(AND(E85="",F85=""),"",F85-E85)</f>
      </c>
      <c r="H85" s="4"/>
      <c r="I85" s="5"/>
    </row>
    <row r="86" ht="21" customHeight="1">
      <c r="A86" s="3">
        <v>46186</v>
      </c>
      <c r="B86" t="inlineStr" s="4">
        <is>
          <t>星期六</t>
        </is>
      </c>
      <c r="C86" t="inlineStr" s="4">
        <is>
          <t>其他</t>
        </is>
      </c>
      <c r="D86" t="inlineStr" s="5">
        <is>
          <t>其他</t>
        </is>
      </c>
      <c r="E86" s="6"/>
      <c r="F86" s="6"/>
      <c r="G86" s="6">
        <f>IF(AND(E86="",F86=""),"",F86-E86)</f>
      </c>
      <c r="H86" s="4"/>
      <c r="I86" s="5"/>
    </row>
    <row r="87" ht="21" customHeight="1">
      <c r="A87" s="3">
        <v>46187</v>
      </c>
      <c r="B87" t="inlineStr" s="4">
        <is>
          <t>星期日</t>
        </is>
      </c>
      <c r="C87" t="inlineStr" s="4">
        <is>
          <t>餐饮</t>
        </is>
      </c>
      <c r="D87" t="inlineStr" s="5">
        <is>
          <t>早餐</t>
        </is>
      </c>
      <c r="E87" s="6"/>
      <c r="F87" s="6"/>
      <c r="G87" s="6">
        <f>IF(AND(E87="",F87=""),"",F87-E87)</f>
      </c>
      <c r="H87" s="4"/>
      <c r="I87" s="5"/>
    </row>
    <row r="88" ht="21" customHeight="1">
      <c r="A88" s="3">
        <v>46187</v>
      </c>
      <c r="B88" t="inlineStr" s="4">
        <is>
          <t>星期日</t>
        </is>
      </c>
      <c r="C88" t="inlineStr" s="4">
        <is>
          <t>餐饮</t>
        </is>
      </c>
      <c r="D88" t="inlineStr" s="5">
        <is>
          <t>中餐</t>
        </is>
      </c>
      <c r="E88" s="6"/>
      <c r="F88" s="6"/>
      <c r="G88" s="6">
        <f>IF(AND(E88="",F88=""),"",F88-E88)</f>
      </c>
      <c r="H88" s="4"/>
      <c r="I88" s="5"/>
    </row>
    <row r="89" ht="21" customHeight="1">
      <c r="A89" s="3">
        <v>46187</v>
      </c>
      <c r="B89" t="inlineStr" s="4">
        <is>
          <t>星期日</t>
        </is>
      </c>
      <c r="C89" t="inlineStr" s="4">
        <is>
          <t>餐饮</t>
        </is>
      </c>
      <c r="D89" t="inlineStr" s="5">
        <is>
          <t>晚餐</t>
        </is>
      </c>
      <c r="E89" s="6"/>
      <c r="F89" s="6"/>
      <c r="G89" s="6">
        <f>IF(AND(E89="",F89=""),"",F89-E89)</f>
      </c>
      <c r="H89" s="4"/>
      <c r="I89" s="5"/>
    </row>
    <row r="90" ht="21" customHeight="1">
      <c r="A90" s="3">
        <v>46187</v>
      </c>
      <c r="B90" t="inlineStr" s="4">
        <is>
          <t>星期日</t>
        </is>
      </c>
      <c r="C90" t="inlineStr" s="4">
        <is>
          <t>奶茶/咖啡</t>
        </is>
      </c>
      <c r="D90" t="inlineStr" s="5">
        <is>
          <t>奶茶/咖啡</t>
        </is>
      </c>
      <c r="E90" s="6"/>
      <c r="F90" s="6"/>
      <c r="G90" s="6">
        <f>IF(AND(E90="",F90=""),"",F90-E90)</f>
      </c>
      <c r="H90" s="4"/>
      <c r="I90" s="5"/>
    </row>
    <row r="91" ht="21" customHeight="1">
      <c r="A91" s="3">
        <v>46187</v>
      </c>
      <c r="B91" t="inlineStr" s="4">
        <is>
          <t>星期日</t>
        </is>
      </c>
      <c r="C91" t="inlineStr" s="4">
        <is>
          <t>其他</t>
        </is>
      </c>
      <c r="D91" t="inlineStr" s="5">
        <is>
          <t>其他</t>
        </is>
      </c>
      <c r="E91" s="6"/>
      <c r="F91" s="6"/>
      <c r="G91" s="6">
        <f>IF(AND(E91="",F91=""),"",F91-E91)</f>
      </c>
      <c r="H91" s="4"/>
      <c r="I91" s="5"/>
    </row>
    <row r="92" ht="21" customHeight="1">
      <c r="A92" s="3">
        <v>46187</v>
      </c>
      <c r="B92" t="inlineStr" s="4">
        <is>
          <t>星期日</t>
        </is>
      </c>
      <c r="C92" t="inlineStr" s="4">
        <is>
          <t>其他</t>
        </is>
      </c>
      <c r="D92" t="inlineStr" s="5">
        <is>
          <t>其他</t>
        </is>
      </c>
      <c r="E92" s="6"/>
      <c r="F92" s="6"/>
      <c r="G92" s="6">
        <f>IF(AND(E92="",F92=""),"",F92-E92)</f>
      </c>
      <c r="H92" s="4"/>
      <c r="I92" s="5"/>
    </row>
    <row r="93" ht="23" customHeight="1">
      <c r="A93" t="inlineStr" s="7">
        <is>
          <t>本周小计</t>
        </is>
      </c>
      <c r="B93" s="7"/>
      <c r="C93" s="7"/>
      <c r="D93" s="7"/>
      <c r="E93" s="8">
        <f>SUM(E51:E92)</f>
      </c>
      <c r="F93" s="8">
        <f>SUM(F51:F92)</f>
      </c>
      <c r="G93" s="8">
        <f>SUM(G51:G92)</f>
      </c>
      <c r="H93" s="7"/>
      <c r="I93" s="7"/>
    </row>
    <row r="94" ht="18" customHeight="1">
      <c r="A94" s="9"/>
      <c r="B94" s="9"/>
      <c r="C94" s="9"/>
      <c r="D94" s="9"/>
      <c r="E94" s="9"/>
      <c r="F94" s="9"/>
      <c r="G94" s="9"/>
      <c r="H94" s="9"/>
      <c r="I94" s="9"/>
    </row>
    <row r="95" ht="18" customHeight="1">
      <c r="A95" s="9"/>
      <c r="B95" s="9"/>
      <c r="C95" s="9"/>
      <c r="D95" s="9"/>
      <c r="E95" s="9"/>
      <c r="F95" s="9"/>
      <c r="G95" s="9"/>
      <c r="H95" s="9"/>
      <c r="I95" s="9"/>
    </row>
    <row r="96" ht="26" customHeight="1">
      <c r="A96" t="inlineStr" s="2">
        <is>
          <t>2026年6月｜第三周（6月15日 - 6月21日）</t>
        </is>
      </c>
      <c r="B96" s="2"/>
      <c r="C96" s="2"/>
      <c r="D96" s="2"/>
      <c r="E96" s="2"/>
      <c r="F96" s="2"/>
      <c r="G96" s="2"/>
      <c r="H96" s="2"/>
      <c r="I96" s="2"/>
    </row>
    <row r="97" ht="22" customHeight="1">
      <c r="A97" t="inlineStr" s="1">
        <is>
          <t>日期</t>
        </is>
      </c>
      <c r="B97" t="inlineStr" s="1">
        <is>
          <t>星期</t>
        </is>
      </c>
      <c r="C97" t="inlineStr" s="1">
        <is>
          <t>分类</t>
        </is>
      </c>
      <c r="D97" t="inlineStr" s="1">
        <is>
          <t>事项</t>
        </is>
      </c>
      <c r="E97" t="inlineStr" s="1">
        <is>
          <t>支出金额</t>
        </is>
      </c>
      <c r="F97" t="inlineStr" s="1">
        <is>
          <t>收入金额</t>
        </is>
      </c>
      <c r="G97" t="inlineStr" s="1">
        <is>
          <t>当笔净额</t>
        </is>
      </c>
      <c r="H97" t="inlineStr" s="1">
        <is>
          <t>支付方式</t>
        </is>
      </c>
      <c r="I97" t="inlineStr" s="1">
        <is>
          <t>备注</t>
        </is>
      </c>
    </row>
    <row r="98" ht="21" customHeight="1">
      <c r="A98" s="3">
        <v>46188</v>
      </c>
      <c r="B98" t="inlineStr" s="4">
        <is>
          <t>星期一</t>
        </is>
      </c>
      <c r="C98" t="inlineStr" s="4">
        <is>
          <t>餐饮</t>
        </is>
      </c>
      <c r="D98" t="inlineStr" s="5">
        <is>
          <t>早餐</t>
        </is>
      </c>
      <c r="E98" s="6"/>
      <c r="F98" s="6"/>
      <c r="G98" s="6">
        <f>IF(AND(E98="",F98=""),"",F98-E98)</f>
      </c>
      <c r="H98" s="4"/>
      <c r="I98" s="5"/>
    </row>
    <row r="99" ht="21" customHeight="1">
      <c r="A99" s="3">
        <v>46188</v>
      </c>
      <c r="B99" t="inlineStr" s="4">
        <is>
          <t>星期一</t>
        </is>
      </c>
      <c r="C99" t="inlineStr" s="4">
        <is>
          <t>餐饮</t>
        </is>
      </c>
      <c r="D99" t="inlineStr" s="5">
        <is>
          <t>中餐</t>
        </is>
      </c>
      <c r="E99" s="6"/>
      <c r="F99" s="6"/>
      <c r="G99" s="6">
        <f>IF(AND(E99="",F99=""),"",F99-E99)</f>
      </c>
      <c r="H99" s="4"/>
      <c r="I99" s="5"/>
    </row>
    <row r="100" ht="21" customHeight="1">
      <c r="A100" s="3">
        <v>46188</v>
      </c>
      <c r="B100" t="inlineStr" s="4">
        <is>
          <t>星期一</t>
        </is>
      </c>
      <c r="C100" t="inlineStr" s="4">
        <is>
          <t>餐饮</t>
        </is>
      </c>
      <c r="D100" t="inlineStr" s="5">
        <is>
          <t>晚餐</t>
        </is>
      </c>
      <c r="E100" s="6"/>
      <c r="F100" s="6"/>
      <c r="G100" s="6">
        <f>IF(AND(E100="",F100=""),"",F100-E100)</f>
      </c>
      <c r="H100" s="4"/>
      <c r="I100" s="5"/>
    </row>
    <row r="101" ht="21" customHeight="1">
      <c r="A101" s="3">
        <v>46188</v>
      </c>
      <c r="B101" t="inlineStr" s="4">
        <is>
          <t>星期一</t>
        </is>
      </c>
      <c r="C101" t="inlineStr" s="4">
        <is>
          <t>奶茶/咖啡</t>
        </is>
      </c>
      <c r="D101" t="inlineStr" s="5">
        <is>
          <t>奶茶/咖啡</t>
        </is>
      </c>
      <c r="E101" s="6"/>
      <c r="F101" s="6"/>
      <c r="G101" s="6">
        <f>IF(AND(E101="",F101=""),"",F101-E101)</f>
      </c>
      <c r="H101" s="4"/>
      <c r="I101" s="5"/>
    </row>
    <row r="102" ht="21" customHeight="1">
      <c r="A102" s="3">
        <v>46188</v>
      </c>
      <c r="B102" t="inlineStr" s="4">
        <is>
          <t>星期一</t>
        </is>
      </c>
      <c r="C102" t="inlineStr" s="4">
        <is>
          <t>其他</t>
        </is>
      </c>
      <c r="D102" t="inlineStr" s="5">
        <is>
          <t>其他</t>
        </is>
      </c>
      <c r="E102" s="6"/>
      <c r="F102" s="6"/>
      <c r="G102" s="6">
        <f>IF(AND(E102="",F102=""),"",F102-E102)</f>
      </c>
      <c r="H102" s="4"/>
      <c r="I102" s="5"/>
    </row>
    <row r="103" ht="21" customHeight="1">
      <c r="A103" s="3">
        <v>46188</v>
      </c>
      <c r="B103" t="inlineStr" s="4">
        <is>
          <t>星期一</t>
        </is>
      </c>
      <c r="C103" t="inlineStr" s="4">
        <is>
          <t>其他</t>
        </is>
      </c>
      <c r="D103" t="inlineStr" s="5">
        <is>
          <t>其他</t>
        </is>
      </c>
      <c r="E103" s="6"/>
      <c r="F103" s="6"/>
      <c r="G103" s="6">
        <f>IF(AND(E103="",F103=""),"",F103-E103)</f>
      </c>
      <c r="H103" s="4"/>
      <c r="I103" s="5"/>
    </row>
    <row r="104" ht="21" customHeight="1">
      <c r="A104" s="3">
        <v>46189</v>
      </c>
      <c r="B104" t="inlineStr" s="4">
        <is>
          <t>星期二</t>
        </is>
      </c>
      <c r="C104" t="inlineStr" s="4">
        <is>
          <t>餐饮</t>
        </is>
      </c>
      <c r="D104" t="inlineStr" s="5">
        <is>
          <t>早餐</t>
        </is>
      </c>
      <c r="E104" s="6"/>
      <c r="F104" s="6"/>
      <c r="G104" s="6">
        <f>IF(AND(E104="",F104=""),"",F104-E104)</f>
      </c>
      <c r="H104" s="4"/>
      <c r="I104" s="5"/>
    </row>
    <row r="105" ht="21" customHeight="1">
      <c r="A105" s="3">
        <v>46189</v>
      </c>
      <c r="B105" t="inlineStr" s="4">
        <is>
          <t>星期二</t>
        </is>
      </c>
      <c r="C105" t="inlineStr" s="4">
        <is>
          <t>餐饮</t>
        </is>
      </c>
      <c r="D105" t="inlineStr" s="5">
        <is>
          <t>中餐</t>
        </is>
      </c>
      <c r="E105" s="6"/>
      <c r="F105" s="6"/>
      <c r="G105" s="6">
        <f>IF(AND(E105="",F105=""),"",F105-E105)</f>
      </c>
      <c r="H105" s="4"/>
      <c r="I105" s="5"/>
    </row>
    <row r="106" ht="21" customHeight="1">
      <c r="A106" s="3">
        <v>46189</v>
      </c>
      <c r="B106" t="inlineStr" s="4">
        <is>
          <t>星期二</t>
        </is>
      </c>
      <c r="C106" t="inlineStr" s="4">
        <is>
          <t>餐饮</t>
        </is>
      </c>
      <c r="D106" t="inlineStr" s="5">
        <is>
          <t>晚餐</t>
        </is>
      </c>
      <c r="E106" s="6"/>
      <c r="F106" s="6"/>
      <c r="G106" s="6">
        <f>IF(AND(E106="",F106=""),"",F106-E106)</f>
      </c>
      <c r="H106" s="4"/>
      <c r="I106" s="5"/>
    </row>
    <row r="107" ht="21" customHeight="1">
      <c r="A107" s="3">
        <v>46189</v>
      </c>
      <c r="B107" t="inlineStr" s="4">
        <is>
          <t>星期二</t>
        </is>
      </c>
      <c r="C107" t="inlineStr" s="4">
        <is>
          <t>奶茶/咖啡</t>
        </is>
      </c>
      <c r="D107" t="inlineStr" s="5">
        <is>
          <t>奶茶/咖啡</t>
        </is>
      </c>
      <c r="E107" s="6"/>
      <c r="F107" s="6"/>
      <c r="G107" s="6">
        <f>IF(AND(E107="",F107=""),"",F107-E107)</f>
      </c>
      <c r="H107" s="4"/>
      <c r="I107" s="5"/>
    </row>
    <row r="108" ht="21" customHeight="1">
      <c r="A108" s="3">
        <v>46189</v>
      </c>
      <c r="B108" t="inlineStr" s="4">
        <is>
          <t>星期二</t>
        </is>
      </c>
      <c r="C108" t="inlineStr" s="4">
        <is>
          <t>其他</t>
        </is>
      </c>
      <c r="D108" t="inlineStr" s="5">
        <is>
          <t>其他</t>
        </is>
      </c>
      <c r="E108" s="6"/>
      <c r="F108" s="6"/>
      <c r="G108" s="6">
        <f>IF(AND(E108="",F108=""),"",F108-E108)</f>
      </c>
      <c r="H108" s="4"/>
      <c r="I108" s="5"/>
    </row>
    <row r="109" ht="21" customHeight="1">
      <c r="A109" s="3">
        <v>46189</v>
      </c>
      <c r="B109" t="inlineStr" s="4">
        <is>
          <t>星期二</t>
        </is>
      </c>
      <c r="C109" t="inlineStr" s="4">
        <is>
          <t>其他</t>
        </is>
      </c>
      <c r="D109" t="inlineStr" s="5">
        <is>
          <t>其他</t>
        </is>
      </c>
      <c r="E109" s="6"/>
      <c r="F109" s="6"/>
      <c r="G109" s="6">
        <f>IF(AND(E109="",F109=""),"",F109-E109)</f>
      </c>
      <c r="H109" s="4"/>
      <c r="I109" s="5"/>
    </row>
    <row r="110" ht="21" customHeight="1">
      <c r="A110" s="3">
        <v>46190</v>
      </c>
      <c r="B110" t="inlineStr" s="4">
        <is>
          <t>星期三</t>
        </is>
      </c>
      <c r="C110" t="inlineStr" s="4">
        <is>
          <t>餐饮</t>
        </is>
      </c>
      <c r="D110" t="inlineStr" s="5">
        <is>
          <t>早餐</t>
        </is>
      </c>
      <c r="E110" s="6"/>
      <c r="F110" s="6"/>
      <c r="G110" s="6">
        <f>IF(AND(E110="",F110=""),"",F110-E110)</f>
      </c>
      <c r="H110" s="4"/>
      <c r="I110" s="5"/>
    </row>
    <row r="111" ht="21" customHeight="1">
      <c r="A111" s="3">
        <v>46190</v>
      </c>
      <c r="B111" t="inlineStr" s="4">
        <is>
          <t>星期三</t>
        </is>
      </c>
      <c r="C111" t="inlineStr" s="4">
        <is>
          <t>餐饮</t>
        </is>
      </c>
      <c r="D111" t="inlineStr" s="5">
        <is>
          <t>中餐</t>
        </is>
      </c>
      <c r="E111" s="6"/>
      <c r="F111" s="6"/>
      <c r="G111" s="6">
        <f>IF(AND(E111="",F111=""),"",F111-E111)</f>
      </c>
      <c r="H111" s="4"/>
      <c r="I111" s="5"/>
    </row>
    <row r="112" ht="21" customHeight="1">
      <c r="A112" s="3">
        <v>46190</v>
      </c>
      <c r="B112" t="inlineStr" s="4">
        <is>
          <t>星期三</t>
        </is>
      </c>
      <c r="C112" t="inlineStr" s="4">
        <is>
          <t>餐饮</t>
        </is>
      </c>
      <c r="D112" t="inlineStr" s="5">
        <is>
          <t>晚餐</t>
        </is>
      </c>
      <c r="E112" s="6"/>
      <c r="F112" s="6"/>
      <c r="G112" s="6">
        <f>IF(AND(E112="",F112=""),"",F112-E112)</f>
      </c>
      <c r="H112" s="4"/>
      <c r="I112" s="5"/>
    </row>
    <row r="113" ht="21" customHeight="1">
      <c r="A113" s="3">
        <v>46190</v>
      </c>
      <c r="B113" t="inlineStr" s="4">
        <is>
          <t>星期三</t>
        </is>
      </c>
      <c r="C113" t="inlineStr" s="4">
        <is>
          <t>奶茶/咖啡</t>
        </is>
      </c>
      <c r="D113" t="inlineStr" s="5">
        <is>
          <t>奶茶/咖啡</t>
        </is>
      </c>
      <c r="E113" s="6"/>
      <c r="F113" s="6"/>
      <c r="G113" s="6">
        <f>IF(AND(E113="",F113=""),"",F113-E113)</f>
      </c>
      <c r="H113" s="4"/>
      <c r="I113" s="5"/>
    </row>
    <row r="114" ht="21" customHeight="1">
      <c r="A114" s="3">
        <v>46190</v>
      </c>
      <c r="B114" t="inlineStr" s="4">
        <is>
          <t>星期三</t>
        </is>
      </c>
      <c r="C114" t="inlineStr" s="4">
        <is>
          <t>其他</t>
        </is>
      </c>
      <c r="D114" t="inlineStr" s="5">
        <is>
          <t>其他</t>
        </is>
      </c>
      <c r="E114" s="6"/>
      <c r="F114" s="6"/>
      <c r="G114" s="6">
        <f>IF(AND(E114="",F114=""),"",F114-E114)</f>
      </c>
      <c r="H114" s="4"/>
      <c r="I114" s="5"/>
    </row>
    <row r="115" ht="21" customHeight="1">
      <c r="A115" s="3">
        <v>46190</v>
      </c>
      <c r="B115" t="inlineStr" s="4">
        <is>
          <t>星期三</t>
        </is>
      </c>
      <c r="C115" t="inlineStr" s="4">
        <is>
          <t>其他</t>
        </is>
      </c>
      <c r="D115" t="inlineStr" s="5">
        <is>
          <t>其他</t>
        </is>
      </c>
      <c r="E115" s="6"/>
      <c r="F115" s="6"/>
      <c r="G115" s="6">
        <f>IF(AND(E115="",F115=""),"",F115-E115)</f>
      </c>
      <c r="H115" s="4"/>
      <c r="I115" s="5"/>
    </row>
    <row r="116" ht="21" customHeight="1">
      <c r="A116" s="3">
        <v>46191</v>
      </c>
      <c r="B116" t="inlineStr" s="4">
        <is>
          <t>星期四</t>
        </is>
      </c>
      <c r="C116" t="inlineStr" s="4">
        <is>
          <t>餐饮</t>
        </is>
      </c>
      <c r="D116" t="inlineStr" s="5">
        <is>
          <t>早餐</t>
        </is>
      </c>
      <c r="E116" s="6"/>
      <c r="F116" s="6"/>
      <c r="G116" s="6">
        <f>IF(AND(E116="",F116=""),"",F116-E116)</f>
      </c>
      <c r="H116" s="4"/>
      <c r="I116" s="5"/>
    </row>
    <row r="117" ht="21" customHeight="1">
      <c r="A117" s="3">
        <v>46191</v>
      </c>
      <c r="B117" t="inlineStr" s="4">
        <is>
          <t>星期四</t>
        </is>
      </c>
      <c r="C117" t="inlineStr" s="4">
        <is>
          <t>餐饮</t>
        </is>
      </c>
      <c r="D117" t="inlineStr" s="5">
        <is>
          <t>中餐</t>
        </is>
      </c>
      <c r="E117" s="6"/>
      <c r="F117" s="6"/>
      <c r="G117" s="6">
        <f>IF(AND(E117="",F117=""),"",F117-E117)</f>
      </c>
      <c r="H117" s="4"/>
      <c r="I117" s="5"/>
    </row>
    <row r="118" ht="21" customHeight="1">
      <c r="A118" s="3">
        <v>46191</v>
      </c>
      <c r="B118" t="inlineStr" s="4">
        <is>
          <t>星期四</t>
        </is>
      </c>
      <c r="C118" t="inlineStr" s="4">
        <is>
          <t>餐饮</t>
        </is>
      </c>
      <c r="D118" t="inlineStr" s="5">
        <is>
          <t>晚餐</t>
        </is>
      </c>
      <c r="E118" s="6"/>
      <c r="F118" s="6"/>
      <c r="G118" s="6">
        <f>IF(AND(E118="",F118=""),"",F118-E118)</f>
      </c>
      <c r="H118" s="4"/>
      <c r="I118" s="5"/>
    </row>
    <row r="119" ht="21" customHeight="1">
      <c r="A119" s="3">
        <v>46191</v>
      </c>
      <c r="B119" t="inlineStr" s="4">
        <is>
          <t>星期四</t>
        </is>
      </c>
      <c r="C119" t="inlineStr" s="4">
        <is>
          <t>奶茶/咖啡</t>
        </is>
      </c>
      <c r="D119" t="inlineStr" s="5">
        <is>
          <t>奶茶/咖啡</t>
        </is>
      </c>
      <c r="E119" s="6"/>
      <c r="F119" s="6"/>
      <c r="G119" s="6">
        <f>IF(AND(E119="",F119=""),"",F119-E119)</f>
      </c>
      <c r="H119" s="4"/>
      <c r="I119" s="5"/>
    </row>
    <row r="120" ht="21" customHeight="1">
      <c r="A120" s="3">
        <v>46191</v>
      </c>
      <c r="B120" t="inlineStr" s="4">
        <is>
          <t>星期四</t>
        </is>
      </c>
      <c r="C120" t="inlineStr" s="4">
        <is>
          <t>其他</t>
        </is>
      </c>
      <c r="D120" t="inlineStr" s="5">
        <is>
          <t>其他</t>
        </is>
      </c>
      <c r="E120" s="6"/>
      <c r="F120" s="6"/>
      <c r="G120" s="6">
        <f>IF(AND(E120="",F120=""),"",F120-E120)</f>
      </c>
      <c r="H120" s="4"/>
      <c r="I120" s="5"/>
    </row>
    <row r="121" ht="21" customHeight="1">
      <c r="A121" s="3">
        <v>46191</v>
      </c>
      <c r="B121" t="inlineStr" s="4">
        <is>
          <t>星期四</t>
        </is>
      </c>
      <c r="C121" t="inlineStr" s="4">
        <is>
          <t>其他</t>
        </is>
      </c>
      <c r="D121" t="inlineStr" s="5">
        <is>
          <t>其他</t>
        </is>
      </c>
      <c r="E121" s="6"/>
      <c r="F121" s="6"/>
      <c r="G121" s="6">
        <f>IF(AND(E121="",F121=""),"",F121-E121)</f>
      </c>
      <c r="H121" s="4"/>
      <c r="I121" s="5"/>
    </row>
    <row r="122" ht="21" customHeight="1">
      <c r="A122" s="3">
        <v>46192</v>
      </c>
      <c r="B122" t="inlineStr" s="4">
        <is>
          <t>星期五</t>
        </is>
      </c>
      <c r="C122" t="inlineStr" s="4">
        <is>
          <t>餐饮</t>
        </is>
      </c>
      <c r="D122" t="inlineStr" s="5">
        <is>
          <t>早餐</t>
        </is>
      </c>
      <c r="E122" s="6"/>
      <c r="F122" s="6"/>
      <c r="G122" s="6">
        <f>IF(AND(E122="",F122=""),"",F122-E122)</f>
      </c>
      <c r="H122" s="4"/>
      <c r="I122" s="5"/>
    </row>
    <row r="123" ht="21" customHeight="1">
      <c r="A123" s="3">
        <v>46192</v>
      </c>
      <c r="B123" t="inlineStr" s="4">
        <is>
          <t>星期五</t>
        </is>
      </c>
      <c r="C123" t="inlineStr" s="4">
        <is>
          <t>餐饮</t>
        </is>
      </c>
      <c r="D123" t="inlineStr" s="5">
        <is>
          <t>中餐</t>
        </is>
      </c>
      <c r="E123" s="6"/>
      <c r="F123" s="6"/>
      <c r="G123" s="6">
        <f>IF(AND(E123="",F123=""),"",F123-E123)</f>
      </c>
      <c r="H123" s="4"/>
      <c r="I123" s="5"/>
    </row>
    <row r="124" ht="21" customHeight="1">
      <c r="A124" s="3">
        <v>46192</v>
      </c>
      <c r="B124" t="inlineStr" s="4">
        <is>
          <t>星期五</t>
        </is>
      </c>
      <c r="C124" t="inlineStr" s="4">
        <is>
          <t>餐饮</t>
        </is>
      </c>
      <c r="D124" t="inlineStr" s="5">
        <is>
          <t>晚餐</t>
        </is>
      </c>
      <c r="E124" s="6"/>
      <c r="F124" s="6"/>
      <c r="G124" s="6">
        <f>IF(AND(E124="",F124=""),"",F124-E124)</f>
      </c>
      <c r="H124" s="4"/>
      <c r="I124" s="5"/>
    </row>
    <row r="125" ht="21" customHeight="1">
      <c r="A125" s="3">
        <v>46192</v>
      </c>
      <c r="B125" t="inlineStr" s="4">
        <is>
          <t>星期五</t>
        </is>
      </c>
      <c r="C125" t="inlineStr" s="4">
        <is>
          <t>奶茶/咖啡</t>
        </is>
      </c>
      <c r="D125" t="inlineStr" s="5">
        <is>
          <t>奶茶/咖啡</t>
        </is>
      </c>
      <c r="E125" s="6"/>
      <c r="F125" s="6"/>
      <c r="G125" s="6">
        <f>IF(AND(E125="",F125=""),"",F125-E125)</f>
      </c>
      <c r="H125" s="4"/>
      <c r="I125" s="5"/>
    </row>
    <row r="126" ht="21" customHeight="1">
      <c r="A126" s="3">
        <v>46192</v>
      </c>
      <c r="B126" t="inlineStr" s="4">
        <is>
          <t>星期五</t>
        </is>
      </c>
      <c r="C126" t="inlineStr" s="4">
        <is>
          <t>其他</t>
        </is>
      </c>
      <c r="D126" t="inlineStr" s="5">
        <is>
          <t>其他</t>
        </is>
      </c>
      <c r="E126" s="6"/>
      <c r="F126" s="6"/>
      <c r="G126" s="6">
        <f>IF(AND(E126="",F126=""),"",F126-E126)</f>
      </c>
      <c r="H126" s="4"/>
      <c r="I126" s="5"/>
    </row>
    <row r="127" ht="21" customHeight="1">
      <c r="A127" s="3">
        <v>46192</v>
      </c>
      <c r="B127" t="inlineStr" s="4">
        <is>
          <t>星期五</t>
        </is>
      </c>
      <c r="C127" t="inlineStr" s="4">
        <is>
          <t>其他</t>
        </is>
      </c>
      <c r="D127" t="inlineStr" s="5">
        <is>
          <t>其他</t>
        </is>
      </c>
      <c r="E127" s="6"/>
      <c r="F127" s="6"/>
      <c r="G127" s="6">
        <f>IF(AND(E127="",F127=""),"",F127-E127)</f>
      </c>
      <c r="H127" s="4"/>
      <c r="I127" s="5"/>
    </row>
    <row r="128" ht="21" customHeight="1">
      <c r="A128" s="3">
        <v>46193</v>
      </c>
      <c r="B128" t="inlineStr" s="4">
        <is>
          <t>星期六</t>
        </is>
      </c>
      <c r="C128" t="inlineStr" s="4">
        <is>
          <t>餐饮</t>
        </is>
      </c>
      <c r="D128" t="inlineStr" s="5">
        <is>
          <t>早餐</t>
        </is>
      </c>
      <c r="E128" s="6"/>
      <c r="F128" s="6"/>
      <c r="G128" s="6">
        <f>IF(AND(E128="",F128=""),"",F128-E128)</f>
      </c>
      <c r="H128" s="4"/>
      <c r="I128" s="5"/>
    </row>
    <row r="129" ht="21" customHeight="1">
      <c r="A129" s="3">
        <v>46193</v>
      </c>
      <c r="B129" t="inlineStr" s="4">
        <is>
          <t>星期六</t>
        </is>
      </c>
      <c r="C129" t="inlineStr" s="4">
        <is>
          <t>餐饮</t>
        </is>
      </c>
      <c r="D129" t="inlineStr" s="5">
        <is>
          <t>中餐</t>
        </is>
      </c>
      <c r="E129" s="6"/>
      <c r="F129" s="6"/>
      <c r="G129" s="6">
        <f>IF(AND(E129="",F129=""),"",F129-E129)</f>
      </c>
      <c r="H129" s="4"/>
      <c r="I129" s="5"/>
    </row>
    <row r="130" ht="21" customHeight="1">
      <c r="A130" s="3">
        <v>46193</v>
      </c>
      <c r="B130" t="inlineStr" s="4">
        <is>
          <t>星期六</t>
        </is>
      </c>
      <c r="C130" t="inlineStr" s="4">
        <is>
          <t>餐饮</t>
        </is>
      </c>
      <c r="D130" t="inlineStr" s="5">
        <is>
          <t>晚餐</t>
        </is>
      </c>
      <c r="E130" s="6"/>
      <c r="F130" s="6"/>
      <c r="G130" s="6">
        <f>IF(AND(E130="",F130=""),"",F130-E130)</f>
      </c>
      <c r="H130" s="4"/>
      <c r="I130" s="5"/>
    </row>
    <row r="131" ht="21" customHeight="1">
      <c r="A131" s="3">
        <v>46193</v>
      </c>
      <c r="B131" t="inlineStr" s="4">
        <is>
          <t>星期六</t>
        </is>
      </c>
      <c r="C131" t="inlineStr" s="4">
        <is>
          <t>奶茶/咖啡</t>
        </is>
      </c>
      <c r="D131" t="inlineStr" s="5">
        <is>
          <t>奶茶/咖啡</t>
        </is>
      </c>
      <c r="E131" s="6"/>
      <c r="F131" s="6"/>
      <c r="G131" s="6">
        <f>IF(AND(E131="",F131=""),"",F131-E131)</f>
      </c>
      <c r="H131" s="4"/>
      <c r="I131" s="5"/>
    </row>
    <row r="132" ht="21" customHeight="1">
      <c r="A132" s="3">
        <v>46193</v>
      </c>
      <c r="B132" t="inlineStr" s="4">
        <is>
          <t>星期六</t>
        </is>
      </c>
      <c r="C132" t="inlineStr" s="4">
        <is>
          <t>其他</t>
        </is>
      </c>
      <c r="D132" t="inlineStr" s="5">
        <is>
          <t>其他</t>
        </is>
      </c>
      <c r="E132" s="6"/>
      <c r="F132" s="6"/>
      <c r="G132" s="6">
        <f>IF(AND(E132="",F132=""),"",F132-E132)</f>
      </c>
      <c r="H132" s="4"/>
      <c r="I132" s="5"/>
    </row>
    <row r="133" ht="21" customHeight="1">
      <c r="A133" s="3">
        <v>46193</v>
      </c>
      <c r="B133" t="inlineStr" s="4">
        <is>
          <t>星期六</t>
        </is>
      </c>
      <c r="C133" t="inlineStr" s="4">
        <is>
          <t>其他</t>
        </is>
      </c>
      <c r="D133" t="inlineStr" s="5">
        <is>
          <t>其他</t>
        </is>
      </c>
      <c r="E133" s="6"/>
      <c r="F133" s="6"/>
      <c r="G133" s="6">
        <f>IF(AND(E133="",F133=""),"",F133-E133)</f>
      </c>
      <c r="H133" s="4"/>
      <c r="I133" s="5"/>
    </row>
    <row r="134" ht="21" customHeight="1">
      <c r="A134" s="3">
        <v>46194</v>
      </c>
      <c r="B134" t="inlineStr" s="4">
        <is>
          <t>星期日</t>
        </is>
      </c>
      <c r="C134" t="inlineStr" s="4">
        <is>
          <t>餐饮</t>
        </is>
      </c>
      <c r="D134" t="inlineStr" s="5">
        <is>
          <t>早餐</t>
        </is>
      </c>
      <c r="E134" s="6"/>
      <c r="F134" s="6"/>
      <c r="G134" s="6">
        <f>IF(AND(E134="",F134=""),"",F134-E134)</f>
      </c>
      <c r="H134" s="4"/>
      <c r="I134" s="5"/>
    </row>
    <row r="135" ht="21" customHeight="1">
      <c r="A135" s="3">
        <v>46194</v>
      </c>
      <c r="B135" t="inlineStr" s="4">
        <is>
          <t>星期日</t>
        </is>
      </c>
      <c r="C135" t="inlineStr" s="4">
        <is>
          <t>餐饮</t>
        </is>
      </c>
      <c r="D135" t="inlineStr" s="5">
        <is>
          <t>中餐</t>
        </is>
      </c>
      <c r="E135" s="6"/>
      <c r="F135" s="6"/>
      <c r="G135" s="6">
        <f>IF(AND(E135="",F135=""),"",F135-E135)</f>
      </c>
      <c r="H135" s="4"/>
      <c r="I135" s="5"/>
    </row>
    <row r="136" ht="21" customHeight="1">
      <c r="A136" s="3">
        <v>46194</v>
      </c>
      <c r="B136" t="inlineStr" s="4">
        <is>
          <t>星期日</t>
        </is>
      </c>
      <c r="C136" t="inlineStr" s="4">
        <is>
          <t>餐饮</t>
        </is>
      </c>
      <c r="D136" t="inlineStr" s="5">
        <is>
          <t>晚餐</t>
        </is>
      </c>
      <c r="E136" s="6"/>
      <c r="F136" s="6"/>
      <c r="G136" s="6">
        <f>IF(AND(E136="",F136=""),"",F136-E136)</f>
      </c>
      <c r="H136" s="4"/>
      <c r="I136" s="5"/>
    </row>
    <row r="137" ht="21" customHeight="1">
      <c r="A137" s="3">
        <v>46194</v>
      </c>
      <c r="B137" t="inlineStr" s="4">
        <is>
          <t>星期日</t>
        </is>
      </c>
      <c r="C137" t="inlineStr" s="4">
        <is>
          <t>奶茶/咖啡</t>
        </is>
      </c>
      <c r="D137" t="inlineStr" s="5">
        <is>
          <t>奶茶/咖啡</t>
        </is>
      </c>
      <c r="E137" s="6"/>
      <c r="F137" s="6"/>
      <c r="G137" s="6">
        <f>IF(AND(E137="",F137=""),"",F137-E137)</f>
      </c>
      <c r="H137" s="4"/>
      <c r="I137" s="5"/>
    </row>
    <row r="138" ht="21" customHeight="1">
      <c r="A138" s="3">
        <v>46194</v>
      </c>
      <c r="B138" t="inlineStr" s="4">
        <is>
          <t>星期日</t>
        </is>
      </c>
      <c r="C138" t="inlineStr" s="4">
        <is>
          <t>其他</t>
        </is>
      </c>
      <c r="D138" t="inlineStr" s="5">
        <is>
          <t>其他</t>
        </is>
      </c>
      <c r="E138" s="6"/>
      <c r="F138" s="6"/>
      <c r="G138" s="6">
        <f>IF(AND(E138="",F138=""),"",F138-E138)</f>
      </c>
      <c r="H138" s="4"/>
      <c r="I138" s="5"/>
    </row>
    <row r="139" ht="21" customHeight="1">
      <c r="A139" s="3">
        <v>46194</v>
      </c>
      <c r="B139" t="inlineStr" s="4">
        <is>
          <t>星期日</t>
        </is>
      </c>
      <c r="C139" t="inlineStr" s="4">
        <is>
          <t>其他</t>
        </is>
      </c>
      <c r="D139" t="inlineStr" s="5">
        <is>
          <t>其他</t>
        </is>
      </c>
      <c r="E139" s="6"/>
      <c r="F139" s="6"/>
      <c r="G139" s="6">
        <f>IF(AND(E139="",F139=""),"",F139-E139)</f>
      </c>
      <c r="H139" s="4"/>
      <c r="I139" s="5"/>
    </row>
    <row r="140" ht="23" customHeight="1">
      <c r="A140" t="inlineStr" s="7">
        <is>
          <t>本周小计</t>
        </is>
      </c>
      <c r="B140" s="7"/>
      <c r="C140" s="7"/>
      <c r="D140" s="7"/>
      <c r="E140" s="8">
        <f>SUM(E98:E139)</f>
      </c>
      <c r="F140" s="8">
        <f>SUM(F98:F139)</f>
      </c>
      <c r="G140" s="8">
        <f>SUM(G98:G139)</f>
      </c>
      <c r="H140" s="7"/>
      <c r="I140" s="7"/>
    </row>
    <row r="141" ht="18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8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26" customHeight="1">
      <c r="A143" t="inlineStr" s="2">
        <is>
          <t>2026年6月｜第四周（6月22日 - 6月28日）</t>
        </is>
      </c>
      <c r="B143" s="2"/>
      <c r="C143" s="2"/>
      <c r="D143" s="2"/>
      <c r="E143" s="2"/>
      <c r="F143" s="2"/>
      <c r="G143" s="2"/>
      <c r="H143" s="2"/>
      <c r="I143" s="2"/>
    </row>
    <row r="144" ht="22" customHeight="1">
      <c r="A144" t="inlineStr" s="1">
        <is>
          <t>日期</t>
        </is>
      </c>
      <c r="B144" t="inlineStr" s="1">
        <is>
          <t>星期</t>
        </is>
      </c>
      <c r="C144" t="inlineStr" s="1">
        <is>
          <t>分类</t>
        </is>
      </c>
      <c r="D144" t="inlineStr" s="1">
        <is>
          <t>事项</t>
        </is>
      </c>
      <c r="E144" t="inlineStr" s="1">
        <is>
          <t>支出金额</t>
        </is>
      </c>
      <c r="F144" t="inlineStr" s="1">
        <is>
          <t>收入金额</t>
        </is>
      </c>
      <c r="G144" t="inlineStr" s="1">
        <is>
          <t>当笔净额</t>
        </is>
      </c>
      <c r="H144" t="inlineStr" s="1">
        <is>
          <t>支付方式</t>
        </is>
      </c>
      <c r="I144" t="inlineStr" s="1">
        <is>
          <t>备注</t>
        </is>
      </c>
    </row>
    <row r="145" ht="21" customHeight="1">
      <c r="A145" s="3">
        <v>46195</v>
      </c>
      <c r="B145" t="inlineStr" s="4">
        <is>
          <t>星期一</t>
        </is>
      </c>
      <c r="C145" t="inlineStr" s="4">
        <is>
          <t>餐饮</t>
        </is>
      </c>
      <c r="D145" t="inlineStr" s="5">
        <is>
          <t>早餐</t>
        </is>
      </c>
      <c r="E145" s="6"/>
      <c r="F145" s="6"/>
      <c r="G145" s="6">
        <f>IF(AND(E145="",F145=""),"",F145-E145)</f>
      </c>
      <c r="H145" s="4"/>
      <c r="I145" s="5"/>
    </row>
    <row r="146" ht="21" customHeight="1">
      <c r="A146" s="3">
        <v>46195</v>
      </c>
      <c r="B146" t="inlineStr" s="4">
        <is>
          <t>星期一</t>
        </is>
      </c>
      <c r="C146" t="inlineStr" s="4">
        <is>
          <t>餐饮</t>
        </is>
      </c>
      <c r="D146" t="inlineStr" s="5">
        <is>
          <t>中餐</t>
        </is>
      </c>
      <c r="E146" s="6"/>
      <c r="F146" s="6"/>
      <c r="G146" s="6">
        <f>IF(AND(E146="",F146=""),"",F146-E146)</f>
      </c>
      <c r="H146" s="4"/>
      <c r="I146" s="5"/>
    </row>
    <row r="147" ht="21" customHeight="1">
      <c r="A147" s="3">
        <v>46195</v>
      </c>
      <c r="B147" t="inlineStr" s="4">
        <is>
          <t>星期一</t>
        </is>
      </c>
      <c r="C147" t="inlineStr" s="4">
        <is>
          <t>餐饮</t>
        </is>
      </c>
      <c r="D147" t="inlineStr" s="5">
        <is>
          <t>晚餐</t>
        </is>
      </c>
      <c r="E147" s="6"/>
      <c r="F147" s="6"/>
      <c r="G147" s="6">
        <f>IF(AND(E147="",F147=""),"",F147-E147)</f>
      </c>
      <c r="H147" s="4"/>
      <c r="I147" s="5"/>
    </row>
    <row r="148" ht="21" customHeight="1">
      <c r="A148" s="3">
        <v>46195</v>
      </c>
      <c r="B148" t="inlineStr" s="4">
        <is>
          <t>星期一</t>
        </is>
      </c>
      <c r="C148" t="inlineStr" s="4">
        <is>
          <t>奶茶/咖啡</t>
        </is>
      </c>
      <c r="D148" t="inlineStr" s="5">
        <is>
          <t>奶茶/咖啡</t>
        </is>
      </c>
      <c r="E148" s="6"/>
      <c r="F148" s="6"/>
      <c r="G148" s="6">
        <f>IF(AND(E148="",F148=""),"",F148-E148)</f>
      </c>
      <c r="H148" s="4"/>
      <c r="I148" s="5"/>
    </row>
    <row r="149" ht="21" customHeight="1">
      <c r="A149" s="3">
        <v>46195</v>
      </c>
      <c r="B149" t="inlineStr" s="4">
        <is>
          <t>星期一</t>
        </is>
      </c>
      <c r="C149" t="inlineStr" s="4">
        <is>
          <t>其他</t>
        </is>
      </c>
      <c r="D149" t="inlineStr" s="5">
        <is>
          <t>其他</t>
        </is>
      </c>
      <c r="E149" s="6"/>
      <c r="F149" s="6"/>
      <c r="G149" s="6">
        <f>IF(AND(E149="",F149=""),"",F149-E149)</f>
      </c>
      <c r="H149" s="4"/>
      <c r="I149" s="5"/>
    </row>
    <row r="150" ht="21" customHeight="1">
      <c r="A150" s="3">
        <v>46195</v>
      </c>
      <c r="B150" t="inlineStr" s="4">
        <is>
          <t>星期一</t>
        </is>
      </c>
      <c r="C150" t="inlineStr" s="4">
        <is>
          <t>其他</t>
        </is>
      </c>
      <c r="D150" t="inlineStr" s="5">
        <is>
          <t>其他</t>
        </is>
      </c>
      <c r="E150" s="6"/>
      <c r="F150" s="6"/>
      <c r="G150" s="6">
        <f>IF(AND(E150="",F150=""),"",F150-E150)</f>
      </c>
      <c r="H150" s="4"/>
      <c r="I150" s="5"/>
    </row>
    <row r="151" ht="21" customHeight="1">
      <c r="A151" s="3">
        <v>46196</v>
      </c>
      <c r="B151" t="inlineStr" s="4">
        <is>
          <t>星期二</t>
        </is>
      </c>
      <c r="C151" t="inlineStr" s="4">
        <is>
          <t>餐饮</t>
        </is>
      </c>
      <c r="D151" t="inlineStr" s="5">
        <is>
          <t>早餐</t>
        </is>
      </c>
      <c r="E151" s="6"/>
      <c r="F151" s="6"/>
      <c r="G151" s="6">
        <f>IF(AND(E151="",F151=""),"",F151-E151)</f>
      </c>
      <c r="H151" s="4"/>
      <c r="I151" s="5"/>
    </row>
    <row r="152" ht="21" customHeight="1">
      <c r="A152" s="3">
        <v>46196</v>
      </c>
      <c r="B152" t="inlineStr" s="4">
        <is>
          <t>星期二</t>
        </is>
      </c>
      <c r="C152" t="inlineStr" s="4">
        <is>
          <t>餐饮</t>
        </is>
      </c>
      <c r="D152" t="inlineStr" s="5">
        <is>
          <t>中餐</t>
        </is>
      </c>
      <c r="E152" s="6"/>
      <c r="F152" s="6"/>
      <c r="G152" s="6">
        <f>IF(AND(E152="",F152=""),"",F152-E152)</f>
      </c>
      <c r="H152" s="4"/>
      <c r="I152" s="5"/>
    </row>
    <row r="153" ht="21" customHeight="1">
      <c r="A153" s="3">
        <v>46196</v>
      </c>
      <c r="B153" t="inlineStr" s="4">
        <is>
          <t>星期二</t>
        </is>
      </c>
      <c r="C153" t="inlineStr" s="4">
        <is>
          <t>餐饮</t>
        </is>
      </c>
      <c r="D153" t="inlineStr" s="5">
        <is>
          <t>晚餐</t>
        </is>
      </c>
      <c r="E153" s="6"/>
      <c r="F153" s="6"/>
      <c r="G153" s="6">
        <f>IF(AND(E153="",F153=""),"",F153-E153)</f>
      </c>
      <c r="H153" s="4"/>
      <c r="I153" s="5"/>
    </row>
    <row r="154" ht="21" customHeight="1">
      <c r="A154" s="3">
        <v>46196</v>
      </c>
      <c r="B154" t="inlineStr" s="4">
        <is>
          <t>星期二</t>
        </is>
      </c>
      <c r="C154" t="inlineStr" s="4">
        <is>
          <t>奶茶/咖啡</t>
        </is>
      </c>
      <c r="D154" t="inlineStr" s="5">
        <is>
          <t>奶茶/咖啡</t>
        </is>
      </c>
      <c r="E154" s="6"/>
      <c r="F154" s="6"/>
      <c r="G154" s="6">
        <f>IF(AND(E154="",F154=""),"",F154-E154)</f>
      </c>
      <c r="H154" s="4"/>
      <c r="I154" s="5"/>
    </row>
    <row r="155" ht="21" customHeight="1">
      <c r="A155" s="3">
        <v>46196</v>
      </c>
      <c r="B155" t="inlineStr" s="4">
        <is>
          <t>星期二</t>
        </is>
      </c>
      <c r="C155" t="inlineStr" s="4">
        <is>
          <t>其他</t>
        </is>
      </c>
      <c r="D155" t="inlineStr" s="5">
        <is>
          <t>其他</t>
        </is>
      </c>
      <c r="E155" s="6"/>
      <c r="F155" s="6"/>
      <c r="G155" s="6">
        <f>IF(AND(E155="",F155=""),"",F155-E155)</f>
      </c>
      <c r="H155" s="4"/>
      <c r="I155" s="5"/>
    </row>
    <row r="156" ht="21" customHeight="1">
      <c r="A156" s="3">
        <v>46196</v>
      </c>
      <c r="B156" t="inlineStr" s="4">
        <is>
          <t>星期二</t>
        </is>
      </c>
      <c r="C156" t="inlineStr" s="4">
        <is>
          <t>其他</t>
        </is>
      </c>
      <c r="D156" t="inlineStr" s="5">
        <is>
          <t>其他</t>
        </is>
      </c>
      <c r="E156" s="6"/>
      <c r="F156" s="6"/>
      <c r="G156" s="6">
        <f>IF(AND(E156="",F156=""),"",F156-E156)</f>
      </c>
      <c r="H156" s="4"/>
      <c r="I156" s="5"/>
    </row>
    <row r="157" ht="21" customHeight="1">
      <c r="A157" s="3">
        <v>46197</v>
      </c>
      <c r="B157" t="inlineStr" s="4">
        <is>
          <t>星期三</t>
        </is>
      </c>
      <c r="C157" t="inlineStr" s="4">
        <is>
          <t>餐饮</t>
        </is>
      </c>
      <c r="D157" t="inlineStr" s="5">
        <is>
          <t>早餐</t>
        </is>
      </c>
      <c r="E157" s="6"/>
      <c r="F157" s="6"/>
      <c r="G157" s="6">
        <f>IF(AND(E157="",F157=""),"",F157-E157)</f>
      </c>
      <c r="H157" s="4"/>
      <c r="I157" s="5"/>
    </row>
    <row r="158" ht="21" customHeight="1">
      <c r="A158" s="3">
        <v>46197</v>
      </c>
      <c r="B158" t="inlineStr" s="4">
        <is>
          <t>星期三</t>
        </is>
      </c>
      <c r="C158" t="inlineStr" s="4">
        <is>
          <t>餐饮</t>
        </is>
      </c>
      <c r="D158" t="inlineStr" s="5">
        <is>
          <t>中餐</t>
        </is>
      </c>
      <c r="E158" s="6"/>
      <c r="F158" s="6"/>
      <c r="G158" s="6">
        <f>IF(AND(E158="",F158=""),"",F158-E158)</f>
      </c>
      <c r="H158" s="4"/>
      <c r="I158" s="5"/>
    </row>
    <row r="159" ht="21" customHeight="1">
      <c r="A159" s="3">
        <v>46197</v>
      </c>
      <c r="B159" t="inlineStr" s="4">
        <is>
          <t>星期三</t>
        </is>
      </c>
      <c r="C159" t="inlineStr" s="4">
        <is>
          <t>餐饮</t>
        </is>
      </c>
      <c r="D159" t="inlineStr" s="5">
        <is>
          <t>晚餐</t>
        </is>
      </c>
      <c r="E159" s="6"/>
      <c r="F159" s="6"/>
      <c r="G159" s="6">
        <f>IF(AND(E159="",F159=""),"",F159-E159)</f>
      </c>
      <c r="H159" s="4"/>
      <c r="I159" s="5"/>
    </row>
    <row r="160" ht="21" customHeight="1">
      <c r="A160" s="3">
        <v>46197</v>
      </c>
      <c r="B160" t="inlineStr" s="4">
        <is>
          <t>星期三</t>
        </is>
      </c>
      <c r="C160" t="inlineStr" s="4">
        <is>
          <t>奶茶/咖啡</t>
        </is>
      </c>
      <c r="D160" t="inlineStr" s="5">
        <is>
          <t>奶茶/咖啡</t>
        </is>
      </c>
      <c r="E160" s="6"/>
      <c r="F160" s="6"/>
      <c r="G160" s="6">
        <f>IF(AND(E160="",F160=""),"",F160-E160)</f>
      </c>
      <c r="H160" s="4"/>
      <c r="I160" s="5"/>
    </row>
    <row r="161" ht="21" customHeight="1">
      <c r="A161" s="3">
        <v>46197</v>
      </c>
      <c r="B161" t="inlineStr" s="4">
        <is>
          <t>星期三</t>
        </is>
      </c>
      <c r="C161" t="inlineStr" s="4">
        <is>
          <t>其他</t>
        </is>
      </c>
      <c r="D161" t="inlineStr" s="5">
        <is>
          <t>其他</t>
        </is>
      </c>
      <c r="E161" s="6"/>
      <c r="F161" s="6"/>
      <c r="G161" s="6">
        <f>IF(AND(E161="",F161=""),"",F161-E161)</f>
      </c>
      <c r="H161" s="4"/>
      <c r="I161" s="5"/>
    </row>
    <row r="162" ht="21" customHeight="1">
      <c r="A162" s="3">
        <v>46197</v>
      </c>
      <c r="B162" t="inlineStr" s="4">
        <is>
          <t>星期三</t>
        </is>
      </c>
      <c r="C162" t="inlineStr" s="4">
        <is>
          <t>其他</t>
        </is>
      </c>
      <c r="D162" t="inlineStr" s="5">
        <is>
          <t>其他</t>
        </is>
      </c>
      <c r="E162" s="6"/>
      <c r="F162" s="6"/>
      <c r="G162" s="6">
        <f>IF(AND(E162="",F162=""),"",F162-E162)</f>
      </c>
      <c r="H162" s="4"/>
      <c r="I162" s="5"/>
    </row>
    <row r="163" ht="21" customHeight="1">
      <c r="A163" s="3">
        <v>46198</v>
      </c>
      <c r="B163" t="inlineStr" s="4">
        <is>
          <t>星期四</t>
        </is>
      </c>
      <c r="C163" t="inlineStr" s="4">
        <is>
          <t>餐饮</t>
        </is>
      </c>
      <c r="D163" t="inlineStr" s="5">
        <is>
          <t>早餐</t>
        </is>
      </c>
      <c r="E163" s="6"/>
      <c r="F163" s="6"/>
      <c r="G163" s="6">
        <f>IF(AND(E163="",F163=""),"",F163-E163)</f>
      </c>
      <c r="H163" s="4"/>
      <c r="I163" s="5"/>
    </row>
    <row r="164" ht="21" customHeight="1">
      <c r="A164" s="3">
        <v>46198</v>
      </c>
      <c r="B164" t="inlineStr" s="4">
        <is>
          <t>星期四</t>
        </is>
      </c>
      <c r="C164" t="inlineStr" s="4">
        <is>
          <t>餐饮</t>
        </is>
      </c>
      <c r="D164" t="inlineStr" s="5">
        <is>
          <t>中餐</t>
        </is>
      </c>
      <c r="E164" s="6"/>
      <c r="F164" s="6"/>
      <c r="G164" s="6">
        <f>IF(AND(E164="",F164=""),"",F164-E164)</f>
      </c>
      <c r="H164" s="4"/>
      <c r="I164" s="5"/>
    </row>
    <row r="165" ht="21" customHeight="1">
      <c r="A165" s="3">
        <v>46198</v>
      </c>
      <c r="B165" t="inlineStr" s="4">
        <is>
          <t>星期四</t>
        </is>
      </c>
      <c r="C165" t="inlineStr" s="4">
        <is>
          <t>餐饮</t>
        </is>
      </c>
      <c r="D165" t="inlineStr" s="5">
        <is>
          <t>晚餐</t>
        </is>
      </c>
      <c r="E165" s="6"/>
      <c r="F165" s="6"/>
      <c r="G165" s="6">
        <f>IF(AND(E165="",F165=""),"",F165-E165)</f>
      </c>
      <c r="H165" s="4"/>
      <c r="I165" s="5"/>
    </row>
    <row r="166" ht="21" customHeight="1">
      <c r="A166" s="3">
        <v>46198</v>
      </c>
      <c r="B166" t="inlineStr" s="4">
        <is>
          <t>星期四</t>
        </is>
      </c>
      <c r="C166" t="inlineStr" s="4">
        <is>
          <t>奶茶/咖啡</t>
        </is>
      </c>
      <c r="D166" t="inlineStr" s="5">
        <is>
          <t>奶茶/咖啡</t>
        </is>
      </c>
      <c r="E166" s="6"/>
      <c r="F166" s="6"/>
      <c r="G166" s="6">
        <f>IF(AND(E166="",F166=""),"",F166-E166)</f>
      </c>
      <c r="H166" s="4"/>
      <c r="I166" s="5"/>
    </row>
    <row r="167" ht="21" customHeight="1">
      <c r="A167" s="3">
        <v>46198</v>
      </c>
      <c r="B167" t="inlineStr" s="4">
        <is>
          <t>星期四</t>
        </is>
      </c>
      <c r="C167" t="inlineStr" s="4">
        <is>
          <t>其他</t>
        </is>
      </c>
      <c r="D167" t="inlineStr" s="5">
        <is>
          <t>其他</t>
        </is>
      </c>
      <c r="E167" s="6"/>
      <c r="F167" s="6"/>
      <c r="G167" s="6">
        <f>IF(AND(E167="",F167=""),"",F167-E167)</f>
      </c>
      <c r="H167" s="4"/>
      <c r="I167" s="5"/>
    </row>
    <row r="168" ht="21" customHeight="1">
      <c r="A168" s="3">
        <v>46198</v>
      </c>
      <c r="B168" t="inlineStr" s="4">
        <is>
          <t>星期四</t>
        </is>
      </c>
      <c r="C168" t="inlineStr" s="4">
        <is>
          <t>其他</t>
        </is>
      </c>
      <c r="D168" t="inlineStr" s="5">
        <is>
          <t>其他</t>
        </is>
      </c>
      <c r="E168" s="6"/>
      <c r="F168" s="6"/>
      <c r="G168" s="6">
        <f>IF(AND(E168="",F168=""),"",F168-E168)</f>
      </c>
      <c r="H168" s="4"/>
      <c r="I168" s="5"/>
    </row>
    <row r="169" ht="21" customHeight="1">
      <c r="A169" s="3">
        <v>46199</v>
      </c>
      <c r="B169" t="inlineStr" s="4">
        <is>
          <t>星期五</t>
        </is>
      </c>
      <c r="C169" t="inlineStr" s="4">
        <is>
          <t>餐饮</t>
        </is>
      </c>
      <c r="D169" t="inlineStr" s="5">
        <is>
          <t>早餐</t>
        </is>
      </c>
      <c r="E169" s="6"/>
      <c r="F169" s="6"/>
      <c r="G169" s="6">
        <f>IF(AND(E169="",F169=""),"",F169-E169)</f>
      </c>
      <c r="H169" s="4"/>
      <c r="I169" s="5"/>
    </row>
    <row r="170" ht="21" customHeight="1">
      <c r="A170" s="3">
        <v>46199</v>
      </c>
      <c r="B170" t="inlineStr" s="4">
        <is>
          <t>星期五</t>
        </is>
      </c>
      <c r="C170" t="inlineStr" s="4">
        <is>
          <t>餐饮</t>
        </is>
      </c>
      <c r="D170" t="inlineStr" s="5">
        <is>
          <t>中餐</t>
        </is>
      </c>
      <c r="E170" s="6"/>
      <c r="F170" s="6"/>
      <c r="G170" s="6">
        <f>IF(AND(E170="",F170=""),"",F170-E170)</f>
      </c>
      <c r="H170" s="4"/>
      <c r="I170" s="5"/>
    </row>
    <row r="171" ht="21" customHeight="1">
      <c r="A171" s="3">
        <v>46199</v>
      </c>
      <c r="B171" t="inlineStr" s="4">
        <is>
          <t>星期五</t>
        </is>
      </c>
      <c r="C171" t="inlineStr" s="4">
        <is>
          <t>餐饮</t>
        </is>
      </c>
      <c r="D171" t="inlineStr" s="5">
        <is>
          <t>晚餐</t>
        </is>
      </c>
      <c r="E171" s="6"/>
      <c r="F171" s="6"/>
      <c r="G171" s="6">
        <f>IF(AND(E171="",F171=""),"",F171-E171)</f>
      </c>
      <c r="H171" s="4"/>
      <c r="I171" s="5"/>
    </row>
    <row r="172" ht="21" customHeight="1">
      <c r="A172" s="3">
        <v>46199</v>
      </c>
      <c r="B172" t="inlineStr" s="4">
        <is>
          <t>星期五</t>
        </is>
      </c>
      <c r="C172" t="inlineStr" s="4">
        <is>
          <t>奶茶/咖啡</t>
        </is>
      </c>
      <c r="D172" t="inlineStr" s="5">
        <is>
          <t>奶茶/咖啡</t>
        </is>
      </c>
      <c r="E172" s="6"/>
      <c r="F172" s="6"/>
      <c r="G172" s="6">
        <f>IF(AND(E172="",F172=""),"",F172-E172)</f>
      </c>
      <c r="H172" s="4"/>
      <c r="I172" s="5"/>
    </row>
    <row r="173" ht="21" customHeight="1">
      <c r="A173" s="3">
        <v>46199</v>
      </c>
      <c r="B173" t="inlineStr" s="4">
        <is>
          <t>星期五</t>
        </is>
      </c>
      <c r="C173" t="inlineStr" s="4">
        <is>
          <t>其他</t>
        </is>
      </c>
      <c r="D173" t="inlineStr" s="5">
        <is>
          <t>其他</t>
        </is>
      </c>
      <c r="E173" s="6"/>
      <c r="F173" s="6"/>
      <c r="G173" s="6">
        <f>IF(AND(E173="",F173=""),"",F173-E173)</f>
      </c>
      <c r="H173" s="4"/>
      <c r="I173" s="5"/>
    </row>
    <row r="174" ht="21" customHeight="1">
      <c r="A174" s="3">
        <v>46199</v>
      </c>
      <c r="B174" t="inlineStr" s="4">
        <is>
          <t>星期五</t>
        </is>
      </c>
      <c r="C174" t="inlineStr" s="4">
        <is>
          <t>其他</t>
        </is>
      </c>
      <c r="D174" t="inlineStr" s="5">
        <is>
          <t>其他</t>
        </is>
      </c>
      <c r="E174" s="6"/>
      <c r="F174" s="6"/>
      <c r="G174" s="6">
        <f>IF(AND(E174="",F174=""),"",F174-E174)</f>
      </c>
      <c r="H174" s="4"/>
      <c r="I174" s="5"/>
    </row>
    <row r="175" ht="21" customHeight="1">
      <c r="A175" s="3">
        <v>46200</v>
      </c>
      <c r="B175" t="inlineStr" s="4">
        <is>
          <t>星期六</t>
        </is>
      </c>
      <c r="C175" t="inlineStr" s="4">
        <is>
          <t>餐饮</t>
        </is>
      </c>
      <c r="D175" t="inlineStr" s="5">
        <is>
          <t>早餐</t>
        </is>
      </c>
      <c r="E175" s="6"/>
      <c r="F175" s="6"/>
      <c r="G175" s="6">
        <f>IF(AND(E175="",F175=""),"",F175-E175)</f>
      </c>
      <c r="H175" s="4"/>
      <c r="I175" s="5"/>
    </row>
    <row r="176" ht="21" customHeight="1">
      <c r="A176" s="3">
        <v>46200</v>
      </c>
      <c r="B176" t="inlineStr" s="4">
        <is>
          <t>星期六</t>
        </is>
      </c>
      <c r="C176" t="inlineStr" s="4">
        <is>
          <t>餐饮</t>
        </is>
      </c>
      <c r="D176" t="inlineStr" s="5">
        <is>
          <t>中餐</t>
        </is>
      </c>
      <c r="E176" s="6"/>
      <c r="F176" s="6"/>
      <c r="G176" s="6">
        <f>IF(AND(E176="",F176=""),"",F176-E176)</f>
      </c>
      <c r="H176" s="4"/>
      <c r="I176" s="5"/>
    </row>
    <row r="177" ht="21" customHeight="1">
      <c r="A177" s="3">
        <v>46200</v>
      </c>
      <c r="B177" t="inlineStr" s="4">
        <is>
          <t>星期六</t>
        </is>
      </c>
      <c r="C177" t="inlineStr" s="4">
        <is>
          <t>餐饮</t>
        </is>
      </c>
      <c r="D177" t="inlineStr" s="5">
        <is>
          <t>晚餐</t>
        </is>
      </c>
      <c r="E177" s="6"/>
      <c r="F177" s="6"/>
      <c r="G177" s="6">
        <f>IF(AND(E177="",F177=""),"",F177-E177)</f>
      </c>
      <c r="H177" s="4"/>
      <c r="I177" s="5"/>
    </row>
    <row r="178" ht="21" customHeight="1">
      <c r="A178" s="3">
        <v>46200</v>
      </c>
      <c r="B178" t="inlineStr" s="4">
        <is>
          <t>星期六</t>
        </is>
      </c>
      <c r="C178" t="inlineStr" s="4">
        <is>
          <t>奶茶/咖啡</t>
        </is>
      </c>
      <c r="D178" t="inlineStr" s="5">
        <is>
          <t>奶茶/咖啡</t>
        </is>
      </c>
      <c r="E178" s="6"/>
      <c r="F178" s="6"/>
      <c r="G178" s="6">
        <f>IF(AND(E178="",F178=""),"",F178-E178)</f>
      </c>
      <c r="H178" s="4"/>
      <c r="I178" s="5"/>
    </row>
    <row r="179" ht="21" customHeight="1">
      <c r="A179" s="3">
        <v>46200</v>
      </c>
      <c r="B179" t="inlineStr" s="4">
        <is>
          <t>星期六</t>
        </is>
      </c>
      <c r="C179" t="inlineStr" s="4">
        <is>
          <t>其他</t>
        </is>
      </c>
      <c r="D179" t="inlineStr" s="5">
        <is>
          <t>其他</t>
        </is>
      </c>
      <c r="E179" s="6"/>
      <c r="F179" s="6"/>
      <c r="G179" s="6">
        <f>IF(AND(E179="",F179=""),"",F179-E179)</f>
      </c>
      <c r="H179" s="4"/>
      <c r="I179" s="5"/>
    </row>
    <row r="180" ht="21" customHeight="1">
      <c r="A180" s="3">
        <v>46200</v>
      </c>
      <c r="B180" t="inlineStr" s="4">
        <is>
          <t>星期六</t>
        </is>
      </c>
      <c r="C180" t="inlineStr" s="4">
        <is>
          <t>其他</t>
        </is>
      </c>
      <c r="D180" t="inlineStr" s="5">
        <is>
          <t>其他</t>
        </is>
      </c>
      <c r="E180" s="6"/>
      <c r="F180" s="6"/>
      <c r="G180" s="6">
        <f>IF(AND(E180="",F180=""),"",F180-E180)</f>
      </c>
      <c r="H180" s="4"/>
      <c r="I180" s="5"/>
    </row>
    <row r="181" ht="21" customHeight="1">
      <c r="A181" s="3">
        <v>46201</v>
      </c>
      <c r="B181" t="inlineStr" s="4">
        <is>
          <t>星期日</t>
        </is>
      </c>
      <c r="C181" t="inlineStr" s="4">
        <is>
          <t>餐饮</t>
        </is>
      </c>
      <c r="D181" t="inlineStr" s="5">
        <is>
          <t>早餐</t>
        </is>
      </c>
      <c r="E181" s="6"/>
      <c r="F181" s="6"/>
      <c r="G181" s="6">
        <f>IF(AND(E181="",F181=""),"",F181-E181)</f>
      </c>
      <c r="H181" s="4"/>
      <c r="I181" s="5"/>
    </row>
    <row r="182" ht="21" customHeight="1">
      <c r="A182" s="3">
        <v>46201</v>
      </c>
      <c r="B182" t="inlineStr" s="4">
        <is>
          <t>星期日</t>
        </is>
      </c>
      <c r="C182" t="inlineStr" s="4">
        <is>
          <t>餐饮</t>
        </is>
      </c>
      <c r="D182" t="inlineStr" s="5">
        <is>
          <t>中餐</t>
        </is>
      </c>
      <c r="E182" s="6"/>
      <c r="F182" s="6"/>
      <c r="G182" s="6">
        <f>IF(AND(E182="",F182=""),"",F182-E182)</f>
      </c>
      <c r="H182" s="4"/>
      <c r="I182" s="5"/>
    </row>
    <row r="183" ht="21" customHeight="1">
      <c r="A183" s="3">
        <v>46201</v>
      </c>
      <c r="B183" t="inlineStr" s="4">
        <is>
          <t>星期日</t>
        </is>
      </c>
      <c r="C183" t="inlineStr" s="4">
        <is>
          <t>餐饮</t>
        </is>
      </c>
      <c r="D183" t="inlineStr" s="5">
        <is>
          <t>晚餐</t>
        </is>
      </c>
      <c r="E183" s="6"/>
      <c r="F183" s="6"/>
      <c r="G183" s="6">
        <f>IF(AND(E183="",F183=""),"",F183-E183)</f>
      </c>
      <c r="H183" s="4"/>
      <c r="I183" s="5"/>
    </row>
    <row r="184" ht="21" customHeight="1">
      <c r="A184" s="3">
        <v>46201</v>
      </c>
      <c r="B184" t="inlineStr" s="4">
        <is>
          <t>星期日</t>
        </is>
      </c>
      <c r="C184" t="inlineStr" s="4">
        <is>
          <t>奶茶/咖啡</t>
        </is>
      </c>
      <c r="D184" t="inlineStr" s="5">
        <is>
          <t>奶茶/咖啡</t>
        </is>
      </c>
      <c r="E184" s="6"/>
      <c r="F184" s="6"/>
      <c r="G184" s="6">
        <f>IF(AND(E184="",F184=""),"",F184-E184)</f>
      </c>
      <c r="H184" s="4"/>
      <c r="I184" s="5"/>
    </row>
    <row r="185" ht="21" customHeight="1">
      <c r="A185" s="3">
        <v>46201</v>
      </c>
      <c r="B185" t="inlineStr" s="4">
        <is>
          <t>星期日</t>
        </is>
      </c>
      <c r="C185" t="inlineStr" s="4">
        <is>
          <t>其他</t>
        </is>
      </c>
      <c r="D185" t="inlineStr" s="5">
        <is>
          <t>其他</t>
        </is>
      </c>
      <c r="E185" s="6"/>
      <c r="F185" s="6"/>
      <c r="G185" s="6">
        <f>IF(AND(E185="",F185=""),"",F185-E185)</f>
      </c>
      <c r="H185" s="4"/>
      <c r="I185" s="5"/>
    </row>
    <row r="186" ht="21" customHeight="1">
      <c r="A186" s="3">
        <v>46201</v>
      </c>
      <c r="B186" t="inlineStr" s="4">
        <is>
          <t>星期日</t>
        </is>
      </c>
      <c r="C186" t="inlineStr" s="4">
        <is>
          <t>其他</t>
        </is>
      </c>
      <c r="D186" t="inlineStr" s="5">
        <is>
          <t>其他</t>
        </is>
      </c>
      <c r="E186" s="6"/>
      <c r="F186" s="6"/>
      <c r="G186" s="6">
        <f>IF(AND(E186="",F186=""),"",F186-E186)</f>
      </c>
      <c r="H186" s="4"/>
      <c r="I186" s="5"/>
    </row>
    <row r="187" ht="23" customHeight="1">
      <c r="A187" t="inlineStr" s="7">
        <is>
          <t>本周小计</t>
        </is>
      </c>
      <c r="B187" s="7"/>
      <c r="C187" s="7"/>
      <c r="D187" s="7"/>
      <c r="E187" s="8">
        <f>SUM(E145:E186)</f>
      </c>
      <c r="F187" s="8">
        <f>SUM(F145:F186)</f>
      </c>
      <c r="G187" s="8">
        <f>SUM(G145:G186)</f>
      </c>
      <c r="H187" s="7"/>
      <c r="I187" s="7"/>
    </row>
    <row r="188" ht="18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8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26" customHeight="1">
      <c r="A190" t="inlineStr" s="2">
        <is>
          <t>2026年6月-7月｜第五周（6月29日 - 7月5日）</t>
        </is>
      </c>
      <c r="B190" s="2"/>
      <c r="C190" s="2"/>
      <c r="D190" s="2"/>
      <c r="E190" s="2"/>
      <c r="F190" s="2"/>
      <c r="G190" s="2"/>
      <c r="H190" s="2"/>
      <c r="I190" s="2"/>
    </row>
    <row r="191" ht="22" customHeight="1">
      <c r="A191" t="inlineStr" s="1">
        <is>
          <t>日期</t>
        </is>
      </c>
      <c r="B191" t="inlineStr" s="1">
        <is>
          <t>星期</t>
        </is>
      </c>
      <c r="C191" t="inlineStr" s="1">
        <is>
          <t>分类</t>
        </is>
      </c>
      <c r="D191" t="inlineStr" s="1">
        <is>
          <t>事项</t>
        </is>
      </c>
      <c r="E191" t="inlineStr" s="1">
        <is>
          <t>支出金额</t>
        </is>
      </c>
      <c r="F191" t="inlineStr" s="1">
        <is>
          <t>收入金额</t>
        </is>
      </c>
      <c r="G191" t="inlineStr" s="1">
        <is>
          <t>当笔净额</t>
        </is>
      </c>
      <c r="H191" t="inlineStr" s="1">
        <is>
          <t>支付方式</t>
        </is>
      </c>
      <c r="I191" t="inlineStr" s="1">
        <is>
          <t>备注</t>
        </is>
      </c>
    </row>
    <row r="192" ht="21" customHeight="1">
      <c r="A192" s="3">
        <v>46202</v>
      </c>
      <c r="B192" t="inlineStr" s="4">
        <is>
          <t>星期一</t>
        </is>
      </c>
      <c r="C192" t="inlineStr" s="4">
        <is>
          <t>餐饮</t>
        </is>
      </c>
      <c r="D192" t="inlineStr" s="5">
        <is>
          <t>早餐</t>
        </is>
      </c>
      <c r="E192" s="6"/>
      <c r="F192" s="6"/>
      <c r="G192" s="6">
        <f>IF(AND(E192="",F192=""),"",F192-E192)</f>
      </c>
      <c r="H192" s="4"/>
      <c r="I192" s="5"/>
    </row>
    <row r="193" ht="21" customHeight="1">
      <c r="A193" s="3">
        <v>46202</v>
      </c>
      <c r="B193" t="inlineStr" s="4">
        <is>
          <t>星期一</t>
        </is>
      </c>
      <c r="C193" t="inlineStr" s="4">
        <is>
          <t>餐饮</t>
        </is>
      </c>
      <c r="D193" t="inlineStr" s="5">
        <is>
          <t>中餐</t>
        </is>
      </c>
      <c r="E193" s="6"/>
      <c r="F193" s="6"/>
      <c r="G193" s="6">
        <f>IF(AND(E193="",F193=""),"",F193-E193)</f>
      </c>
      <c r="H193" s="4"/>
      <c r="I193" s="5"/>
    </row>
    <row r="194" ht="21" customHeight="1">
      <c r="A194" s="3">
        <v>46202</v>
      </c>
      <c r="B194" t="inlineStr" s="4">
        <is>
          <t>星期一</t>
        </is>
      </c>
      <c r="C194" t="inlineStr" s="4">
        <is>
          <t>餐饮</t>
        </is>
      </c>
      <c r="D194" t="inlineStr" s="5">
        <is>
          <t>晚餐</t>
        </is>
      </c>
      <c r="E194" s="6"/>
      <c r="F194" s="6"/>
      <c r="G194" s="6">
        <f>IF(AND(E194="",F194=""),"",F194-E194)</f>
      </c>
      <c r="H194" s="4"/>
      <c r="I194" s="5"/>
    </row>
    <row r="195" ht="21" customHeight="1">
      <c r="A195" s="3">
        <v>46202</v>
      </c>
      <c r="B195" t="inlineStr" s="4">
        <is>
          <t>星期一</t>
        </is>
      </c>
      <c r="C195" t="inlineStr" s="4">
        <is>
          <t>奶茶/咖啡</t>
        </is>
      </c>
      <c r="D195" t="inlineStr" s="5">
        <is>
          <t>奶茶/咖啡</t>
        </is>
      </c>
      <c r="E195" s="6"/>
      <c r="F195" s="6"/>
      <c r="G195" s="6">
        <f>IF(AND(E195="",F195=""),"",F195-E195)</f>
      </c>
      <c r="H195" s="4"/>
      <c r="I195" s="5"/>
    </row>
    <row r="196" ht="21" customHeight="1">
      <c r="A196" s="3">
        <v>46202</v>
      </c>
      <c r="B196" t="inlineStr" s="4">
        <is>
          <t>星期一</t>
        </is>
      </c>
      <c r="C196" t="inlineStr" s="4">
        <is>
          <t>其他</t>
        </is>
      </c>
      <c r="D196" t="inlineStr" s="5">
        <is>
          <t>其他</t>
        </is>
      </c>
      <c r="E196" s="6"/>
      <c r="F196" s="6"/>
      <c r="G196" s="6">
        <f>IF(AND(E196="",F196=""),"",F196-E196)</f>
      </c>
      <c r="H196" s="4"/>
      <c r="I196" s="5"/>
    </row>
    <row r="197" ht="21" customHeight="1">
      <c r="A197" s="3">
        <v>46202</v>
      </c>
      <c r="B197" t="inlineStr" s="4">
        <is>
          <t>星期一</t>
        </is>
      </c>
      <c r="C197" t="inlineStr" s="4">
        <is>
          <t>其他</t>
        </is>
      </c>
      <c r="D197" t="inlineStr" s="5">
        <is>
          <t>其他</t>
        </is>
      </c>
      <c r="E197" s="6"/>
      <c r="F197" s="6"/>
      <c r="G197" s="6">
        <f>IF(AND(E197="",F197=""),"",F197-E197)</f>
      </c>
      <c r="H197" s="4"/>
      <c r="I197" s="5"/>
    </row>
    <row r="198" ht="21" customHeight="1">
      <c r="A198" s="3">
        <v>46203</v>
      </c>
      <c r="B198" t="inlineStr" s="4">
        <is>
          <t>星期二</t>
        </is>
      </c>
      <c r="C198" t="inlineStr" s="4">
        <is>
          <t>餐饮</t>
        </is>
      </c>
      <c r="D198" t="inlineStr" s="5">
        <is>
          <t>早餐</t>
        </is>
      </c>
      <c r="E198" s="6"/>
      <c r="F198" s="6"/>
      <c r="G198" s="6">
        <f>IF(AND(E198="",F198=""),"",F198-E198)</f>
      </c>
      <c r="H198" s="4"/>
      <c r="I198" s="5"/>
    </row>
    <row r="199" ht="21" customHeight="1">
      <c r="A199" s="3">
        <v>46203</v>
      </c>
      <c r="B199" t="inlineStr" s="4">
        <is>
          <t>星期二</t>
        </is>
      </c>
      <c r="C199" t="inlineStr" s="4">
        <is>
          <t>餐饮</t>
        </is>
      </c>
      <c r="D199" t="inlineStr" s="5">
        <is>
          <t>中餐</t>
        </is>
      </c>
      <c r="E199" s="6"/>
      <c r="F199" s="6"/>
      <c r="G199" s="6">
        <f>IF(AND(E199="",F199=""),"",F199-E199)</f>
      </c>
      <c r="H199" s="4"/>
      <c r="I199" s="5"/>
    </row>
    <row r="200" ht="21" customHeight="1">
      <c r="A200" s="3">
        <v>46203</v>
      </c>
      <c r="B200" t="inlineStr" s="4">
        <is>
          <t>星期二</t>
        </is>
      </c>
      <c r="C200" t="inlineStr" s="4">
        <is>
          <t>餐饮</t>
        </is>
      </c>
      <c r="D200" t="inlineStr" s="5">
        <is>
          <t>晚餐</t>
        </is>
      </c>
      <c r="E200" s="6"/>
      <c r="F200" s="6"/>
      <c r="G200" s="6">
        <f>IF(AND(E200="",F200=""),"",F200-E200)</f>
      </c>
      <c r="H200" s="4"/>
      <c r="I200" s="5"/>
    </row>
    <row r="201" ht="21" customHeight="1">
      <c r="A201" s="3">
        <v>46203</v>
      </c>
      <c r="B201" t="inlineStr" s="4">
        <is>
          <t>星期二</t>
        </is>
      </c>
      <c r="C201" t="inlineStr" s="4">
        <is>
          <t>奶茶/咖啡</t>
        </is>
      </c>
      <c r="D201" t="inlineStr" s="5">
        <is>
          <t>奶茶/咖啡</t>
        </is>
      </c>
      <c r="E201" s="6"/>
      <c r="F201" s="6"/>
      <c r="G201" s="6">
        <f>IF(AND(E201="",F201=""),"",F201-E201)</f>
      </c>
      <c r="H201" s="4"/>
      <c r="I201" s="5"/>
    </row>
    <row r="202" ht="21" customHeight="1">
      <c r="A202" s="3">
        <v>46203</v>
      </c>
      <c r="B202" t="inlineStr" s="4">
        <is>
          <t>星期二</t>
        </is>
      </c>
      <c r="C202" t="inlineStr" s="4">
        <is>
          <t>其他</t>
        </is>
      </c>
      <c r="D202" t="inlineStr" s="5">
        <is>
          <t>其他</t>
        </is>
      </c>
      <c r="E202" s="6"/>
      <c r="F202" s="6"/>
      <c r="G202" s="6">
        <f>IF(AND(E202="",F202=""),"",F202-E202)</f>
      </c>
      <c r="H202" s="4"/>
      <c r="I202" s="5"/>
    </row>
    <row r="203" ht="21" customHeight="1">
      <c r="A203" s="3">
        <v>46203</v>
      </c>
      <c r="B203" t="inlineStr" s="4">
        <is>
          <t>星期二</t>
        </is>
      </c>
      <c r="C203" t="inlineStr" s="4">
        <is>
          <t>其他</t>
        </is>
      </c>
      <c r="D203" t="inlineStr" s="5">
        <is>
          <t>其他</t>
        </is>
      </c>
      <c r="E203" s="6"/>
      <c r="F203" s="6"/>
      <c r="G203" s="6">
        <f>IF(AND(E203="",F203=""),"",F203-E203)</f>
      </c>
      <c r="H203" s="4"/>
      <c r="I203" s="5"/>
    </row>
    <row r="204" ht="21" customHeight="1">
      <c r="A204" s="3">
        <v>46204</v>
      </c>
      <c r="B204" t="inlineStr" s="4">
        <is>
          <t>星期三</t>
        </is>
      </c>
      <c r="C204" t="inlineStr" s="4">
        <is>
          <t>餐饮</t>
        </is>
      </c>
      <c r="D204" t="inlineStr" s="5">
        <is>
          <t>早餐</t>
        </is>
      </c>
      <c r="E204" s="6"/>
      <c r="F204" s="6"/>
      <c r="G204" s="6">
        <f>IF(AND(E204="",F204=""),"",F204-E204)</f>
      </c>
      <c r="H204" s="4"/>
      <c r="I204" s="5"/>
    </row>
    <row r="205" ht="21" customHeight="1">
      <c r="A205" s="3">
        <v>46204</v>
      </c>
      <c r="B205" t="inlineStr" s="4">
        <is>
          <t>星期三</t>
        </is>
      </c>
      <c r="C205" t="inlineStr" s="4">
        <is>
          <t>餐饮</t>
        </is>
      </c>
      <c r="D205" t="inlineStr" s="5">
        <is>
          <t>中餐</t>
        </is>
      </c>
      <c r="E205" s="6"/>
      <c r="F205" s="6"/>
      <c r="G205" s="6">
        <f>IF(AND(E205="",F205=""),"",F205-E205)</f>
      </c>
      <c r="H205" s="4"/>
      <c r="I205" s="5"/>
    </row>
    <row r="206" ht="21" customHeight="1">
      <c r="A206" s="3">
        <v>46204</v>
      </c>
      <c r="B206" t="inlineStr" s="4">
        <is>
          <t>星期三</t>
        </is>
      </c>
      <c r="C206" t="inlineStr" s="4">
        <is>
          <t>餐饮</t>
        </is>
      </c>
      <c r="D206" t="inlineStr" s="5">
        <is>
          <t>晚餐</t>
        </is>
      </c>
      <c r="E206" s="6"/>
      <c r="F206" s="6"/>
      <c r="G206" s="6">
        <f>IF(AND(E206="",F206=""),"",F206-E206)</f>
      </c>
      <c r="H206" s="4"/>
      <c r="I206" s="5"/>
    </row>
    <row r="207" ht="21" customHeight="1">
      <c r="A207" s="3">
        <v>46204</v>
      </c>
      <c r="B207" t="inlineStr" s="4">
        <is>
          <t>星期三</t>
        </is>
      </c>
      <c r="C207" t="inlineStr" s="4">
        <is>
          <t>奶茶/咖啡</t>
        </is>
      </c>
      <c r="D207" t="inlineStr" s="5">
        <is>
          <t>奶茶/咖啡</t>
        </is>
      </c>
      <c r="E207" s="6"/>
      <c r="F207" s="6"/>
      <c r="G207" s="6">
        <f>IF(AND(E207="",F207=""),"",F207-E207)</f>
      </c>
      <c r="H207" s="4"/>
      <c r="I207" s="5"/>
    </row>
    <row r="208" ht="21" customHeight="1">
      <c r="A208" s="3">
        <v>46204</v>
      </c>
      <c r="B208" t="inlineStr" s="4">
        <is>
          <t>星期三</t>
        </is>
      </c>
      <c r="C208" t="inlineStr" s="4">
        <is>
          <t>其他</t>
        </is>
      </c>
      <c r="D208" t="inlineStr" s="5">
        <is>
          <t>其他</t>
        </is>
      </c>
      <c r="E208" s="6"/>
      <c r="F208" s="6"/>
      <c r="G208" s="6">
        <f>IF(AND(E208="",F208=""),"",F208-E208)</f>
      </c>
      <c r="H208" s="4"/>
      <c r="I208" s="5"/>
    </row>
    <row r="209" ht="21" customHeight="1">
      <c r="A209" s="3">
        <v>46204</v>
      </c>
      <c r="B209" t="inlineStr" s="4">
        <is>
          <t>星期三</t>
        </is>
      </c>
      <c r="C209" t="inlineStr" s="4">
        <is>
          <t>其他</t>
        </is>
      </c>
      <c r="D209" t="inlineStr" s="5">
        <is>
          <t>其他</t>
        </is>
      </c>
      <c r="E209" s="6"/>
      <c r="F209" s="6"/>
      <c r="G209" s="6">
        <f>IF(AND(E209="",F209=""),"",F209-E209)</f>
      </c>
      <c r="H209" s="4"/>
      <c r="I209" s="5"/>
    </row>
    <row r="210" ht="21" customHeight="1">
      <c r="A210" s="3">
        <v>46205</v>
      </c>
      <c r="B210" t="inlineStr" s="4">
        <is>
          <t>星期四</t>
        </is>
      </c>
      <c r="C210" t="inlineStr" s="4">
        <is>
          <t>餐饮</t>
        </is>
      </c>
      <c r="D210" t="inlineStr" s="5">
        <is>
          <t>早餐</t>
        </is>
      </c>
      <c r="E210" s="6"/>
      <c r="F210" s="6"/>
      <c r="G210" s="6">
        <f>IF(AND(E210="",F210=""),"",F210-E210)</f>
      </c>
      <c r="H210" s="4"/>
      <c r="I210" s="5"/>
    </row>
    <row r="211" ht="21" customHeight="1">
      <c r="A211" s="3">
        <v>46205</v>
      </c>
      <c r="B211" t="inlineStr" s="4">
        <is>
          <t>星期四</t>
        </is>
      </c>
      <c r="C211" t="inlineStr" s="4">
        <is>
          <t>餐饮</t>
        </is>
      </c>
      <c r="D211" t="inlineStr" s="5">
        <is>
          <t>中餐</t>
        </is>
      </c>
      <c r="E211" s="6"/>
      <c r="F211" s="6"/>
      <c r="G211" s="6">
        <f>IF(AND(E211="",F211=""),"",F211-E211)</f>
      </c>
      <c r="H211" s="4"/>
      <c r="I211" s="5"/>
    </row>
    <row r="212" ht="21" customHeight="1">
      <c r="A212" s="3">
        <v>46205</v>
      </c>
      <c r="B212" t="inlineStr" s="4">
        <is>
          <t>星期四</t>
        </is>
      </c>
      <c r="C212" t="inlineStr" s="4">
        <is>
          <t>餐饮</t>
        </is>
      </c>
      <c r="D212" t="inlineStr" s="5">
        <is>
          <t>晚餐</t>
        </is>
      </c>
      <c r="E212" s="6"/>
      <c r="F212" s="6"/>
      <c r="G212" s="6">
        <f>IF(AND(E212="",F212=""),"",F212-E212)</f>
      </c>
      <c r="H212" s="4"/>
      <c r="I212" s="5"/>
    </row>
    <row r="213" ht="21" customHeight="1">
      <c r="A213" s="3">
        <v>46205</v>
      </c>
      <c r="B213" t="inlineStr" s="4">
        <is>
          <t>星期四</t>
        </is>
      </c>
      <c r="C213" t="inlineStr" s="4">
        <is>
          <t>奶茶/咖啡</t>
        </is>
      </c>
      <c r="D213" t="inlineStr" s="5">
        <is>
          <t>奶茶/咖啡</t>
        </is>
      </c>
      <c r="E213" s="6"/>
      <c r="F213" s="6"/>
      <c r="G213" s="6">
        <f>IF(AND(E213="",F213=""),"",F213-E213)</f>
      </c>
      <c r="H213" s="4"/>
      <c r="I213" s="5"/>
    </row>
    <row r="214" ht="21" customHeight="1">
      <c r="A214" s="3">
        <v>46205</v>
      </c>
      <c r="B214" t="inlineStr" s="4">
        <is>
          <t>星期四</t>
        </is>
      </c>
      <c r="C214" t="inlineStr" s="4">
        <is>
          <t>其他</t>
        </is>
      </c>
      <c r="D214" t="inlineStr" s="5">
        <is>
          <t>其他</t>
        </is>
      </c>
      <c r="E214" s="6"/>
      <c r="F214" s="6"/>
      <c r="G214" s="6">
        <f>IF(AND(E214="",F214=""),"",F214-E214)</f>
      </c>
      <c r="H214" s="4"/>
      <c r="I214" s="5"/>
    </row>
    <row r="215" ht="21" customHeight="1">
      <c r="A215" s="3">
        <v>46205</v>
      </c>
      <c r="B215" t="inlineStr" s="4">
        <is>
          <t>星期四</t>
        </is>
      </c>
      <c r="C215" t="inlineStr" s="4">
        <is>
          <t>其他</t>
        </is>
      </c>
      <c r="D215" t="inlineStr" s="5">
        <is>
          <t>其他</t>
        </is>
      </c>
      <c r="E215" s="6"/>
      <c r="F215" s="6"/>
      <c r="G215" s="6">
        <f>IF(AND(E215="",F215=""),"",F215-E215)</f>
      </c>
      <c r="H215" s="4"/>
      <c r="I215" s="5"/>
    </row>
    <row r="216" ht="21" customHeight="1">
      <c r="A216" s="3">
        <v>46206</v>
      </c>
      <c r="B216" t="inlineStr" s="4">
        <is>
          <t>星期五</t>
        </is>
      </c>
      <c r="C216" t="inlineStr" s="4">
        <is>
          <t>餐饮</t>
        </is>
      </c>
      <c r="D216" t="inlineStr" s="5">
        <is>
          <t>早餐</t>
        </is>
      </c>
      <c r="E216" s="6"/>
      <c r="F216" s="6"/>
      <c r="G216" s="6">
        <f>IF(AND(E216="",F216=""),"",F216-E216)</f>
      </c>
      <c r="H216" s="4"/>
      <c r="I216" s="5"/>
    </row>
    <row r="217" ht="21" customHeight="1">
      <c r="A217" s="3">
        <v>46206</v>
      </c>
      <c r="B217" t="inlineStr" s="4">
        <is>
          <t>星期五</t>
        </is>
      </c>
      <c r="C217" t="inlineStr" s="4">
        <is>
          <t>餐饮</t>
        </is>
      </c>
      <c r="D217" t="inlineStr" s="5">
        <is>
          <t>中餐</t>
        </is>
      </c>
      <c r="E217" s="6"/>
      <c r="F217" s="6"/>
      <c r="G217" s="6">
        <f>IF(AND(E217="",F217=""),"",F217-E217)</f>
      </c>
      <c r="H217" s="4"/>
      <c r="I217" s="5"/>
    </row>
    <row r="218" ht="21" customHeight="1">
      <c r="A218" s="3">
        <v>46206</v>
      </c>
      <c r="B218" t="inlineStr" s="4">
        <is>
          <t>星期五</t>
        </is>
      </c>
      <c r="C218" t="inlineStr" s="4">
        <is>
          <t>餐饮</t>
        </is>
      </c>
      <c r="D218" t="inlineStr" s="5">
        <is>
          <t>晚餐</t>
        </is>
      </c>
      <c r="E218" s="6"/>
      <c r="F218" s="6"/>
      <c r="G218" s="6">
        <f>IF(AND(E218="",F218=""),"",F218-E218)</f>
      </c>
      <c r="H218" s="4"/>
      <c r="I218" s="5"/>
    </row>
    <row r="219" ht="21" customHeight="1">
      <c r="A219" s="3">
        <v>46206</v>
      </c>
      <c r="B219" t="inlineStr" s="4">
        <is>
          <t>星期五</t>
        </is>
      </c>
      <c r="C219" t="inlineStr" s="4">
        <is>
          <t>奶茶/咖啡</t>
        </is>
      </c>
      <c r="D219" t="inlineStr" s="5">
        <is>
          <t>奶茶/咖啡</t>
        </is>
      </c>
      <c r="E219" s="6"/>
      <c r="F219" s="6"/>
      <c r="G219" s="6">
        <f>IF(AND(E219="",F219=""),"",F219-E219)</f>
      </c>
      <c r="H219" s="4"/>
      <c r="I219" s="5"/>
    </row>
    <row r="220" ht="21" customHeight="1">
      <c r="A220" s="3">
        <v>46206</v>
      </c>
      <c r="B220" t="inlineStr" s="4">
        <is>
          <t>星期五</t>
        </is>
      </c>
      <c r="C220" t="inlineStr" s="4">
        <is>
          <t>其他</t>
        </is>
      </c>
      <c r="D220" t="inlineStr" s="5">
        <is>
          <t>其他</t>
        </is>
      </c>
      <c r="E220" s="6"/>
      <c r="F220" s="6"/>
      <c r="G220" s="6">
        <f>IF(AND(E220="",F220=""),"",F220-E220)</f>
      </c>
      <c r="H220" s="4"/>
      <c r="I220" s="5"/>
    </row>
    <row r="221" ht="21" customHeight="1">
      <c r="A221" s="3">
        <v>46206</v>
      </c>
      <c r="B221" t="inlineStr" s="4">
        <is>
          <t>星期五</t>
        </is>
      </c>
      <c r="C221" t="inlineStr" s="4">
        <is>
          <t>其他</t>
        </is>
      </c>
      <c r="D221" t="inlineStr" s="5">
        <is>
          <t>其他</t>
        </is>
      </c>
      <c r="E221" s="6"/>
      <c r="F221" s="6"/>
      <c r="G221" s="6">
        <f>IF(AND(E221="",F221=""),"",F221-E221)</f>
      </c>
      <c r="H221" s="4"/>
      <c r="I221" s="5"/>
    </row>
    <row r="222" ht="21" customHeight="1">
      <c r="A222" s="3">
        <v>46207</v>
      </c>
      <c r="B222" t="inlineStr" s="4">
        <is>
          <t>星期六</t>
        </is>
      </c>
      <c r="C222" t="inlineStr" s="4">
        <is>
          <t>餐饮</t>
        </is>
      </c>
      <c r="D222" t="inlineStr" s="5">
        <is>
          <t>早餐</t>
        </is>
      </c>
      <c r="E222" s="6"/>
      <c r="F222" s="6"/>
      <c r="G222" s="6">
        <f>IF(AND(E222="",F222=""),"",F222-E222)</f>
      </c>
      <c r="H222" s="4"/>
      <c r="I222" s="5"/>
    </row>
    <row r="223" ht="21" customHeight="1">
      <c r="A223" s="3">
        <v>46207</v>
      </c>
      <c r="B223" t="inlineStr" s="4">
        <is>
          <t>星期六</t>
        </is>
      </c>
      <c r="C223" t="inlineStr" s="4">
        <is>
          <t>餐饮</t>
        </is>
      </c>
      <c r="D223" t="inlineStr" s="5">
        <is>
          <t>中餐</t>
        </is>
      </c>
      <c r="E223" s="6"/>
      <c r="F223" s="6"/>
      <c r="G223" s="6">
        <f>IF(AND(E223="",F223=""),"",F223-E223)</f>
      </c>
      <c r="H223" s="4"/>
      <c r="I223" s="5"/>
    </row>
    <row r="224" ht="21" customHeight="1">
      <c r="A224" s="3">
        <v>46207</v>
      </c>
      <c r="B224" t="inlineStr" s="4">
        <is>
          <t>星期六</t>
        </is>
      </c>
      <c r="C224" t="inlineStr" s="4">
        <is>
          <t>餐饮</t>
        </is>
      </c>
      <c r="D224" t="inlineStr" s="5">
        <is>
          <t>晚餐</t>
        </is>
      </c>
      <c r="E224" s="6"/>
      <c r="F224" s="6"/>
      <c r="G224" s="6">
        <f>IF(AND(E224="",F224=""),"",F224-E224)</f>
      </c>
      <c r="H224" s="4"/>
      <c r="I224" s="5"/>
    </row>
    <row r="225" ht="21" customHeight="1">
      <c r="A225" s="3">
        <v>46207</v>
      </c>
      <c r="B225" t="inlineStr" s="4">
        <is>
          <t>星期六</t>
        </is>
      </c>
      <c r="C225" t="inlineStr" s="4">
        <is>
          <t>奶茶/咖啡</t>
        </is>
      </c>
      <c r="D225" t="inlineStr" s="5">
        <is>
          <t>奶茶/咖啡</t>
        </is>
      </c>
      <c r="E225" s="6"/>
      <c r="F225" s="6"/>
      <c r="G225" s="6">
        <f>IF(AND(E225="",F225=""),"",F225-E225)</f>
      </c>
      <c r="H225" s="4"/>
      <c r="I225" s="5"/>
    </row>
    <row r="226" ht="21" customHeight="1">
      <c r="A226" s="3">
        <v>46207</v>
      </c>
      <c r="B226" t="inlineStr" s="4">
        <is>
          <t>星期六</t>
        </is>
      </c>
      <c r="C226" t="inlineStr" s="4">
        <is>
          <t>其他</t>
        </is>
      </c>
      <c r="D226" t="inlineStr" s="5">
        <is>
          <t>其他</t>
        </is>
      </c>
      <c r="E226" s="6"/>
      <c r="F226" s="6"/>
      <c r="G226" s="6">
        <f>IF(AND(E226="",F226=""),"",F226-E226)</f>
      </c>
      <c r="H226" s="4"/>
      <c r="I226" s="5"/>
    </row>
    <row r="227" ht="21" customHeight="1">
      <c r="A227" s="3">
        <v>46207</v>
      </c>
      <c r="B227" t="inlineStr" s="4">
        <is>
          <t>星期六</t>
        </is>
      </c>
      <c r="C227" t="inlineStr" s="4">
        <is>
          <t>其他</t>
        </is>
      </c>
      <c r="D227" t="inlineStr" s="5">
        <is>
          <t>其他</t>
        </is>
      </c>
      <c r="E227" s="6"/>
      <c r="F227" s="6"/>
      <c r="G227" s="6">
        <f>IF(AND(E227="",F227=""),"",F227-E227)</f>
      </c>
      <c r="H227" s="4"/>
      <c r="I227" s="5"/>
    </row>
    <row r="228" ht="21" customHeight="1">
      <c r="A228" s="3">
        <v>46208</v>
      </c>
      <c r="B228" t="inlineStr" s="4">
        <is>
          <t>星期日</t>
        </is>
      </c>
      <c r="C228" t="inlineStr" s="4">
        <is>
          <t>餐饮</t>
        </is>
      </c>
      <c r="D228" t="inlineStr" s="5">
        <is>
          <t>早餐</t>
        </is>
      </c>
      <c r="E228" s="6"/>
      <c r="F228" s="6"/>
      <c r="G228" s="6">
        <f>IF(AND(E228="",F228=""),"",F228-E228)</f>
      </c>
      <c r="H228" s="4"/>
      <c r="I228" s="5"/>
    </row>
    <row r="229" ht="21" customHeight="1">
      <c r="A229" s="3">
        <v>46208</v>
      </c>
      <c r="B229" t="inlineStr" s="4">
        <is>
          <t>星期日</t>
        </is>
      </c>
      <c r="C229" t="inlineStr" s="4">
        <is>
          <t>餐饮</t>
        </is>
      </c>
      <c r="D229" t="inlineStr" s="5">
        <is>
          <t>中餐</t>
        </is>
      </c>
      <c r="E229" s="6"/>
      <c r="F229" s="6"/>
      <c r="G229" s="6">
        <f>IF(AND(E229="",F229=""),"",F229-E229)</f>
      </c>
      <c r="H229" s="4"/>
      <c r="I229" s="5"/>
    </row>
    <row r="230" ht="21" customHeight="1">
      <c r="A230" s="3">
        <v>46208</v>
      </c>
      <c r="B230" t="inlineStr" s="4">
        <is>
          <t>星期日</t>
        </is>
      </c>
      <c r="C230" t="inlineStr" s="4">
        <is>
          <t>餐饮</t>
        </is>
      </c>
      <c r="D230" t="inlineStr" s="5">
        <is>
          <t>晚餐</t>
        </is>
      </c>
      <c r="E230" s="6"/>
      <c r="F230" s="6"/>
      <c r="G230" s="6">
        <f>IF(AND(E230="",F230=""),"",F230-E230)</f>
      </c>
      <c r="H230" s="4"/>
      <c r="I230" s="5"/>
    </row>
    <row r="231" ht="21" customHeight="1">
      <c r="A231" s="3">
        <v>46208</v>
      </c>
      <c r="B231" t="inlineStr" s="4">
        <is>
          <t>星期日</t>
        </is>
      </c>
      <c r="C231" t="inlineStr" s="4">
        <is>
          <t>奶茶/咖啡</t>
        </is>
      </c>
      <c r="D231" t="inlineStr" s="5">
        <is>
          <t>奶茶/咖啡</t>
        </is>
      </c>
      <c r="E231" s="6"/>
      <c r="F231" s="6"/>
      <c r="G231" s="6">
        <f>IF(AND(E231="",F231=""),"",F231-E231)</f>
      </c>
      <c r="H231" s="4"/>
      <c r="I231" s="5"/>
    </row>
    <row r="232" ht="21" customHeight="1">
      <c r="A232" s="3">
        <v>46208</v>
      </c>
      <c r="B232" t="inlineStr" s="4">
        <is>
          <t>星期日</t>
        </is>
      </c>
      <c r="C232" t="inlineStr" s="4">
        <is>
          <t>其他</t>
        </is>
      </c>
      <c r="D232" t="inlineStr" s="5">
        <is>
          <t>其他</t>
        </is>
      </c>
      <c r="E232" s="6"/>
      <c r="F232" s="6"/>
      <c r="G232" s="6">
        <f>IF(AND(E232="",F232=""),"",F232-E232)</f>
      </c>
      <c r="H232" s="4"/>
      <c r="I232" s="5"/>
    </row>
    <row r="233" ht="21" customHeight="1">
      <c r="A233" s="3">
        <v>46208</v>
      </c>
      <c r="B233" t="inlineStr" s="4">
        <is>
          <t>星期日</t>
        </is>
      </c>
      <c r="C233" t="inlineStr" s="4">
        <is>
          <t>其他</t>
        </is>
      </c>
      <c r="D233" t="inlineStr" s="5">
        <is>
          <t>其他</t>
        </is>
      </c>
      <c r="E233" s="6"/>
      <c r="F233" s="6"/>
      <c r="G233" s="6">
        <f>IF(AND(E233="",F233=""),"",F233-E233)</f>
      </c>
      <c r="H233" s="4"/>
      <c r="I233" s="5"/>
    </row>
    <row r="234" ht="23" customHeight="1">
      <c r="A234" t="inlineStr" s="7">
        <is>
          <t>本周小计</t>
        </is>
      </c>
      <c r="B234" s="7"/>
      <c r="C234" s="7"/>
      <c r="D234" s="7"/>
      <c r="E234" s="8">
        <f>SUM(E192:E233)</f>
      </c>
      <c r="F234" s="8">
        <f>SUM(F192:F233)</f>
      </c>
      <c r="G234" s="8">
        <f>SUM(G192:G233)</f>
      </c>
      <c r="H234" s="7"/>
      <c r="I234" s="7"/>
    </row>
    <row r="235" ht="18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8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26" customHeight="1">
      <c r="A237" t="inlineStr" s="2">
        <is>
          <t>2026年7月｜第一周（7月6日 - 7月12日）</t>
        </is>
      </c>
      <c r="B237" s="2"/>
      <c r="C237" s="2"/>
      <c r="D237" s="2"/>
      <c r="E237" s="2"/>
      <c r="F237" s="2"/>
      <c r="G237" s="2"/>
      <c r="H237" s="2"/>
      <c r="I237" s="2"/>
    </row>
    <row r="238" ht="22" customHeight="1">
      <c r="A238" t="inlineStr" s="1">
        <is>
          <t>日期</t>
        </is>
      </c>
      <c r="B238" t="inlineStr" s="1">
        <is>
          <t>星期</t>
        </is>
      </c>
      <c r="C238" t="inlineStr" s="1">
        <is>
          <t>分类</t>
        </is>
      </c>
      <c r="D238" t="inlineStr" s="1">
        <is>
          <t>事项</t>
        </is>
      </c>
      <c r="E238" t="inlineStr" s="1">
        <is>
          <t>支出金额</t>
        </is>
      </c>
      <c r="F238" t="inlineStr" s="1">
        <is>
          <t>收入金额</t>
        </is>
      </c>
      <c r="G238" t="inlineStr" s="1">
        <is>
          <t>当笔净额</t>
        </is>
      </c>
      <c r="H238" t="inlineStr" s="1">
        <is>
          <t>支付方式</t>
        </is>
      </c>
      <c r="I238" t="inlineStr" s="1">
        <is>
          <t>备注</t>
        </is>
      </c>
    </row>
    <row r="239" ht="21" customHeight="1">
      <c r="A239" s="3">
        <v>46209</v>
      </c>
      <c r="B239" t="inlineStr" s="4">
        <is>
          <t>星期一</t>
        </is>
      </c>
      <c r="C239" t="inlineStr" s="4">
        <is>
          <t>餐饮</t>
        </is>
      </c>
      <c r="D239" t="inlineStr" s="5">
        <is>
          <t>早餐</t>
        </is>
      </c>
      <c r="E239" s="6"/>
      <c r="F239" s="6"/>
      <c r="G239" s="6">
        <f>IF(AND(E239="",F239=""),"",F239-E239)</f>
      </c>
      <c r="H239" s="4"/>
      <c r="I239" s="5"/>
    </row>
    <row r="240" ht="21" customHeight="1">
      <c r="A240" s="3">
        <v>46209</v>
      </c>
      <c r="B240" t="inlineStr" s="4">
        <is>
          <t>星期一</t>
        </is>
      </c>
      <c r="C240" t="inlineStr" s="4">
        <is>
          <t>餐饮</t>
        </is>
      </c>
      <c r="D240" t="inlineStr" s="5">
        <is>
          <t>中餐</t>
        </is>
      </c>
      <c r="E240" s="6"/>
      <c r="F240" s="6"/>
      <c r="G240" s="6">
        <f>IF(AND(E240="",F240=""),"",F240-E240)</f>
      </c>
      <c r="H240" s="4"/>
      <c r="I240" s="5"/>
    </row>
    <row r="241" ht="21" customHeight="1">
      <c r="A241" s="3">
        <v>46209</v>
      </c>
      <c r="B241" t="inlineStr" s="4">
        <is>
          <t>星期一</t>
        </is>
      </c>
      <c r="C241" t="inlineStr" s="4">
        <is>
          <t>餐饮</t>
        </is>
      </c>
      <c r="D241" t="inlineStr" s="5">
        <is>
          <t>晚餐</t>
        </is>
      </c>
      <c r="E241" s="6"/>
      <c r="F241" s="6"/>
      <c r="G241" s="6">
        <f>IF(AND(E241="",F241=""),"",F241-E241)</f>
      </c>
      <c r="H241" s="4"/>
      <c r="I241" s="5"/>
    </row>
    <row r="242" ht="21" customHeight="1">
      <c r="A242" s="3">
        <v>46209</v>
      </c>
      <c r="B242" t="inlineStr" s="4">
        <is>
          <t>星期一</t>
        </is>
      </c>
      <c r="C242" t="inlineStr" s="4">
        <is>
          <t>奶茶/咖啡</t>
        </is>
      </c>
      <c r="D242" t="inlineStr" s="5">
        <is>
          <t>奶茶/咖啡</t>
        </is>
      </c>
      <c r="E242" s="6"/>
      <c r="F242" s="6"/>
      <c r="G242" s="6">
        <f>IF(AND(E242="",F242=""),"",F242-E242)</f>
      </c>
      <c r="H242" s="4"/>
      <c r="I242" s="5"/>
    </row>
    <row r="243" ht="21" customHeight="1">
      <c r="A243" s="3">
        <v>46209</v>
      </c>
      <c r="B243" t="inlineStr" s="4">
        <is>
          <t>星期一</t>
        </is>
      </c>
      <c r="C243" t="inlineStr" s="4">
        <is>
          <t>其他</t>
        </is>
      </c>
      <c r="D243" t="inlineStr" s="5">
        <is>
          <t>其他</t>
        </is>
      </c>
      <c r="E243" s="6"/>
      <c r="F243" s="6"/>
      <c r="G243" s="6">
        <f>IF(AND(E243="",F243=""),"",F243-E243)</f>
      </c>
      <c r="H243" s="4"/>
      <c r="I243" s="5"/>
    </row>
    <row r="244" ht="21" customHeight="1">
      <c r="A244" s="3">
        <v>46209</v>
      </c>
      <c r="B244" t="inlineStr" s="4">
        <is>
          <t>星期一</t>
        </is>
      </c>
      <c r="C244" t="inlineStr" s="4">
        <is>
          <t>其他</t>
        </is>
      </c>
      <c r="D244" t="inlineStr" s="5">
        <is>
          <t>其他</t>
        </is>
      </c>
      <c r="E244" s="6"/>
      <c r="F244" s="6"/>
      <c r="G244" s="6">
        <f>IF(AND(E244="",F244=""),"",F244-E244)</f>
      </c>
      <c r="H244" s="4"/>
      <c r="I244" s="5"/>
    </row>
    <row r="245" ht="21" customHeight="1">
      <c r="A245" s="3">
        <v>46210</v>
      </c>
      <c r="B245" t="inlineStr" s="4">
        <is>
          <t>星期二</t>
        </is>
      </c>
      <c r="C245" t="inlineStr" s="4">
        <is>
          <t>餐饮</t>
        </is>
      </c>
      <c r="D245" t="inlineStr" s="5">
        <is>
          <t>早餐</t>
        </is>
      </c>
      <c r="E245" s="6"/>
      <c r="F245" s="6"/>
      <c r="G245" s="6">
        <f>IF(AND(E245="",F245=""),"",F245-E245)</f>
      </c>
      <c r="H245" s="4"/>
      <c r="I245" s="5"/>
    </row>
    <row r="246" ht="21" customHeight="1">
      <c r="A246" s="3">
        <v>46210</v>
      </c>
      <c r="B246" t="inlineStr" s="4">
        <is>
          <t>星期二</t>
        </is>
      </c>
      <c r="C246" t="inlineStr" s="4">
        <is>
          <t>餐饮</t>
        </is>
      </c>
      <c r="D246" t="inlineStr" s="5">
        <is>
          <t>中餐</t>
        </is>
      </c>
      <c r="E246" s="6"/>
      <c r="F246" s="6"/>
      <c r="G246" s="6">
        <f>IF(AND(E246="",F246=""),"",F246-E246)</f>
      </c>
      <c r="H246" s="4"/>
      <c r="I246" s="5"/>
    </row>
    <row r="247" ht="21" customHeight="1">
      <c r="A247" s="3">
        <v>46210</v>
      </c>
      <c r="B247" t="inlineStr" s="4">
        <is>
          <t>星期二</t>
        </is>
      </c>
      <c r="C247" t="inlineStr" s="4">
        <is>
          <t>餐饮</t>
        </is>
      </c>
      <c r="D247" t="inlineStr" s="5">
        <is>
          <t>晚餐</t>
        </is>
      </c>
      <c r="E247" s="6"/>
      <c r="F247" s="6"/>
      <c r="G247" s="6">
        <f>IF(AND(E247="",F247=""),"",F247-E247)</f>
      </c>
      <c r="H247" s="4"/>
      <c r="I247" s="5"/>
    </row>
    <row r="248" ht="21" customHeight="1">
      <c r="A248" s="3">
        <v>46210</v>
      </c>
      <c r="B248" t="inlineStr" s="4">
        <is>
          <t>星期二</t>
        </is>
      </c>
      <c r="C248" t="inlineStr" s="4">
        <is>
          <t>奶茶/咖啡</t>
        </is>
      </c>
      <c r="D248" t="inlineStr" s="5">
        <is>
          <t>奶茶/咖啡</t>
        </is>
      </c>
      <c r="E248" s="6"/>
      <c r="F248" s="6"/>
      <c r="G248" s="6">
        <f>IF(AND(E248="",F248=""),"",F248-E248)</f>
      </c>
      <c r="H248" s="4"/>
      <c r="I248" s="5"/>
    </row>
    <row r="249" ht="21" customHeight="1">
      <c r="A249" s="3">
        <v>46210</v>
      </c>
      <c r="B249" t="inlineStr" s="4">
        <is>
          <t>星期二</t>
        </is>
      </c>
      <c r="C249" t="inlineStr" s="4">
        <is>
          <t>其他</t>
        </is>
      </c>
      <c r="D249" t="inlineStr" s="5">
        <is>
          <t>其他</t>
        </is>
      </c>
      <c r="E249" s="6"/>
      <c r="F249" s="6"/>
      <c r="G249" s="6">
        <f>IF(AND(E249="",F249=""),"",F249-E249)</f>
      </c>
      <c r="H249" s="4"/>
      <c r="I249" s="5"/>
    </row>
    <row r="250" ht="21" customHeight="1">
      <c r="A250" s="3">
        <v>46210</v>
      </c>
      <c r="B250" t="inlineStr" s="4">
        <is>
          <t>星期二</t>
        </is>
      </c>
      <c r="C250" t="inlineStr" s="4">
        <is>
          <t>其他</t>
        </is>
      </c>
      <c r="D250" t="inlineStr" s="5">
        <is>
          <t>其他</t>
        </is>
      </c>
      <c r="E250" s="6"/>
      <c r="F250" s="6"/>
      <c r="G250" s="6">
        <f>IF(AND(E250="",F250=""),"",F250-E250)</f>
      </c>
      <c r="H250" s="4"/>
      <c r="I250" s="5"/>
    </row>
    <row r="251" ht="21" customHeight="1">
      <c r="A251" s="3">
        <v>46211</v>
      </c>
      <c r="B251" t="inlineStr" s="4">
        <is>
          <t>星期三</t>
        </is>
      </c>
      <c r="C251" t="inlineStr" s="4">
        <is>
          <t>餐饮</t>
        </is>
      </c>
      <c r="D251" t="inlineStr" s="5">
        <is>
          <t>早餐</t>
        </is>
      </c>
      <c r="E251" s="6"/>
      <c r="F251" s="6"/>
      <c r="G251" s="6">
        <f>IF(AND(E251="",F251=""),"",F251-E251)</f>
      </c>
      <c r="H251" s="4"/>
      <c r="I251" s="5"/>
    </row>
    <row r="252" ht="21" customHeight="1">
      <c r="A252" s="3">
        <v>46211</v>
      </c>
      <c r="B252" t="inlineStr" s="4">
        <is>
          <t>星期三</t>
        </is>
      </c>
      <c r="C252" t="inlineStr" s="4">
        <is>
          <t>餐饮</t>
        </is>
      </c>
      <c r="D252" t="inlineStr" s="5">
        <is>
          <t>中餐</t>
        </is>
      </c>
      <c r="E252" s="6"/>
      <c r="F252" s="6"/>
      <c r="G252" s="6">
        <f>IF(AND(E252="",F252=""),"",F252-E252)</f>
      </c>
      <c r="H252" s="4"/>
      <c r="I252" s="5"/>
    </row>
    <row r="253" ht="21" customHeight="1">
      <c r="A253" s="3">
        <v>46211</v>
      </c>
      <c r="B253" t="inlineStr" s="4">
        <is>
          <t>星期三</t>
        </is>
      </c>
      <c r="C253" t="inlineStr" s="4">
        <is>
          <t>餐饮</t>
        </is>
      </c>
      <c r="D253" t="inlineStr" s="5">
        <is>
          <t>晚餐</t>
        </is>
      </c>
      <c r="E253" s="6"/>
      <c r="F253" s="6"/>
      <c r="G253" s="6">
        <f>IF(AND(E253="",F253=""),"",F253-E253)</f>
      </c>
      <c r="H253" s="4"/>
      <c r="I253" s="5"/>
    </row>
    <row r="254" ht="21" customHeight="1">
      <c r="A254" s="3">
        <v>46211</v>
      </c>
      <c r="B254" t="inlineStr" s="4">
        <is>
          <t>星期三</t>
        </is>
      </c>
      <c r="C254" t="inlineStr" s="4">
        <is>
          <t>奶茶/咖啡</t>
        </is>
      </c>
      <c r="D254" t="inlineStr" s="5">
        <is>
          <t>奶茶/咖啡</t>
        </is>
      </c>
      <c r="E254" s="6"/>
      <c r="F254" s="6"/>
      <c r="G254" s="6">
        <f>IF(AND(E254="",F254=""),"",F254-E254)</f>
      </c>
      <c r="H254" s="4"/>
      <c r="I254" s="5"/>
    </row>
    <row r="255" ht="21" customHeight="1">
      <c r="A255" s="3">
        <v>46211</v>
      </c>
      <c r="B255" t="inlineStr" s="4">
        <is>
          <t>星期三</t>
        </is>
      </c>
      <c r="C255" t="inlineStr" s="4">
        <is>
          <t>其他</t>
        </is>
      </c>
      <c r="D255" t="inlineStr" s="5">
        <is>
          <t>其他</t>
        </is>
      </c>
      <c r="E255" s="6"/>
      <c r="F255" s="6"/>
      <c r="G255" s="6">
        <f>IF(AND(E255="",F255=""),"",F255-E255)</f>
      </c>
      <c r="H255" s="4"/>
      <c r="I255" s="5"/>
    </row>
    <row r="256" ht="21" customHeight="1">
      <c r="A256" s="3">
        <v>46211</v>
      </c>
      <c r="B256" t="inlineStr" s="4">
        <is>
          <t>星期三</t>
        </is>
      </c>
      <c r="C256" t="inlineStr" s="4">
        <is>
          <t>其他</t>
        </is>
      </c>
      <c r="D256" t="inlineStr" s="5">
        <is>
          <t>其他</t>
        </is>
      </c>
      <c r="E256" s="6"/>
      <c r="F256" s="6"/>
      <c r="G256" s="6">
        <f>IF(AND(E256="",F256=""),"",F256-E256)</f>
      </c>
      <c r="H256" s="4"/>
      <c r="I256" s="5"/>
    </row>
    <row r="257" ht="21" customHeight="1">
      <c r="A257" s="3">
        <v>46212</v>
      </c>
      <c r="B257" t="inlineStr" s="4">
        <is>
          <t>星期四</t>
        </is>
      </c>
      <c r="C257" t="inlineStr" s="4">
        <is>
          <t>餐饮</t>
        </is>
      </c>
      <c r="D257" t="inlineStr" s="5">
        <is>
          <t>早餐</t>
        </is>
      </c>
      <c r="E257" s="6"/>
      <c r="F257" s="6"/>
      <c r="G257" s="6">
        <f>IF(AND(E257="",F257=""),"",F257-E257)</f>
      </c>
      <c r="H257" s="4"/>
      <c r="I257" s="5"/>
    </row>
    <row r="258" ht="21" customHeight="1">
      <c r="A258" s="3">
        <v>46212</v>
      </c>
      <c r="B258" t="inlineStr" s="4">
        <is>
          <t>星期四</t>
        </is>
      </c>
      <c r="C258" t="inlineStr" s="4">
        <is>
          <t>餐饮</t>
        </is>
      </c>
      <c r="D258" t="inlineStr" s="5">
        <is>
          <t>中餐</t>
        </is>
      </c>
      <c r="E258" s="6"/>
      <c r="F258" s="6"/>
      <c r="G258" s="6">
        <f>IF(AND(E258="",F258=""),"",F258-E258)</f>
      </c>
      <c r="H258" s="4"/>
      <c r="I258" s="5"/>
    </row>
    <row r="259" ht="21" customHeight="1">
      <c r="A259" s="3">
        <v>46212</v>
      </c>
      <c r="B259" t="inlineStr" s="4">
        <is>
          <t>星期四</t>
        </is>
      </c>
      <c r="C259" t="inlineStr" s="4">
        <is>
          <t>餐饮</t>
        </is>
      </c>
      <c r="D259" t="inlineStr" s="5">
        <is>
          <t>晚餐</t>
        </is>
      </c>
      <c r="E259" s="6"/>
      <c r="F259" s="6"/>
      <c r="G259" s="6">
        <f>IF(AND(E259="",F259=""),"",F259-E259)</f>
      </c>
      <c r="H259" s="4"/>
      <c r="I259" s="5"/>
    </row>
    <row r="260" ht="21" customHeight="1">
      <c r="A260" s="3">
        <v>46212</v>
      </c>
      <c r="B260" t="inlineStr" s="4">
        <is>
          <t>星期四</t>
        </is>
      </c>
      <c r="C260" t="inlineStr" s="4">
        <is>
          <t>奶茶/咖啡</t>
        </is>
      </c>
      <c r="D260" t="inlineStr" s="5">
        <is>
          <t>奶茶/咖啡</t>
        </is>
      </c>
      <c r="E260" s="6"/>
      <c r="F260" s="6"/>
      <c r="G260" s="6">
        <f>IF(AND(E260="",F260=""),"",F260-E260)</f>
      </c>
      <c r="H260" s="4"/>
      <c r="I260" s="5"/>
    </row>
    <row r="261" ht="21" customHeight="1">
      <c r="A261" s="3">
        <v>46212</v>
      </c>
      <c r="B261" t="inlineStr" s="4">
        <is>
          <t>星期四</t>
        </is>
      </c>
      <c r="C261" t="inlineStr" s="4">
        <is>
          <t>其他</t>
        </is>
      </c>
      <c r="D261" t="inlineStr" s="5">
        <is>
          <t>其他</t>
        </is>
      </c>
      <c r="E261" s="6"/>
      <c r="F261" s="6"/>
      <c r="G261" s="6">
        <f>IF(AND(E261="",F261=""),"",F261-E261)</f>
      </c>
      <c r="H261" s="4"/>
      <c r="I261" s="5"/>
    </row>
    <row r="262" ht="21" customHeight="1">
      <c r="A262" s="3">
        <v>46212</v>
      </c>
      <c r="B262" t="inlineStr" s="4">
        <is>
          <t>星期四</t>
        </is>
      </c>
      <c r="C262" t="inlineStr" s="4">
        <is>
          <t>其他</t>
        </is>
      </c>
      <c r="D262" t="inlineStr" s="5">
        <is>
          <t>其他</t>
        </is>
      </c>
      <c r="E262" s="6"/>
      <c r="F262" s="6"/>
      <c r="G262" s="6">
        <f>IF(AND(E262="",F262=""),"",F262-E262)</f>
      </c>
      <c r="H262" s="4"/>
      <c r="I262" s="5"/>
    </row>
    <row r="263" ht="21" customHeight="1">
      <c r="A263" s="3">
        <v>46213</v>
      </c>
      <c r="B263" t="inlineStr" s="4">
        <is>
          <t>星期五</t>
        </is>
      </c>
      <c r="C263" t="inlineStr" s="4">
        <is>
          <t>餐饮</t>
        </is>
      </c>
      <c r="D263" t="inlineStr" s="5">
        <is>
          <t>早餐</t>
        </is>
      </c>
      <c r="E263" s="6"/>
      <c r="F263" s="6"/>
      <c r="G263" s="6">
        <f>IF(AND(E263="",F263=""),"",F263-E263)</f>
      </c>
      <c r="H263" s="4"/>
      <c r="I263" s="5"/>
    </row>
    <row r="264" ht="21" customHeight="1">
      <c r="A264" s="3">
        <v>46213</v>
      </c>
      <c r="B264" t="inlineStr" s="4">
        <is>
          <t>星期五</t>
        </is>
      </c>
      <c r="C264" t="inlineStr" s="4">
        <is>
          <t>餐饮</t>
        </is>
      </c>
      <c r="D264" t="inlineStr" s="5">
        <is>
          <t>中餐</t>
        </is>
      </c>
      <c r="E264" s="6"/>
      <c r="F264" s="6"/>
      <c r="G264" s="6">
        <f>IF(AND(E264="",F264=""),"",F264-E264)</f>
      </c>
      <c r="H264" s="4"/>
      <c r="I264" s="5"/>
    </row>
    <row r="265" ht="21" customHeight="1">
      <c r="A265" s="3">
        <v>46213</v>
      </c>
      <c r="B265" t="inlineStr" s="4">
        <is>
          <t>星期五</t>
        </is>
      </c>
      <c r="C265" t="inlineStr" s="4">
        <is>
          <t>餐饮</t>
        </is>
      </c>
      <c r="D265" t="inlineStr" s="5">
        <is>
          <t>晚餐</t>
        </is>
      </c>
      <c r="E265" s="6"/>
      <c r="F265" s="6"/>
      <c r="G265" s="6">
        <f>IF(AND(E265="",F265=""),"",F265-E265)</f>
      </c>
      <c r="H265" s="4"/>
      <c r="I265" s="5"/>
    </row>
    <row r="266" ht="21" customHeight="1">
      <c r="A266" s="3">
        <v>46213</v>
      </c>
      <c r="B266" t="inlineStr" s="4">
        <is>
          <t>星期五</t>
        </is>
      </c>
      <c r="C266" t="inlineStr" s="4">
        <is>
          <t>奶茶/咖啡</t>
        </is>
      </c>
      <c r="D266" t="inlineStr" s="5">
        <is>
          <t>奶茶/咖啡</t>
        </is>
      </c>
      <c r="E266" s="6"/>
      <c r="F266" s="6"/>
      <c r="G266" s="6">
        <f>IF(AND(E266="",F266=""),"",F266-E266)</f>
      </c>
      <c r="H266" s="4"/>
      <c r="I266" s="5"/>
    </row>
    <row r="267" ht="21" customHeight="1">
      <c r="A267" s="3">
        <v>46213</v>
      </c>
      <c r="B267" t="inlineStr" s="4">
        <is>
          <t>星期五</t>
        </is>
      </c>
      <c r="C267" t="inlineStr" s="4">
        <is>
          <t>其他</t>
        </is>
      </c>
      <c r="D267" t="inlineStr" s="5">
        <is>
          <t>其他</t>
        </is>
      </c>
      <c r="E267" s="6"/>
      <c r="F267" s="6"/>
      <c r="G267" s="6">
        <f>IF(AND(E267="",F267=""),"",F267-E267)</f>
      </c>
      <c r="H267" s="4"/>
      <c r="I267" s="5"/>
    </row>
    <row r="268" ht="21" customHeight="1">
      <c r="A268" s="3">
        <v>46213</v>
      </c>
      <c r="B268" t="inlineStr" s="4">
        <is>
          <t>星期五</t>
        </is>
      </c>
      <c r="C268" t="inlineStr" s="4">
        <is>
          <t>其他</t>
        </is>
      </c>
      <c r="D268" t="inlineStr" s="5">
        <is>
          <t>其他</t>
        </is>
      </c>
      <c r="E268" s="6"/>
      <c r="F268" s="6"/>
      <c r="G268" s="6">
        <f>IF(AND(E268="",F268=""),"",F268-E268)</f>
      </c>
      <c r="H268" s="4"/>
      <c r="I268" s="5"/>
    </row>
    <row r="269" ht="21" customHeight="1">
      <c r="A269" s="3">
        <v>46214</v>
      </c>
      <c r="B269" t="inlineStr" s="4">
        <is>
          <t>星期六</t>
        </is>
      </c>
      <c r="C269" t="inlineStr" s="4">
        <is>
          <t>餐饮</t>
        </is>
      </c>
      <c r="D269" t="inlineStr" s="5">
        <is>
          <t>早餐</t>
        </is>
      </c>
      <c r="E269" s="6"/>
      <c r="F269" s="6"/>
      <c r="G269" s="6">
        <f>IF(AND(E269="",F269=""),"",F269-E269)</f>
      </c>
      <c r="H269" s="4"/>
      <c r="I269" s="5"/>
    </row>
    <row r="270" ht="21" customHeight="1">
      <c r="A270" s="3">
        <v>46214</v>
      </c>
      <c r="B270" t="inlineStr" s="4">
        <is>
          <t>星期六</t>
        </is>
      </c>
      <c r="C270" t="inlineStr" s="4">
        <is>
          <t>餐饮</t>
        </is>
      </c>
      <c r="D270" t="inlineStr" s="5">
        <is>
          <t>中餐</t>
        </is>
      </c>
      <c r="E270" s="6"/>
      <c r="F270" s="6"/>
      <c r="G270" s="6">
        <f>IF(AND(E270="",F270=""),"",F270-E270)</f>
      </c>
      <c r="H270" s="4"/>
      <c r="I270" s="5"/>
    </row>
    <row r="271" ht="21" customHeight="1">
      <c r="A271" s="3">
        <v>46214</v>
      </c>
      <c r="B271" t="inlineStr" s="4">
        <is>
          <t>星期六</t>
        </is>
      </c>
      <c r="C271" t="inlineStr" s="4">
        <is>
          <t>餐饮</t>
        </is>
      </c>
      <c r="D271" t="inlineStr" s="5">
        <is>
          <t>晚餐</t>
        </is>
      </c>
      <c r="E271" s="6"/>
      <c r="F271" s="6"/>
      <c r="G271" s="6">
        <f>IF(AND(E271="",F271=""),"",F271-E271)</f>
      </c>
      <c r="H271" s="4"/>
      <c r="I271" s="5"/>
    </row>
    <row r="272" ht="21" customHeight="1">
      <c r="A272" s="3">
        <v>46214</v>
      </c>
      <c r="B272" t="inlineStr" s="4">
        <is>
          <t>星期六</t>
        </is>
      </c>
      <c r="C272" t="inlineStr" s="4">
        <is>
          <t>奶茶/咖啡</t>
        </is>
      </c>
      <c r="D272" t="inlineStr" s="5">
        <is>
          <t>奶茶/咖啡</t>
        </is>
      </c>
      <c r="E272" s="6"/>
      <c r="F272" s="6"/>
      <c r="G272" s="6">
        <f>IF(AND(E272="",F272=""),"",F272-E272)</f>
      </c>
      <c r="H272" s="4"/>
      <c r="I272" s="5"/>
    </row>
    <row r="273" ht="21" customHeight="1">
      <c r="A273" s="3">
        <v>46214</v>
      </c>
      <c r="B273" t="inlineStr" s="4">
        <is>
          <t>星期六</t>
        </is>
      </c>
      <c r="C273" t="inlineStr" s="4">
        <is>
          <t>其他</t>
        </is>
      </c>
      <c r="D273" t="inlineStr" s="5">
        <is>
          <t>其他</t>
        </is>
      </c>
      <c r="E273" s="6"/>
      <c r="F273" s="6"/>
      <c r="G273" s="6">
        <f>IF(AND(E273="",F273=""),"",F273-E273)</f>
      </c>
      <c r="H273" s="4"/>
      <c r="I273" s="5"/>
    </row>
    <row r="274" ht="21" customHeight="1">
      <c r="A274" s="3">
        <v>46214</v>
      </c>
      <c r="B274" t="inlineStr" s="4">
        <is>
          <t>星期六</t>
        </is>
      </c>
      <c r="C274" t="inlineStr" s="4">
        <is>
          <t>其他</t>
        </is>
      </c>
      <c r="D274" t="inlineStr" s="5">
        <is>
          <t>其他</t>
        </is>
      </c>
      <c r="E274" s="6"/>
      <c r="F274" s="6"/>
      <c r="G274" s="6">
        <f>IF(AND(E274="",F274=""),"",F274-E274)</f>
      </c>
      <c r="H274" s="4"/>
      <c r="I274" s="5"/>
    </row>
    <row r="275" ht="21" customHeight="1">
      <c r="A275" s="3">
        <v>46215</v>
      </c>
      <c r="B275" t="inlineStr" s="4">
        <is>
          <t>星期日</t>
        </is>
      </c>
      <c r="C275" t="inlineStr" s="4">
        <is>
          <t>餐饮</t>
        </is>
      </c>
      <c r="D275" t="inlineStr" s="5">
        <is>
          <t>早餐</t>
        </is>
      </c>
      <c r="E275" s="6"/>
      <c r="F275" s="6"/>
      <c r="G275" s="6">
        <f>IF(AND(E275="",F275=""),"",F275-E275)</f>
      </c>
      <c r="H275" s="4"/>
      <c r="I275" s="5"/>
    </row>
    <row r="276" ht="21" customHeight="1">
      <c r="A276" s="3">
        <v>46215</v>
      </c>
      <c r="B276" t="inlineStr" s="4">
        <is>
          <t>星期日</t>
        </is>
      </c>
      <c r="C276" t="inlineStr" s="4">
        <is>
          <t>餐饮</t>
        </is>
      </c>
      <c r="D276" t="inlineStr" s="5">
        <is>
          <t>中餐</t>
        </is>
      </c>
      <c r="E276" s="6"/>
      <c r="F276" s="6"/>
      <c r="G276" s="6">
        <f>IF(AND(E276="",F276=""),"",F276-E276)</f>
      </c>
      <c r="H276" s="4"/>
      <c r="I276" s="5"/>
    </row>
    <row r="277" ht="21" customHeight="1">
      <c r="A277" s="3">
        <v>46215</v>
      </c>
      <c r="B277" t="inlineStr" s="4">
        <is>
          <t>星期日</t>
        </is>
      </c>
      <c r="C277" t="inlineStr" s="4">
        <is>
          <t>餐饮</t>
        </is>
      </c>
      <c r="D277" t="inlineStr" s="5">
        <is>
          <t>晚餐</t>
        </is>
      </c>
      <c r="E277" s="6"/>
      <c r="F277" s="6"/>
      <c r="G277" s="6">
        <f>IF(AND(E277="",F277=""),"",F277-E277)</f>
      </c>
      <c r="H277" s="4"/>
      <c r="I277" s="5"/>
    </row>
    <row r="278" ht="21" customHeight="1">
      <c r="A278" s="3">
        <v>46215</v>
      </c>
      <c r="B278" t="inlineStr" s="4">
        <is>
          <t>星期日</t>
        </is>
      </c>
      <c r="C278" t="inlineStr" s="4">
        <is>
          <t>奶茶/咖啡</t>
        </is>
      </c>
      <c r="D278" t="inlineStr" s="5">
        <is>
          <t>奶茶/咖啡</t>
        </is>
      </c>
      <c r="E278" s="6"/>
      <c r="F278" s="6"/>
      <c r="G278" s="6">
        <f>IF(AND(E278="",F278=""),"",F278-E278)</f>
      </c>
      <c r="H278" s="4"/>
      <c r="I278" s="5"/>
    </row>
    <row r="279" ht="21" customHeight="1">
      <c r="A279" s="3">
        <v>46215</v>
      </c>
      <c r="B279" t="inlineStr" s="4">
        <is>
          <t>星期日</t>
        </is>
      </c>
      <c r="C279" t="inlineStr" s="4">
        <is>
          <t>其他</t>
        </is>
      </c>
      <c r="D279" t="inlineStr" s="5">
        <is>
          <t>其他</t>
        </is>
      </c>
      <c r="E279" s="6"/>
      <c r="F279" s="6"/>
      <c r="G279" s="6">
        <f>IF(AND(E279="",F279=""),"",F279-E279)</f>
      </c>
      <c r="H279" s="4"/>
      <c r="I279" s="5"/>
    </row>
    <row r="280" ht="21" customHeight="1">
      <c r="A280" s="3">
        <v>46215</v>
      </c>
      <c r="B280" t="inlineStr" s="4">
        <is>
          <t>星期日</t>
        </is>
      </c>
      <c r="C280" t="inlineStr" s="4">
        <is>
          <t>其他</t>
        </is>
      </c>
      <c r="D280" t="inlineStr" s="5">
        <is>
          <t>其他</t>
        </is>
      </c>
      <c r="E280" s="6"/>
      <c r="F280" s="6"/>
      <c r="G280" s="6">
        <f>IF(AND(E280="",F280=""),"",F280-E280)</f>
      </c>
      <c r="H280" s="4"/>
      <c r="I280" s="5"/>
    </row>
    <row r="281" ht="23" customHeight="1">
      <c r="A281" t="inlineStr" s="7">
        <is>
          <t>本周小计</t>
        </is>
      </c>
      <c r="B281" s="7"/>
      <c r="C281" s="7"/>
      <c r="D281" s="7"/>
      <c r="E281" s="8">
        <f>SUM(E239:E280)</f>
      </c>
      <c r="F281" s="8">
        <f>SUM(F239:F280)</f>
      </c>
      <c r="G281" s="8">
        <f>SUM(G239:G280)</f>
      </c>
      <c r="H281" s="7"/>
      <c r="I281" s="7"/>
    </row>
    <row r="282" ht="18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8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26" customHeight="1">
      <c r="A284" t="inlineStr" s="2">
        <is>
          <t>2026年7月｜第二周（7月13日 - 7月19日）</t>
        </is>
      </c>
      <c r="B284" s="2"/>
      <c r="C284" s="2"/>
      <c r="D284" s="2"/>
      <c r="E284" s="2"/>
      <c r="F284" s="2"/>
      <c r="G284" s="2"/>
      <c r="H284" s="2"/>
      <c r="I284" s="2"/>
    </row>
    <row r="285" ht="22" customHeight="1">
      <c r="A285" t="inlineStr" s="1">
        <is>
          <t>日期</t>
        </is>
      </c>
      <c r="B285" t="inlineStr" s="1">
        <is>
          <t>星期</t>
        </is>
      </c>
      <c r="C285" t="inlineStr" s="1">
        <is>
          <t>分类</t>
        </is>
      </c>
      <c r="D285" t="inlineStr" s="1">
        <is>
          <t>事项</t>
        </is>
      </c>
      <c r="E285" t="inlineStr" s="1">
        <is>
          <t>支出金额</t>
        </is>
      </c>
      <c r="F285" t="inlineStr" s="1">
        <is>
          <t>收入金额</t>
        </is>
      </c>
      <c r="G285" t="inlineStr" s="1">
        <is>
          <t>当笔净额</t>
        </is>
      </c>
      <c r="H285" t="inlineStr" s="1">
        <is>
          <t>支付方式</t>
        </is>
      </c>
      <c r="I285" t="inlineStr" s="1">
        <is>
          <t>备注</t>
        </is>
      </c>
    </row>
    <row r="286" ht="21" customHeight="1">
      <c r="A286" s="3">
        <v>46216</v>
      </c>
      <c r="B286" t="inlineStr" s="4">
        <is>
          <t>星期一</t>
        </is>
      </c>
      <c r="C286" t="inlineStr" s="4">
        <is>
          <t>餐饮</t>
        </is>
      </c>
      <c r="D286" t="inlineStr" s="5">
        <is>
          <t>早餐</t>
        </is>
      </c>
      <c r="E286" s="6"/>
      <c r="F286" s="6"/>
      <c r="G286" s="6">
        <f>IF(AND(E286="",F286=""),"",F286-E286)</f>
      </c>
      <c r="H286" s="4"/>
      <c r="I286" s="5"/>
    </row>
    <row r="287" ht="21" customHeight="1">
      <c r="A287" s="3">
        <v>46216</v>
      </c>
      <c r="B287" t="inlineStr" s="4">
        <is>
          <t>星期一</t>
        </is>
      </c>
      <c r="C287" t="inlineStr" s="4">
        <is>
          <t>餐饮</t>
        </is>
      </c>
      <c r="D287" t="inlineStr" s="5">
        <is>
          <t>中餐</t>
        </is>
      </c>
      <c r="E287" s="6"/>
      <c r="F287" s="6"/>
      <c r="G287" s="6">
        <f>IF(AND(E287="",F287=""),"",F287-E287)</f>
      </c>
      <c r="H287" s="4"/>
      <c r="I287" s="5"/>
    </row>
    <row r="288" ht="21" customHeight="1">
      <c r="A288" s="3">
        <v>46216</v>
      </c>
      <c r="B288" t="inlineStr" s="4">
        <is>
          <t>星期一</t>
        </is>
      </c>
      <c r="C288" t="inlineStr" s="4">
        <is>
          <t>餐饮</t>
        </is>
      </c>
      <c r="D288" t="inlineStr" s="5">
        <is>
          <t>晚餐</t>
        </is>
      </c>
      <c r="E288" s="6"/>
      <c r="F288" s="6"/>
      <c r="G288" s="6">
        <f>IF(AND(E288="",F288=""),"",F288-E288)</f>
      </c>
      <c r="H288" s="4"/>
      <c r="I288" s="5"/>
    </row>
    <row r="289" ht="21" customHeight="1">
      <c r="A289" s="3">
        <v>46216</v>
      </c>
      <c r="B289" t="inlineStr" s="4">
        <is>
          <t>星期一</t>
        </is>
      </c>
      <c r="C289" t="inlineStr" s="4">
        <is>
          <t>奶茶/咖啡</t>
        </is>
      </c>
      <c r="D289" t="inlineStr" s="5">
        <is>
          <t>奶茶/咖啡</t>
        </is>
      </c>
      <c r="E289" s="6"/>
      <c r="F289" s="6"/>
      <c r="G289" s="6">
        <f>IF(AND(E289="",F289=""),"",F289-E289)</f>
      </c>
      <c r="H289" s="4"/>
      <c r="I289" s="5"/>
    </row>
    <row r="290" ht="21" customHeight="1">
      <c r="A290" s="3">
        <v>46216</v>
      </c>
      <c r="B290" t="inlineStr" s="4">
        <is>
          <t>星期一</t>
        </is>
      </c>
      <c r="C290" t="inlineStr" s="4">
        <is>
          <t>其他</t>
        </is>
      </c>
      <c r="D290" t="inlineStr" s="5">
        <is>
          <t>其他</t>
        </is>
      </c>
      <c r="E290" s="6"/>
      <c r="F290" s="6"/>
      <c r="G290" s="6">
        <f>IF(AND(E290="",F290=""),"",F290-E290)</f>
      </c>
      <c r="H290" s="4"/>
      <c r="I290" s="5"/>
    </row>
    <row r="291" ht="21" customHeight="1">
      <c r="A291" s="3">
        <v>46216</v>
      </c>
      <c r="B291" t="inlineStr" s="4">
        <is>
          <t>星期一</t>
        </is>
      </c>
      <c r="C291" t="inlineStr" s="4">
        <is>
          <t>其他</t>
        </is>
      </c>
      <c r="D291" t="inlineStr" s="5">
        <is>
          <t>其他</t>
        </is>
      </c>
      <c r="E291" s="6"/>
      <c r="F291" s="6"/>
      <c r="G291" s="6">
        <f>IF(AND(E291="",F291=""),"",F291-E291)</f>
      </c>
      <c r="H291" s="4"/>
      <c r="I291" s="5"/>
    </row>
    <row r="292" ht="21" customHeight="1">
      <c r="A292" s="3">
        <v>46217</v>
      </c>
      <c r="B292" t="inlineStr" s="4">
        <is>
          <t>星期二</t>
        </is>
      </c>
      <c r="C292" t="inlineStr" s="4">
        <is>
          <t>餐饮</t>
        </is>
      </c>
      <c r="D292" t="inlineStr" s="5">
        <is>
          <t>早餐</t>
        </is>
      </c>
      <c r="E292" s="6"/>
      <c r="F292" s="6"/>
      <c r="G292" s="6">
        <f>IF(AND(E292="",F292=""),"",F292-E292)</f>
      </c>
      <c r="H292" s="4"/>
      <c r="I292" s="5"/>
    </row>
    <row r="293" ht="21" customHeight="1">
      <c r="A293" s="3">
        <v>46217</v>
      </c>
      <c r="B293" t="inlineStr" s="4">
        <is>
          <t>星期二</t>
        </is>
      </c>
      <c r="C293" t="inlineStr" s="4">
        <is>
          <t>餐饮</t>
        </is>
      </c>
      <c r="D293" t="inlineStr" s="5">
        <is>
          <t>中餐</t>
        </is>
      </c>
      <c r="E293" s="6"/>
      <c r="F293" s="6"/>
      <c r="G293" s="6">
        <f>IF(AND(E293="",F293=""),"",F293-E293)</f>
      </c>
      <c r="H293" s="4"/>
      <c r="I293" s="5"/>
    </row>
    <row r="294" ht="21" customHeight="1">
      <c r="A294" s="3">
        <v>46217</v>
      </c>
      <c r="B294" t="inlineStr" s="4">
        <is>
          <t>星期二</t>
        </is>
      </c>
      <c r="C294" t="inlineStr" s="4">
        <is>
          <t>餐饮</t>
        </is>
      </c>
      <c r="D294" t="inlineStr" s="5">
        <is>
          <t>晚餐</t>
        </is>
      </c>
      <c r="E294" s="6"/>
      <c r="F294" s="6"/>
      <c r="G294" s="6">
        <f>IF(AND(E294="",F294=""),"",F294-E294)</f>
      </c>
      <c r="H294" s="4"/>
      <c r="I294" s="5"/>
    </row>
    <row r="295" ht="21" customHeight="1">
      <c r="A295" s="3">
        <v>46217</v>
      </c>
      <c r="B295" t="inlineStr" s="4">
        <is>
          <t>星期二</t>
        </is>
      </c>
      <c r="C295" t="inlineStr" s="4">
        <is>
          <t>奶茶/咖啡</t>
        </is>
      </c>
      <c r="D295" t="inlineStr" s="5">
        <is>
          <t>奶茶/咖啡</t>
        </is>
      </c>
      <c r="E295" s="6"/>
      <c r="F295" s="6"/>
      <c r="G295" s="6">
        <f>IF(AND(E295="",F295=""),"",F295-E295)</f>
      </c>
      <c r="H295" s="4"/>
      <c r="I295" s="5"/>
    </row>
    <row r="296" ht="21" customHeight="1">
      <c r="A296" s="3">
        <v>46217</v>
      </c>
      <c r="B296" t="inlineStr" s="4">
        <is>
          <t>星期二</t>
        </is>
      </c>
      <c r="C296" t="inlineStr" s="4">
        <is>
          <t>其他</t>
        </is>
      </c>
      <c r="D296" t="inlineStr" s="5">
        <is>
          <t>其他</t>
        </is>
      </c>
      <c r="E296" s="6"/>
      <c r="F296" s="6"/>
      <c r="G296" s="6">
        <f>IF(AND(E296="",F296=""),"",F296-E296)</f>
      </c>
      <c r="H296" s="4"/>
      <c r="I296" s="5"/>
    </row>
    <row r="297" ht="21" customHeight="1">
      <c r="A297" s="3">
        <v>46217</v>
      </c>
      <c r="B297" t="inlineStr" s="4">
        <is>
          <t>星期二</t>
        </is>
      </c>
      <c r="C297" t="inlineStr" s="4">
        <is>
          <t>其他</t>
        </is>
      </c>
      <c r="D297" t="inlineStr" s="5">
        <is>
          <t>其他</t>
        </is>
      </c>
      <c r="E297" s="6"/>
      <c r="F297" s="6"/>
      <c r="G297" s="6">
        <f>IF(AND(E297="",F297=""),"",F297-E297)</f>
      </c>
      <c r="H297" s="4"/>
      <c r="I297" s="5"/>
    </row>
    <row r="298" ht="21" customHeight="1">
      <c r="A298" s="3">
        <v>46218</v>
      </c>
      <c r="B298" t="inlineStr" s="4">
        <is>
          <t>星期三</t>
        </is>
      </c>
      <c r="C298" t="inlineStr" s="4">
        <is>
          <t>餐饮</t>
        </is>
      </c>
      <c r="D298" t="inlineStr" s="5">
        <is>
          <t>早餐</t>
        </is>
      </c>
      <c r="E298" s="6"/>
      <c r="F298" s="6"/>
      <c r="G298" s="6">
        <f>IF(AND(E298="",F298=""),"",F298-E298)</f>
      </c>
      <c r="H298" s="4"/>
      <c r="I298" s="5"/>
    </row>
    <row r="299" ht="21" customHeight="1">
      <c r="A299" s="3">
        <v>46218</v>
      </c>
      <c r="B299" t="inlineStr" s="4">
        <is>
          <t>星期三</t>
        </is>
      </c>
      <c r="C299" t="inlineStr" s="4">
        <is>
          <t>餐饮</t>
        </is>
      </c>
      <c r="D299" t="inlineStr" s="5">
        <is>
          <t>中餐</t>
        </is>
      </c>
      <c r="E299" s="6"/>
      <c r="F299" s="6"/>
      <c r="G299" s="6">
        <f>IF(AND(E299="",F299=""),"",F299-E299)</f>
      </c>
      <c r="H299" s="4"/>
      <c r="I299" s="5"/>
    </row>
    <row r="300" ht="21" customHeight="1">
      <c r="A300" s="3">
        <v>46218</v>
      </c>
      <c r="B300" t="inlineStr" s="4">
        <is>
          <t>星期三</t>
        </is>
      </c>
      <c r="C300" t="inlineStr" s="4">
        <is>
          <t>餐饮</t>
        </is>
      </c>
      <c r="D300" t="inlineStr" s="5">
        <is>
          <t>晚餐</t>
        </is>
      </c>
      <c r="E300" s="6"/>
      <c r="F300" s="6"/>
      <c r="G300" s="6">
        <f>IF(AND(E300="",F300=""),"",F300-E300)</f>
      </c>
      <c r="H300" s="4"/>
      <c r="I300" s="5"/>
    </row>
    <row r="301" ht="21" customHeight="1">
      <c r="A301" s="3">
        <v>46218</v>
      </c>
      <c r="B301" t="inlineStr" s="4">
        <is>
          <t>星期三</t>
        </is>
      </c>
      <c r="C301" t="inlineStr" s="4">
        <is>
          <t>奶茶/咖啡</t>
        </is>
      </c>
      <c r="D301" t="inlineStr" s="5">
        <is>
          <t>奶茶/咖啡</t>
        </is>
      </c>
      <c r="E301" s="6"/>
      <c r="F301" s="6"/>
      <c r="G301" s="6">
        <f>IF(AND(E301="",F301=""),"",F301-E301)</f>
      </c>
      <c r="H301" s="4"/>
      <c r="I301" s="5"/>
    </row>
    <row r="302" ht="21" customHeight="1">
      <c r="A302" s="3">
        <v>46218</v>
      </c>
      <c r="B302" t="inlineStr" s="4">
        <is>
          <t>星期三</t>
        </is>
      </c>
      <c r="C302" t="inlineStr" s="4">
        <is>
          <t>其他</t>
        </is>
      </c>
      <c r="D302" t="inlineStr" s="5">
        <is>
          <t>其他</t>
        </is>
      </c>
      <c r="E302" s="6"/>
      <c r="F302" s="6"/>
      <c r="G302" s="6">
        <f>IF(AND(E302="",F302=""),"",F302-E302)</f>
      </c>
      <c r="H302" s="4"/>
      <c r="I302" s="5"/>
    </row>
    <row r="303" ht="21" customHeight="1">
      <c r="A303" s="3">
        <v>46218</v>
      </c>
      <c r="B303" t="inlineStr" s="4">
        <is>
          <t>星期三</t>
        </is>
      </c>
      <c r="C303" t="inlineStr" s="4">
        <is>
          <t>其他</t>
        </is>
      </c>
      <c r="D303" t="inlineStr" s="5">
        <is>
          <t>其他</t>
        </is>
      </c>
      <c r="E303" s="6"/>
      <c r="F303" s="6"/>
      <c r="G303" s="6">
        <f>IF(AND(E303="",F303=""),"",F303-E303)</f>
      </c>
      <c r="H303" s="4"/>
      <c r="I303" s="5"/>
    </row>
    <row r="304" ht="21" customHeight="1">
      <c r="A304" s="3">
        <v>46219</v>
      </c>
      <c r="B304" t="inlineStr" s="4">
        <is>
          <t>星期四</t>
        </is>
      </c>
      <c r="C304" t="inlineStr" s="4">
        <is>
          <t>餐饮</t>
        </is>
      </c>
      <c r="D304" t="inlineStr" s="5">
        <is>
          <t>早餐</t>
        </is>
      </c>
      <c r="E304" s="6"/>
      <c r="F304" s="6"/>
      <c r="G304" s="6">
        <f>IF(AND(E304="",F304=""),"",F304-E304)</f>
      </c>
      <c r="H304" s="4"/>
      <c r="I304" s="5"/>
    </row>
    <row r="305" ht="21" customHeight="1">
      <c r="A305" s="3">
        <v>46219</v>
      </c>
      <c r="B305" t="inlineStr" s="4">
        <is>
          <t>星期四</t>
        </is>
      </c>
      <c r="C305" t="inlineStr" s="4">
        <is>
          <t>餐饮</t>
        </is>
      </c>
      <c r="D305" t="inlineStr" s="5">
        <is>
          <t>中餐</t>
        </is>
      </c>
      <c r="E305" s="6"/>
      <c r="F305" s="6"/>
      <c r="G305" s="6">
        <f>IF(AND(E305="",F305=""),"",F305-E305)</f>
      </c>
      <c r="H305" s="4"/>
      <c r="I305" s="5"/>
    </row>
    <row r="306" ht="21" customHeight="1">
      <c r="A306" s="3">
        <v>46219</v>
      </c>
      <c r="B306" t="inlineStr" s="4">
        <is>
          <t>星期四</t>
        </is>
      </c>
      <c r="C306" t="inlineStr" s="4">
        <is>
          <t>餐饮</t>
        </is>
      </c>
      <c r="D306" t="inlineStr" s="5">
        <is>
          <t>晚餐</t>
        </is>
      </c>
      <c r="E306" s="6"/>
      <c r="F306" s="6"/>
      <c r="G306" s="6">
        <f>IF(AND(E306="",F306=""),"",F306-E306)</f>
      </c>
      <c r="H306" s="4"/>
      <c r="I306" s="5"/>
    </row>
    <row r="307" ht="21" customHeight="1">
      <c r="A307" s="3">
        <v>46219</v>
      </c>
      <c r="B307" t="inlineStr" s="4">
        <is>
          <t>星期四</t>
        </is>
      </c>
      <c r="C307" t="inlineStr" s="4">
        <is>
          <t>奶茶/咖啡</t>
        </is>
      </c>
      <c r="D307" t="inlineStr" s="5">
        <is>
          <t>奶茶/咖啡</t>
        </is>
      </c>
      <c r="E307" s="6"/>
      <c r="F307" s="6"/>
      <c r="G307" s="6">
        <f>IF(AND(E307="",F307=""),"",F307-E307)</f>
      </c>
      <c r="H307" s="4"/>
      <c r="I307" s="5"/>
    </row>
    <row r="308" ht="21" customHeight="1">
      <c r="A308" s="3">
        <v>46219</v>
      </c>
      <c r="B308" t="inlineStr" s="4">
        <is>
          <t>星期四</t>
        </is>
      </c>
      <c r="C308" t="inlineStr" s="4">
        <is>
          <t>其他</t>
        </is>
      </c>
      <c r="D308" t="inlineStr" s="5">
        <is>
          <t>其他</t>
        </is>
      </c>
      <c r="E308" s="6"/>
      <c r="F308" s="6"/>
      <c r="G308" s="6">
        <f>IF(AND(E308="",F308=""),"",F308-E308)</f>
      </c>
      <c r="H308" s="4"/>
      <c r="I308" s="5"/>
    </row>
    <row r="309" ht="21" customHeight="1">
      <c r="A309" s="3">
        <v>46219</v>
      </c>
      <c r="B309" t="inlineStr" s="4">
        <is>
          <t>星期四</t>
        </is>
      </c>
      <c r="C309" t="inlineStr" s="4">
        <is>
          <t>其他</t>
        </is>
      </c>
      <c r="D309" t="inlineStr" s="5">
        <is>
          <t>其他</t>
        </is>
      </c>
      <c r="E309" s="6"/>
      <c r="F309" s="6"/>
      <c r="G309" s="6">
        <f>IF(AND(E309="",F309=""),"",F309-E309)</f>
      </c>
      <c r="H309" s="4"/>
      <c r="I309" s="5"/>
    </row>
    <row r="310" ht="21" customHeight="1">
      <c r="A310" s="3">
        <v>46220</v>
      </c>
      <c r="B310" t="inlineStr" s="4">
        <is>
          <t>星期五</t>
        </is>
      </c>
      <c r="C310" t="inlineStr" s="4">
        <is>
          <t>餐饮</t>
        </is>
      </c>
      <c r="D310" t="inlineStr" s="5">
        <is>
          <t>早餐</t>
        </is>
      </c>
      <c r="E310" s="6"/>
      <c r="F310" s="6"/>
      <c r="G310" s="6">
        <f>IF(AND(E310="",F310=""),"",F310-E310)</f>
      </c>
      <c r="H310" s="4"/>
      <c r="I310" s="5"/>
    </row>
    <row r="311" ht="21" customHeight="1">
      <c r="A311" s="3">
        <v>46220</v>
      </c>
      <c r="B311" t="inlineStr" s="4">
        <is>
          <t>星期五</t>
        </is>
      </c>
      <c r="C311" t="inlineStr" s="4">
        <is>
          <t>餐饮</t>
        </is>
      </c>
      <c r="D311" t="inlineStr" s="5">
        <is>
          <t>中餐</t>
        </is>
      </c>
      <c r="E311" s="6"/>
      <c r="F311" s="6"/>
      <c r="G311" s="6">
        <f>IF(AND(E311="",F311=""),"",F311-E311)</f>
      </c>
      <c r="H311" s="4"/>
      <c r="I311" s="5"/>
    </row>
    <row r="312" ht="21" customHeight="1">
      <c r="A312" s="3">
        <v>46220</v>
      </c>
      <c r="B312" t="inlineStr" s="4">
        <is>
          <t>星期五</t>
        </is>
      </c>
      <c r="C312" t="inlineStr" s="4">
        <is>
          <t>餐饮</t>
        </is>
      </c>
      <c r="D312" t="inlineStr" s="5">
        <is>
          <t>晚餐</t>
        </is>
      </c>
      <c r="E312" s="6"/>
      <c r="F312" s="6"/>
      <c r="G312" s="6">
        <f>IF(AND(E312="",F312=""),"",F312-E312)</f>
      </c>
      <c r="H312" s="4"/>
      <c r="I312" s="5"/>
    </row>
    <row r="313" ht="21" customHeight="1">
      <c r="A313" s="3">
        <v>46220</v>
      </c>
      <c r="B313" t="inlineStr" s="4">
        <is>
          <t>星期五</t>
        </is>
      </c>
      <c r="C313" t="inlineStr" s="4">
        <is>
          <t>奶茶/咖啡</t>
        </is>
      </c>
      <c r="D313" t="inlineStr" s="5">
        <is>
          <t>奶茶/咖啡</t>
        </is>
      </c>
      <c r="E313" s="6"/>
      <c r="F313" s="6"/>
      <c r="G313" s="6">
        <f>IF(AND(E313="",F313=""),"",F313-E313)</f>
      </c>
      <c r="H313" s="4"/>
      <c r="I313" s="5"/>
    </row>
    <row r="314" ht="21" customHeight="1">
      <c r="A314" s="3">
        <v>46220</v>
      </c>
      <c r="B314" t="inlineStr" s="4">
        <is>
          <t>星期五</t>
        </is>
      </c>
      <c r="C314" t="inlineStr" s="4">
        <is>
          <t>其他</t>
        </is>
      </c>
      <c r="D314" t="inlineStr" s="5">
        <is>
          <t>其他</t>
        </is>
      </c>
      <c r="E314" s="6"/>
      <c r="F314" s="6"/>
      <c r="G314" s="6">
        <f>IF(AND(E314="",F314=""),"",F314-E314)</f>
      </c>
      <c r="H314" s="4"/>
      <c r="I314" s="5"/>
    </row>
    <row r="315" ht="21" customHeight="1">
      <c r="A315" s="3">
        <v>46220</v>
      </c>
      <c r="B315" t="inlineStr" s="4">
        <is>
          <t>星期五</t>
        </is>
      </c>
      <c r="C315" t="inlineStr" s="4">
        <is>
          <t>其他</t>
        </is>
      </c>
      <c r="D315" t="inlineStr" s="5">
        <is>
          <t>其他</t>
        </is>
      </c>
      <c r="E315" s="6"/>
      <c r="F315" s="6"/>
      <c r="G315" s="6">
        <f>IF(AND(E315="",F315=""),"",F315-E315)</f>
      </c>
      <c r="H315" s="4"/>
      <c r="I315" s="5"/>
    </row>
    <row r="316" ht="21" customHeight="1">
      <c r="A316" s="3">
        <v>46221</v>
      </c>
      <c r="B316" t="inlineStr" s="4">
        <is>
          <t>星期六</t>
        </is>
      </c>
      <c r="C316" t="inlineStr" s="4">
        <is>
          <t>餐饮</t>
        </is>
      </c>
      <c r="D316" t="inlineStr" s="5">
        <is>
          <t>早餐</t>
        </is>
      </c>
      <c r="E316" s="6"/>
      <c r="F316" s="6"/>
      <c r="G316" s="6">
        <f>IF(AND(E316="",F316=""),"",F316-E316)</f>
      </c>
      <c r="H316" s="4"/>
      <c r="I316" s="5"/>
    </row>
    <row r="317" ht="21" customHeight="1">
      <c r="A317" s="3">
        <v>46221</v>
      </c>
      <c r="B317" t="inlineStr" s="4">
        <is>
          <t>星期六</t>
        </is>
      </c>
      <c r="C317" t="inlineStr" s="4">
        <is>
          <t>餐饮</t>
        </is>
      </c>
      <c r="D317" t="inlineStr" s="5">
        <is>
          <t>中餐</t>
        </is>
      </c>
      <c r="E317" s="6"/>
      <c r="F317" s="6"/>
      <c r="G317" s="6">
        <f>IF(AND(E317="",F317=""),"",F317-E317)</f>
      </c>
      <c r="H317" s="4"/>
      <c r="I317" s="5"/>
    </row>
    <row r="318" ht="21" customHeight="1">
      <c r="A318" s="3">
        <v>46221</v>
      </c>
      <c r="B318" t="inlineStr" s="4">
        <is>
          <t>星期六</t>
        </is>
      </c>
      <c r="C318" t="inlineStr" s="4">
        <is>
          <t>餐饮</t>
        </is>
      </c>
      <c r="D318" t="inlineStr" s="5">
        <is>
          <t>晚餐</t>
        </is>
      </c>
      <c r="E318" s="6"/>
      <c r="F318" s="6"/>
      <c r="G318" s="6">
        <f>IF(AND(E318="",F318=""),"",F318-E318)</f>
      </c>
      <c r="H318" s="4"/>
      <c r="I318" s="5"/>
    </row>
    <row r="319" ht="21" customHeight="1">
      <c r="A319" s="3">
        <v>46221</v>
      </c>
      <c r="B319" t="inlineStr" s="4">
        <is>
          <t>星期六</t>
        </is>
      </c>
      <c r="C319" t="inlineStr" s="4">
        <is>
          <t>奶茶/咖啡</t>
        </is>
      </c>
      <c r="D319" t="inlineStr" s="5">
        <is>
          <t>奶茶/咖啡</t>
        </is>
      </c>
      <c r="E319" s="6"/>
      <c r="F319" s="6"/>
      <c r="G319" s="6">
        <f>IF(AND(E319="",F319=""),"",F319-E319)</f>
      </c>
      <c r="H319" s="4"/>
      <c r="I319" s="5"/>
    </row>
    <row r="320" ht="21" customHeight="1">
      <c r="A320" s="3">
        <v>46221</v>
      </c>
      <c r="B320" t="inlineStr" s="4">
        <is>
          <t>星期六</t>
        </is>
      </c>
      <c r="C320" t="inlineStr" s="4">
        <is>
          <t>其他</t>
        </is>
      </c>
      <c r="D320" t="inlineStr" s="5">
        <is>
          <t>其他</t>
        </is>
      </c>
      <c r="E320" s="6"/>
      <c r="F320" s="6"/>
      <c r="G320" s="6">
        <f>IF(AND(E320="",F320=""),"",F320-E320)</f>
      </c>
      <c r="H320" s="4"/>
      <c r="I320" s="5"/>
    </row>
    <row r="321" ht="21" customHeight="1">
      <c r="A321" s="3">
        <v>46221</v>
      </c>
      <c r="B321" t="inlineStr" s="4">
        <is>
          <t>星期六</t>
        </is>
      </c>
      <c r="C321" t="inlineStr" s="4">
        <is>
          <t>其他</t>
        </is>
      </c>
      <c r="D321" t="inlineStr" s="5">
        <is>
          <t>其他</t>
        </is>
      </c>
      <c r="E321" s="6"/>
      <c r="F321" s="6"/>
      <c r="G321" s="6">
        <f>IF(AND(E321="",F321=""),"",F321-E321)</f>
      </c>
      <c r="H321" s="4"/>
      <c r="I321" s="5"/>
    </row>
    <row r="322" ht="21" customHeight="1">
      <c r="A322" s="3">
        <v>46222</v>
      </c>
      <c r="B322" t="inlineStr" s="4">
        <is>
          <t>星期日</t>
        </is>
      </c>
      <c r="C322" t="inlineStr" s="4">
        <is>
          <t>餐饮</t>
        </is>
      </c>
      <c r="D322" t="inlineStr" s="5">
        <is>
          <t>早餐</t>
        </is>
      </c>
      <c r="E322" s="6"/>
      <c r="F322" s="6"/>
      <c r="G322" s="6">
        <f>IF(AND(E322="",F322=""),"",F322-E322)</f>
      </c>
      <c r="H322" s="4"/>
      <c r="I322" s="5"/>
    </row>
    <row r="323" ht="21" customHeight="1">
      <c r="A323" s="3">
        <v>46222</v>
      </c>
      <c r="B323" t="inlineStr" s="4">
        <is>
          <t>星期日</t>
        </is>
      </c>
      <c r="C323" t="inlineStr" s="4">
        <is>
          <t>餐饮</t>
        </is>
      </c>
      <c r="D323" t="inlineStr" s="5">
        <is>
          <t>中餐</t>
        </is>
      </c>
      <c r="E323" s="6"/>
      <c r="F323" s="6"/>
      <c r="G323" s="6">
        <f>IF(AND(E323="",F323=""),"",F323-E323)</f>
      </c>
      <c r="H323" s="4"/>
      <c r="I323" s="5"/>
    </row>
    <row r="324" ht="21" customHeight="1">
      <c r="A324" s="3">
        <v>46222</v>
      </c>
      <c r="B324" t="inlineStr" s="4">
        <is>
          <t>星期日</t>
        </is>
      </c>
      <c r="C324" t="inlineStr" s="4">
        <is>
          <t>餐饮</t>
        </is>
      </c>
      <c r="D324" t="inlineStr" s="5">
        <is>
          <t>晚餐</t>
        </is>
      </c>
      <c r="E324" s="6"/>
      <c r="F324" s="6"/>
      <c r="G324" s="6">
        <f>IF(AND(E324="",F324=""),"",F324-E324)</f>
      </c>
      <c r="H324" s="4"/>
      <c r="I324" s="5"/>
    </row>
    <row r="325" ht="21" customHeight="1">
      <c r="A325" s="3">
        <v>46222</v>
      </c>
      <c r="B325" t="inlineStr" s="4">
        <is>
          <t>星期日</t>
        </is>
      </c>
      <c r="C325" t="inlineStr" s="4">
        <is>
          <t>奶茶/咖啡</t>
        </is>
      </c>
      <c r="D325" t="inlineStr" s="5">
        <is>
          <t>奶茶/咖啡</t>
        </is>
      </c>
      <c r="E325" s="6"/>
      <c r="F325" s="6"/>
      <c r="G325" s="6">
        <f>IF(AND(E325="",F325=""),"",F325-E325)</f>
      </c>
      <c r="H325" s="4"/>
      <c r="I325" s="5"/>
    </row>
    <row r="326" ht="21" customHeight="1">
      <c r="A326" s="3">
        <v>46222</v>
      </c>
      <c r="B326" t="inlineStr" s="4">
        <is>
          <t>星期日</t>
        </is>
      </c>
      <c r="C326" t="inlineStr" s="4">
        <is>
          <t>其他</t>
        </is>
      </c>
      <c r="D326" t="inlineStr" s="5">
        <is>
          <t>其他</t>
        </is>
      </c>
      <c r="E326" s="6"/>
      <c r="F326" s="6"/>
      <c r="G326" s="6">
        <f>IF(AND(E326="",F326=""),"",F326-E326)</f>
      </c>
      <c r="H326" s="4"/>
      <c r="I326" s="5"/>
    </row>
    <row r="327" ht="21" customHeight="1">
      <c r="A327" s="3">
        <v>46222</v>
      </c>
      <c r="B327" t="inlineStr" s="4">
        <is>
          <t>星期日</t>
        </is>
      </c>
      <c r="C327" t="inlineStr" s="4">
        <is>
          <t>其他</t>
        </is>
      </c>
      <c r="D327" t="inlineStr" s="5">
        <is>
          <t>其他</t>
        </is>
      </c>
      <c r="E327" s="6"/>
      <c r="F327" s="6"/>
      <c r="G327" s="6">
        <f>IF(AND(E327="",F327=""),"",F327-E327)</f>
      </c>
      <c r="H327" s="4"/>
      <c r="I327" s="5"/>
    </row>
    <row r="328" ht="23" customHeight="1">
      <c r="A328" t="inlineStr" s="7">
        <is>
          <t>本周小计</t>
        </is>
      </c>
      <c r="B328" s="7"/>
      <c r="C328" s="7"/>
      <c r="D328" s="7"/>
      <c r="E328" s="8">
        <f>SUM(E286:E327)</f>
      </c>
      <c r="F328" s="8">
        <f>SUM(F286:F327)</f>
      </c>
      <c r="G328" s="8">
        <f>SUM(G286:G327)</f>
      </c>
      <c r="H328" s="7"/>
      <c r="I328" s="7"/>
    </row>
    <row r="329" ht="18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8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26" customHeight="1">
      <c r="A331" t="inlineStr" s="2">
        <is>
          <t>2026年7月｜第三周（7月20日 - 7月26日）</t>
        </is>
      </c>
      <c r="B331" s="2"/>
      <c r="C331" s="2"/>
      <c r="D331" s="2"/>
      <c r="E331" s="2"/>
      <c r="F331" s="2"/>
      <c r="G331" s="2"/>
      <c r="H331" s="2"/>
      <c r="I331" s="2"/>
    </row>
    <row r="332" ht="22" customHeight="1">
      <c r="A332" t="inlineStr" s="1">
        <is>
          <t>日期</t>
        </is>
      </c>
      <c r="B332" t="inlineStr" s="1">
        <is>
          <t>星期</t>
        </is>
      </c>
      <c r="C332" t="inlineStr" s="1">
        <is>
          <t>分类</t>
        </is>
      </c>
      <c r="D332" t="inlineStr" s="1">
        <is>
          <t>事项</t>
        </is>
      </c>
      <c r="E332" t="inlineStr" s="1">
        <is>
          <t>支出金额</t>
        </is>
      </c>
      <c r="F332" t="inlineStr" s="1">
        <is>
          <t>收入金额</t>
        </is>
      </c>
      <c r="G332" t="inlineStr" s="1">
        <is>
          <t>当笔净额</t>
        </is>
      </c>
      <c r="H332" t="inlineStr" s="1">
        <is>
          <t>支付方式</t>
        </is>
      </c>
      <c r="I332" t="inlineStr" s="1">
        <is>
          <t>备注</t>
        </is>
      </c>
    </row>
    <row r="333" ht="21" customHeight="1">
      <c r="A333" s="3">
        <v>46223</v>
      </c>
      <c r="B333" t="inlineStr" s="4">
        <is>
          <t>星期一</t>
        </is>
      </c>
      <c r="C333" t="inlineStr" s="4">
        <is>
          <t>餐饮</t>
        </is>
      </c>
      <c r="D333" t="inlineStr" s="5">
        <is>
          <t>早餐</t>
        </is>
      </c>
      <c r="E333" s="6"/>
      <c r="F333" s="6"/>
      <c r="G333" s="6">
        <f>IF(AND(E333="",F333=""),"",F333-E333)</f>
      </c>
      <c r="H333" s="4"/>
      <c r="I333" s="5"/>
    </row>
    <row r="334" ht="21" customHeight="1">
      <c r="A334" s="3">
        <v>46223</v>
      </c>
      <c r="B334" t="inlineStr" s="4">
        <is>
          <t>星期一</t>
        </is>
      </c>
      <c r="C334" t="inlineStr" s="4">
        <is>
          <t>餐饮</t>
        </is>
      </c>
      <c r="D334" t="inlineStr" s="5">
        <is>
          <t>中餐</t>
        </is>
      </c>
      <c r="E334" s="6"/>
      <c r="F334" s="6"/>
      <c r="G334" s="6">
        <f>IF(AND(E334="",F334=""),"",F334-E334)</f>
      </c>
      <c r="H334" s="4"/>
      <c r="I334" s="5"/>
    </row>
    <row r="335" ht="21" customHeight="1">
      <c r="A335" s="3">
        <v>46223</v>
      </c>
      <c r="B335" t="inlineStr" s="4">
        <is>
          <t>星期一</t>
        </is>
      </c>
      <c r="C335" t="inlineStr" s="4">
        <is>
          <t>餐饮</t>
        </is>
      </c>
      <c r="D335" t="inlineStr" s="5">
        <is>
          <t>晚餐</t>
        </is>
      </c>
      <c r="E335" s="6"/>
      <c r="F335" s="6"/>
      <c r="G335" s="6">
        <f>IF(AND(E335="",F335=""),"",F335-E335)</f>
      </c>
      <c r="H335" s="4"/>
      <c r="I335" s="5"/>
    </row>
    <row r="336" ht="21" customHeight="1">
      <c r="A336" s="3">
        <v>46223</v>
      </c>
      <c r="B336" t="inlineStr" s="4">
        <is>
          <t>星期一</t>
        </is>
      </c>
      <c r="C336" t="inlineStr" s="4">
        <is>
          <t>奶茶/咖啡</t>
        </is>
      </c>
      <c r="D336" t="inlineStr" s="5">
        <is>
          <t>奶茶/咖啡</t>
        </is>
      </c>
      <c r="E336" s="6"/>
      <c r="F336" s="6"/>
      <c r="G336" s="6">
        <f>IF(AND(E336="",F336=""),"",F336-E336)</f>
      </c>
      <c r="H336" s="4"/>
      <c r="I336" s="5"/>
    </row>
    <row r="337" ht="21" customHeight="1">
      <c r="A337" s="3">
        <v>46223</v>
      </c>
      <c r="B337" t="inlineStr" s="4">
        <is>
          <t>星期一</t>
        </is>
      </c>
      <c r="C337" t="inlineStr" s="4">
        <is>
          <t>其他</t>
        </is>
      </c>
      <c r="D337" t="inlineStr" s="5">
        <is>
          <t>其他</t>
        </is>
      </c>
      <c r="E337" s="6"/>
      <c r="F337" s="6"/>
      <c r="G337" s="6">
        <f>IF(AND(E337="",F337=""),"",F337-E337)</f>
      </c>
      <c r="H337" s="4"/>
      <c r="I337" s="5"/>
    </row>
    <row r="338" ht="21" customHeight="1">
      <c r="A338" s="3">
        <v>46223</v>
      </c>
      <c r="B338" t="inlineStr" s="4">
        <is>
          <t>星期一</t>
        </is>
      </c>
      <c r="C338" t="inlineStr" s="4">
        <is>
          <t>其他</t>
        </is>
      </c>
      <c r="D338" t="inlineStr" s="5">
        <is>
          <t>其他</t>
        </is>
      </c>
      <c r="E338" s="6"/>
      <c r="F338" s="6"/>
      <c r="G338" s="6">
        <f>IF(AND(E338="",F338=""),"",F338-E338)</f>
      </c>
      <c r="H338" s="4"/>
      <c r="I338" s="5"/>
    </row>
    <row r="339" ht="21" customHeight="1">
      <c r="A339" s="3">
        <v>46224</v>
      </c>
      <c r="B339" t="inlineStr" s="4">
        <is>
          <t>星期二</t>
        </is>
      </c>
      <c r="C339" t="inlineStr" s="4">
        <is>
          <t>餐饮</t>
        </is>
      </c>
      <c r="D339" t="inlineStr" s="5">
        <is>
          <t>早餐</t>
        </is>
      </c>
      <c r="E339" s="6"/>
      <c r="F339" s="6"/>
      <c r="G339" s="6">
        <f>IF(AND(E339="",F339=""),"",F339-E339)</f>
      </c>
      <c r="H339" s="4"/>
      <c r="I339" s="5"/>
    </row>
    <row r="340" ht="21" customHeight="1">
      <c r="A340" s="3">
        <v>46224</v>
      </c>
      <c r="B340" t="inlineStr" s="4">
        <is>
          <t>星期二</t>
        </is>
      </c>
      <c r="C340" t="inlineStr" s="4">
        <is>
          <t>餐饮</t>
        </is>
      </c>
      <c r="D340" t="inlineStr" s="5">
        <is>
          <t>中餐</t>
        </is>
      </c>
      <c r="E340" s="6"/>
      <c r="F340" s="6"/>
      <c r="G340" s="6">
        <f>IF(AND(E340="",F340=""),"",F340-E340)</f>
      </c>
      <c r="H340" s="4"/>
      <c r="I340" s="5"/>
    </row>
    <row r="341" ht="21" customHeight="1">
      <c r="A341" s="3">
        <v>46224</v>
      </c>
      <c r="B341" t="inlineStr" s="4">
        <is>
          <t>星期二</t>
        </is>
      </c>
      <c r="C341" t="inlineStr" s="4">
        <is>
          <t>餐饮</t>
        </is>
      </c>
      <c r="D341" t="inlineStr" s="5">
        <is>
          <t>晚餐</t>
        </is>
      </c>
      <c r="E341" s="6"/>
      <c r="F341" s="6"/>
      <c r="G341" s="6">
        <f>IF(AND(E341="",F341=""),"",F341-E341)</f>
      </c>
      <c r="H341" s="4"/>
      <c r="I341" s="5"/>
    </row>
    <row r="342" ht="21" customHeight="1">
      <c r="A342" s="3">
        <v>46224</v>
      </c>
      <c r="B342" t="inlineStr" s="4">
        <is>
          <t>星期二</t>
        </is>
      </c>
      <c r="C342" t="inlineStr" s="4">
        <is>
          <t>奶茶/咖啡</t>
        </is>
      </c>
      <c r="D342" t="inlineStr" s="5">
        <is>
          <t>奶茶/咖啡</t>
        </is>
      </c>
      <c r="E342" s="6"/>
      <c r="F342" s="6"/>
      <c r="G342" s="6">
        <f>IF(AND(E342="",F342=""),"",F342-E342)</f>
      </c>
      <c r="H342" s="4"/>
      <c r="I342" s="5"/>
    </row>
    <row r="343" ht="21" customHeight="1">
      <c r="A343" s="3">
        <v>46224</v>
      </c>
      <c r="B343" t="inlineStr" s="4">
        <is>
          <t>星期二</t>
        </is>
      </c>
      <c r="C343" t="inlineStr" s="4">
        <is>
          <t>其他</t>
        </is>
      </c>
      <c r="D343" t="inlineStr" s="5">
        <is>
          <t>其他</t>
        </is>
      </c>
      <c r="E343" s="6"/>
      <c r="F343" s="6"/>
      <c r="G343" s="6">
        <f>IF(AND(E343="",F343=""),"",F343-E343)</f>
      </c>
      <c r="H343" s="4"/>
      <c r="I343" s="5"/>
    </row>
    <row r="344" ht="21" customHeight="1">
      <c r="A344" s="3">
        <v>46224</v>
      </c>
      <c r="B344" t="inlineStr" s="4">
        <is>
          <t>星期二</t>
        </is>
      </c>
      <c r="C344" t="inlineStr" s="4">
        <is>
          <t>其他</t>
        </is>
      </c>
      <c r="D344" t="inlineStr" s="5">
        <is>
          <t>其他</t>
        </is>
      </c>
      <c r="E344" s="6"/>
      <c r="F344" s="6"/>
      <c r="G344" s="6">
        <f>IF(AND(E344="",F344=""),"",F344-E344)</f>
      </c>
      <c r="H344" s="4"/>
      <c r="I344" s="5"/>
    </row>
    <row r="345" ht="21" customHeight="1">
      <c r="A345" s="3">
        <v>46225</v>
      </c>
      <c r="B345" t="inlineStr" s="4">
        <is>
          <t>星期三</t>
        </is>
      </c>
      <c r="C345" t="inlineStr" s="4">
        <is>
          <t>餐饮</t>
        </is>
      </c>
      <c r="D345" t="inlineStr" s="5">
        <is>
          <t>早餐</t>
        </is>
      </c>
      <c r="E345" s="6"/>
      <c r="F345" s="6"/>
      <c r="G345" s="6">
        <f>IF(AND(E345="",F345=""),"",F345-E345)</f>
      </c>
      <c r="H345" s="4"/>
      <c r="I345" s="5"/>
    </row>
    <row r="346" ht="21" customHeight="1">
      <c r="A346" s="3">
        <v>46225</v>
      </c>
      <c r="B346" t="inlineStr" s="4">
        <is>
          <t>星期三</t>
        </is>
      </c>
      <c r="C346" t="inlineStr" s="4">
        <is>
          <t>餐饮</t>
        </is>
      </c>
      <c r="D346" t="inlineStr" s="5">
        <is>
          <t>中餐</t>
        </is>
      </c>
      <c r="E346" s="6"/>
      <c r="F346" s="6"/>
      <c r="G346" s="6">
        <f>IF(AND(E346="",F346=""),"",F346-E346)</f>
      </c>
      <c r="H346" s="4"/>
      <c r="I346" s="5"/>
    </row>
    <row r="347" ht="21" customHeight="1">
      <c r="A347" s="3">
        <v>46225</v>
      </c>
      <c r="B347" t="inlineStr" s="4">
        <is>
          <t>星期三</t>
        </is>
      </c>
      <c r="C347" t="inlineStr" s="4">
        <is>
          <t>餐饮</t>
        </is>
      </c>
      <c r="D347" t="inlineStr" s="5">
        <is>
          <t>晚餐</t>
        </is>
      </c>
      <c r="E347" s="6"/>
      <c r="F347" s="6"/>
      <c r="G347" s="6">
        <f>IF(AND(E347="",F347=""),"",F347-E347)</f>
      </c>
      <c r="H347" s="4"/>
      <c r="I347" s="5"/>
    </row>
    <row r="348" ht="21" customHeight="1">
      <c r="A348" s="3">
        <v>46225</v>
      </c>
      <c r="B348" t="inlineStr" s="4">
        <is>
          <t>星期三</t>
        </is>
      </c>
      <c r="C348" t="inlineStr" s="4">
        <is>
          <t>奶茶/咖啡</t>
        </is>
      </c>
      <c r="D348" t="inlineStr" s="5">
        <is>
          <t>奶茶/咖啡</t>
        </is>
      </c>
      <c r="E348" s="6"/>
      <c r="F348" s="6"/>
      <c r="G348" s="6">
        <f>IF(AND(E348="",F348=""),"",F348-E348)</f>
      </c>
      <c r="H348" s="4"/>
      <c r="I348" s="5"/>
    </row>
    <row r="349" ht="21" customHeight="1">
      <c r="A349" s="3">
        <v>46225</v>
      </c>
      <c r="B349" t="inlineStr" s="4">
        <is>
          <t>星期三</t>
        </is>
      </c>
      <c r="C349" t="inlineStr" s="4">
        <is>
          <t>其他</t>
        </is>
      </c>
      <c r="D349" t="inlineStr" s="5">
        <is>
          <t>其他</t>
        </is>
      </c>
      <c r="E349" s="6"/>
      <c r="F349" s="6"/>
      <c r="G349" s="6">
        <f>IF(AND(E349="",F349=""),"",F349-E349)</f>
      </c>
      <c r="H349" s="4"/>
      <c r="I349" s="5"/>
    </row>
    <row r="350" ht="21" customHeight="1">
      <c r="A350" s="3">
        <v>46225</v>
      </c>
      <c r="B350" t="inlineStr" s="4">
        <is>
          <t>星期三</t>
        </is>
      </c>
      <c r="C350" t="inlineStr" s="4">
        <is>
          <t>其他</t>
        </is>
      </c>
      <c r="D350" t="inlineStr" s="5">
        <is>
          <t>其他</t>
        </is>
      </c>
      <c r="E350" s="6"/>
      <c r="F350" s="6"/>
      <c r="G350" s="6">
        <f>IF(AND(E350="",F350=""),"",F350-E350)</f>
      </c>
      <c r="H350" s="4"/>
      <c r="I350" s="5"/>
    </row>
    <row r="351" ht="21" customHeight="1">
      <c r="A351" s="3">
        <v>46226</v>
      </c>
      <c r="B351" t="inlineStr" s="4">
        <is>
          <t>星期四</t>
        </is>
      </c>
      <c r="C351" t="inlineStr" s="4">
        <is>
          <t>餐饮</t>
        </is>
      </c>
      <c r="D351" t="inlineStr" s="5">
        <is>
          <t>早餐</t>
        </is>
      </c>
      <c r="E351" s="6"/>
      <c r="F351" s="6"/>
      <c r="G351" s="6">
        <f>IF(AND(E351="",F351=""),"",F351-E351)</f>
      </c>
      <c r="H351" s="4"/>
      <c r="I351" s="5"/>
    </row>
    <row r="352" ht="21" customHeight="1">
      <c r="A352" s="3">
        <v>46226</v>
      </c>
      <c r="B352" t="inlineStr" s="4">
        <is>
          <t>星期四</t>
        </is>
      </c>
      <c r="C352" t="inlineStr" s="4">
        <is>
          <t>餐饮</t>
        </is>
      </c>
      <c r="D352" t="inlineStr" s="5">
        <is>
          <t>中餐</t>
        </is>
      </c>
      <c r="E352" s="6"/>
      <c r="F352" s="6"/>
      <c r="G352" s="6">
        <f>IF(AND(E352="",F352=""),"",F352-E352)</f>
      </c>
      <c r="H352" s="4"/>
      <c r="I352" s="5"/>
    </row>
    <row r="353" ht="21" customHeight="1">
      <c r="A353" s="3">
        <v>46226</v>
      </c>
      <c r="B353" t="inlineStr" s="4">
        <is>
          <t>星期四</t>
        </is>
      </c>
      <c r="C353" t="inlineStr" s="4">
        <is>
          <t>餐饮</t>
        </is>
      </c>
      <c r="D353" t="inlineStr" s="5">
        <is>
          <t>晚餐</t>
        </is>
      </c>
      <c r="E353" s="6"/>
      <c r="F353" s="6"/>
      <c r="G353" s="6">
        <f>IF(AND(E353="",F353=""),"",F353-E353)</f>
      </c>
      <c r="H353" s="4"/>
      <c r="I353" s="5"/>
    </row>
    <row r="354" ht="21" customHeight="1">
      <c r="A354" s="3">
        <v>46226</v>
      </c>
      <c r="B354" t="inlineStr" s="4">
        <is>
          <t>星期四</t>
        </is>
      </c>
      <c r="C354" t="inlineStr" s="4">
        <is>
          <t>奶茶/咖啡</t>
        </is>
      </c>
      <c r="D354" t="inlineStr" s="5">
        <is>
          <t>奶茶/咖啡</t>
        </is>
      </c>
      <c r="E354" s="6"/>
      <c r="F354" s="6"/>
      <c r="G354" s="6">
        <f>IF(AND(E354="",F354=""),"",F354-E354)</f>
      </c>
      <c r="H354" s="4"/>
      <c r="I354" s="5"/>
    </row>
    <row r="355" ht="21" customHeight="1">
      <c r="A355" s="3">
        <v>46226</v>
      </c>
      <c r="B355" t="inlineStr" s="4">
        <is>
          <t>星期四</t>
        </is>
      </c>
      <c r="C355" t="inlineStr" s="4">
        <is>
          <t>其他</t>
        </is>
      </c>
      <c r="D355" t="inlineStr" s="5">
        <is>
          <t>其他</t>
        </is>
      </c>
      <c r="E355" s="6"/>
      <c r="F355" s="6"/>
      <c r="G355" s="6">
        <f>IF(AND(E355="",F355=""),"",F355-E355)</f>
      </c>
      <c r="H355" s="4"/>
      <c r="I355" s="5"/>
    </row>
    <row r="356" ht="21" customHeight="1">
      <c r="A356" s="3">
        <v>46226</v>
      </c>
      <c r="B356" t="inlineStr" s="4">
        <is>
          <t>星期四</t>
        </is>
      </c>
      <c r="C356" t="inlineStr" s="4">
        <is>
          <t>其他</t>
        </is>
      </c>
      <c r="D356" t="inlineStr" s="5">
        <is>
          <t>其他</t>
        </is>
      </c>
      <c r="E356" s="6"/>
      <c r="F356" s="6"/>
      <c r="G356" s="6">
        <f>IF(AND(E356="",F356=""),"",F356-E356)</f>
      </c>
      <c r="H356" s="4"/>
      <c r="I356" s="5"/>
    </row>
    <row r="357" ht="21" customHeight="1">
      <c r="A357" s="3">
        <v>46227</v>
      </c>
      <c r="B357" t="inlineStr" s="4">
        <is>
          <t>星期五</t>
        </is>
      </c>
      <c r="C357" t="inlineStr" s="4">
        <is>
          <t>餐饮</t>
        </is>
      </c>
      <c r="D357" t="inlineStr" s="5">
        <is>
          <t>早餐</t>
        </is>
      </c>
      <c r="E357" s="6"/>
      <c r="F357" s="6"/>
      <c r="G357" s="6">
        <f>IF(AND(E357="",F357=""),"",F357-E357)</f>
      </c>
      <c r="H357" s="4"/>
      <c r="I357" s="5"/>
    </row>
    <row r="358" ht="21" customHeight="1">
      <c r="A358" s="3">
        <v>46227</v>
      </c>
      <c r="B358" t="inlineStr" s="4">
        <is>
          <t>星期五</t>
        </is>
      </c>
      <c r="C358" t="inlineStr" s="4">
        <is>
          <t>餐饮</t>
        </is>
      </c>
      <c r="D358" t="inlineStr" s="5">
        <is>
          <t>中餐</t>
        </is>
      </c>
      <c r="E358" s="6"/>
      <c r="F358" s="6"/>
      <c r="G358" s="6">
        <f>IF(AND(E358="",F358=""),"",F358-E358)</f>
      </c>
      <c r="H358" s="4"/>
      <c r="I358" s="5"/>
    </row>
    <row r="359" ht="21" customHeight="1">
      <c r="A359" s="3">
        <v>46227</v>
      </c>
      <c r="B359" t="inlineStr" s="4">
        <is>
          <t>星期五</t>
        </is>
      </c>
      <c r="C359" t="inlineStr" s="4">
        <is>
          <t>餐饮</t>
        </is>
      </c>
      <c r="D359" t="inlineStr" s="5">
        <is>
          <t>晚餐</t>
        </is>
      </c>
      <c r="E359" s="6"/>
      <c r="F359" s="6"/>
      <c r="G359" s="6">
        <f>IF(AND(E359="",F359=""),"",F359-E359)</f>
      </c>
      <c r="H359" s="4"/>
      <c r="I359" s="5"/>
    </row>
    <row r="360" ht="21" customHeight="1">
      <c r="A360" s="3">
        <v>46227</v>
      </c>
      <c r="B360" t="inlineStr" s="4">
        <is>
          <t>星期五</t>
        </is>
      </c>
      <c r="C360" t="inlineStr" s="4">
        <is>
          <t>奶茶/咖啡</t>
        </is>
      </c>
      <c r="D360" t="inlineStr" s="5">
        <is>
          <t>奶茶/咖啡</t>
        </is>
      </c>
      <c r="E360" s="6"/>
      <c r="F360" s="6"/>
      <c r="G360" s="6">
        <f>IF(AND(E360="",F360=""),"",F360-E360)</f>
      </c>
      <c r="H360" s="4"/>
      <c r="I360" s="5"/>
    </row>
    <row r="361" ht="21" customHeight="1">
      <c r="A361" s="3">
        <v>46227</v>
      </c>
      <c r="B361" t="inlineStr" s="4">
        <is>
          <t>星期五</t>
        </is>
      </c>
      <c r="C361" t="inlineStr" s="4">
        <is>
          <t>其他</t>
        </is>
      </c>
      <c r="D361" t="inlineStr" s="5">
        <is>
          <t>其他</t>
        </is>
      </c>
      <c r="E361" s="6"/>
      <c r="F361" s="6"/>
      <c r="G361" s="6">
        <f>IF(AND(E361="",F361=""),"",F361-E361)</f>
      </c>
      <c r="H361" s="4"/>
      <c r="I361" s="5"/>
    </row>
    <row r="362" ht="21" customHeight="1">
      <c r="A362" s="3">
        <v>46227</v>
      </c>
      <c r="B362" t="inlineStr" s="4">
        <is>
          <t>星期五</t>
        </is>
      </c>
      <c r="C362" t="inlineStr" s="4">
        <is>
          <t>其他</t>
        </is>
      </c>
      <c r="D362" t="inlineStr" s="5">
        <is>
          <t>其他</t>
        </is>
      </c>
      <c r="E362" s="6"/>
      <c r="F362" s="6"/>
      <c r="G362" s="6">
        <f>IF(AND(E362="",F362=""),"",F362-E362)</f>
      </c>
      <c r="H362" s="4"/>
      <c r="I362" s="5"/>
    </row>
    <row r="363" ht="21" customHeight="1">
      <c r="A363" s="3">
        <v>46228</v>
      </c>
      <c r="B363" t="inlineStr" s="4">
        <is>
          <t>星期六</t>
        </is>
      </c>
      <c r="C363" t="inlineStr" s="4">
        <is>
          <t>餐饮</t>
        </is>
      </c>
      <c r="D363" t="inlineStr" s="5">
        <is>
          <t>早餐</t>
        </is>
      </c>
      <c r="E363" s="6"/>
      <c r="F363" s="6"/>
      <c r="G363" s="6">
        <f>IF(AND(E363="",F363=""),"",F363-E363)</f>
      </c>
      <c r="H363" s="4"/>
      <c r="I363" s="5"/>
    </row>
    <row r="364" ht="21" customHeight="1">
      <c r="A364" s="3">
        <v>46228</v>
      </c>
      <c r="B364" t="inlineStr" s="4">
        <is>
          <t>星期六</t>
        </is>
      </c>
      <c r="C364" t="inlineStr" s="4">
        <is>
          <t>餐饮</t>
        </is>
      </c>
      <c r="D364" t="inlineStr" s="5">
        <is>
          <t>中餐</t>
        </is>
      </c>
      <c r="E364" s="6"/>
      <c r="F364" s="6"/>
      <c r="G364" s="6">
        <f>IF(AND(E364="",F364=""),"",F364-E364)</f>
      </c>
      <c r="H364" s="4"/>
      <c r="I364" s="5"/>
    </row>
    <row r="365" ht="21" customHeight="1">
      <c r="A365" s="3">
        <v>46228</v>
      </c>
      <c r="B365" t="inlineStr" s="4">
        <is>
          <t>星期六</t>
        </is>
      </c>
      <c r="C365" t="inlineStr" s="4">
        <is>
          <t>餐饮</t>
        </is>
      </c>
      <c r="D365" t="inlineStr" s="5">
        <is>
          <t>晚餐</t>
        </is>
      </c>
      <c r="E365" s="6"/>
      <c r="F365" s="6"/>
      <c r="G365" s="6">
        <f>IF(AND(E365="",F365=""),"",F365-E365)</f>
      </c>
      <c r="H365" s="4"/>
      <c r="I365" s="5"/>
    </row>
    <row r="366" ht="21" customHeight="1">
      <c r="A366" s="3">
        <v>46228</v>
      </c>
      <c r="B366" t="inlineStr" s="4">
        <is>
          <t>星期六</t>
        </is>
      </c>
      <c r="C366" t="inlineStr" s="4">
        <is>
          <t>奶茶/咖啡</t>
        </is>
      </c>
      <c r="D366" t="inlineStr" s="5">
        <is>
          <t>奶茶/咖啡</t>
        </is>
      </c>
      <c r="E366" s="6"/>
      <c r="F366" s="6"/>
      <c r="G366" s="6">
        <f>IF(AND(E366="",F366=""),"",F366-E366)</f>
      </c>
      <c r="H366" s="4"/>
      <c r="I366" s="5"/>
    </row>
    <row r="367" ht="21" customHeight="1">
      <c r="A367" s="3">
        <v>46228</v>
      </c>
      <c r="B367" t="inlineStr" s="4">
        <is>
          <t>星期六</t>
        </is>
      </c>
      <c r="C367" t="inlineStr" s="4">
        <is>
          <t>其他</t>
        </is>
      </c>
      <c r="D367" t="inlineStr" s="5">
        <is>
          <t>其他</t>
        </is>
      </c>
      <c r="E367" s="6"/>
      <c r="F367" s="6"/>
      <c r="G367" s="6">
        <f>IF(AND(E367="",F367=""),"",F367-E367)</f>
      </c>
      <c r="H367" s="4"/>
      <c r="I367" s="5"/>
    </row>
    <row r="368" ht="21" customHeight="1">
      <c r="A368" s="3">
        <v>46228</v>
      </c>
      <c r="B368" t="inlineStr" s="4">
        <is>
          <t>星期六</t>
        </is>
      </c>
      <c r="C368" t="inlineStr" s="4">
        <is>
          <t>其他</t>
        </is>
      </c>
      <c r="D368" t="inlineStr" s="5">
        <is>
          <t>其他</t>
        </is>
      </c>
      <c r="E368" s="6"/>
      <c r="F368" s="6"/>
      <c r="G368" s="6">
        <f>IF(AND(E368="",F368=""),"",F368-E368)</f>
      </c>
      <c r="H368" s="4"/>
      <c r="I368" s="5"/>
    </row>
    <row r="369" ht="21" customHeight="1">
      <c r="A369" s="3">
        <v>46229</v>
      </c>
      <c r="B369" t="inlineStr" s="4">
        <is>
          <t>星期日</t>
        </is>
      </c>
      <c r="C369" t="inlineStr" s="4">
        <is>
          <t>餐饮</t>
        </is>
      </c>
      <c r="D369" t="inlineStr" s="5">
        <is>
          <t>早餐</t>
        </is>
      </c>
      <c r="E369" s="6"/>
      <c r="F369" s="6"/>
      <c r="G369" s="6">
        <f>IF(AND(E369="",F369=""),"",F369-E369)</f>
      </c>
      <c r="H369" s="4"/>
      <c r="I369" s="5"/>
    </row>
    <row r="370" ht="21" customHeight="1">
      <c r="A370" s="3">
        <v>46229</v>
      </c>
      <c r="B370" t="inlineStr" s="4">
        <is>
          <t>星期日</t>
        </is>
      </c>
      <c r="C370" t="inlineStr" s="4">
        <is>
          <t>餐饮</t>
        </is>
      </c>
      <c r="D370" t="inlineStr" s="5">
        <is>
          <t>中餐</t>
        </is>
      </c>
      <c r="E370" s="6"/>
      <c r="F370" s="6"/>
      <c r="G370" s="6">
        <f>IF(AND(E370="",F370=""),"",F370-E370)</f>
      </c>
      <c r="H370" s="4"/>
      <c r="I370" s="5"/>
    </row>
    <row r="371" ht="21" customHeight="1">
      <c r="A371" s="3">
        <v>46229</v>
      </c>
      <c r="B371" t="inlineStr" s="4">
        <is>
          <t>星期日</t>
        </is>
      </c>
      <c r="C371" t="inlineStr" s="4">
        <is>
          <t>餐饮</t>
        </is>
      </c>
      <c r="D371" t="inlineStr" s="5">
        <is>
          <t>晚餐</t>
        </is>
      </c>
      <c r="E371" s="6"/>
      <c r="F371" s="6"/>
      <c r="G371" s="6">
        <f>IF(AND(E371="",F371=""),"",F371-E371)</f>
      </c>
      <c r="H371" s="4"/>
      <c r="I371" s="5"/>
    </row>
    <row r="372" ht="21" customHeight="1">
      <c r="A372" s="3">
        <v>46229</v>
      </c>
      <c r="B372" t="inlineStr" s="4">
        <is>
          <t>星期日</t>
        </is>
      </c>
      <c r="C372" t="inlineStr" s="4">
        <is>
          <t>奶茶/咖啡</t>
        </is>
      </c>
      <c r="D372" t="inlineStr" s="5">
        <is>
          <t>奶茶/咖啡</t>
        </is>
      </c>
      <c r="E372" s="6"/>
      <c r="F372" s="6"/>
      <c r="G372" s="6">
        <f>IF(AND(E372="",F372=""),"",F372-E372)</f>
      </c>
      <c r="H372" s="4"/>
      <c r="I372" s="5"/>
    </row>
    <row r="373" ht="21" customHeight="1">
      <c r="A373" s="3">
        <v>46229</v>
      </c>
      <c r="B373" t="inlineStr" s="4">
        <is>
          <t>星期日</t>
        </is>
      </c>
      <c r="C373" t="inlineStr" s="4">
        <is>
          <t>其他</t>
        </is>
      </c>
      <c r="D373" t="inlineStr" s="5">
        <is>
          <t>其他</t>
        </is>
      </c>
      <c r="E373" s="6"/>
      <c r="F373" s="6"/>
      <c r="G373" s="6">
        <f>IF(AND(E373="",F373=""),"",F373-E373)</f>
      </c>
      <c r="H373" s="4"/>
      <c r="I373" s="5"/>
    </row>
    <row r="374" ht="21" customHeight="1">
      <c r="A374" s="3">
        <v>46229</v>
      </c>
      <c r="B374" t="inlineStr" s="4">
        <is>
          <t>星期日</t>
        </is>
      </c>
      <c r="C374" t="inlineStr" s="4">
        <is>
          <t>其他</t>
        </is>
      </c>
      <c r="D374" t="inlineStr" s="5">
        <is>
          <t>其他</t>
        </is>
      </c>
      <c r="E374" s="6"/>
      <c r="F374" s="6"/>
      <c r="G374" s="6">
        <f>IF(AND(E374="",F374=""),"",F374-E374)</f>
      </c>
      <c r="H374" s="4"/>
      <c r="I374" s="5"/>
    </row>
    <row r="375" ht="23" customHeight="1">
      <c r="A375" t="inlineStr" s="7">
        <is>
          <t>本周小计</t>
        </is>
      </c>
      <c r="B375" s="7"/>
      <c r="C375" s="7"/>
      <c r="D375" s="7"/>
      <c r="E375" s="8">
        <f>SUM(E333:E374)</f>
      </c>
      <c r="F375" s="8">
        <f>SUM(F333:F374)</f>
      </c>
      <c r="G375" s="8">
        <f>SUM(G333:G374)</f>
      </c>
      <c r="H375" s="7"/>
      <c r="I375" s="7"/>
    </row>
    <row r="376" ht="18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8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26" customHeight="1">
      <c r="A378" t="inlineStr" s="2">
        <is>
          <t>2026年7月-8月｜第四周（7月27日 - 8月2日）</t>
        </is>
      </c>
      <c r="B378" s="2"/>
      <c r="C378" s="2"/>
      <c r="D378" s="2"/>
      <c r="E378" s="2"/>
      <c r="F378" s="2"/>
      <c r="G378" s="2"/>
      <c r="H378" s="2"/>
      <c r="I378" s="2"/>
    </row>
    <row r="379" ht="22" customHeight="1">
      <c r="A379" t="inlineStr" s="1">
        <is>
          <t>日期</t>
        </is>
      </c>
      <c r="B379" t="inlineStr" s="1">
        <is>
          <t>星期</t>
        </is>
      </c>
      <c r="C379" t="inlineStr" s="1">
        <is>
          <t>分类</t>
        </is>
      </c>
      <c r="D379" t="inlineStr" s="1">
        <is>
          <t>事项</t>
        </is>
      </c>
      <c r="E379" t="inlineStr" s="1">
        <is>
          <t>支出金额</t>
        </is>
      </c>
      <c r="F379" t="inlineStr" s="1">
        <is>
          <t>收入金额</t>
        </is>
      </c>
      <c r="G379" t="inlineStr" s="1">
        <is>
          <t>当笔净额</t>
        </is>
      </c>
      <c r="H379" t="inlineStr" s="1">
        <is>
          <t>支付方式</t>
        </is>
      </c>
      <c r="I379" t="inlineStr" s="1">
        <is>
          <t>备注</t>
        </is>
      </c>
    </row>
    <row r="380" ht="21" customHeight="1">
      <c r="A380" s="3">
        <v>46230</v>
      </c>
      <c r="B380" t="inlineStr" s="4">
        <is>
          <t>星期一</t>
        </is>
      </c>
      <c r="C380" t="inlineStr" s="4">
        <is>
          <t>餐饮</t>
        </is>
      </c>
      <c r="D380" t="inlineStr" s="5">
        <is>
          <t>早餐</t>
        </is>
      </c>
      <c r="E380" s="6"/>
      <c r="F380" s="6"/>
      <c r="G380" s="6">
        <f>IF(AND(E380="",F380=""),"",F380-E380)</f>
      </c>
      <c r="H380" s="4"/>
      <c r="I380" s="5"/>
    </row>
    <row r="381" ht="21" customHeight="1">
      <c r="A381" s="3">
        <v>46230</v>
      </c>
      <c r="B381" t="inlineStr" s="4">
        <is>
          <t>星期一</t>
        </is>
      </c>
      <c r="C381" t="inlineStr" s="4">
        <is>
          <t>餐饮</t>
        </is>
      </c>
      <c r="D381" t="inlineStr" s="5">
        <is>
          <t>中餐</t>
        </is>
      </c>
      <c r="E381" s="6"/>
      <c r="F381" s="6"/>
      <c r="G381" s="6">
        <f>IF(AND(E381="",F381=""),"",F381-E381)</f>
      </c>
      <c r="H381" s="4"/>
      <c r="I381" s="5"/>
    </row>
    <row r="382" ht="21" customHeight="1">
      <c r="A382" s="3">
        <v>46230</v>
      </c>
      <c r="B382" t="inlineStr" s="4">
        <is>
          <t>星期一</t>
        </is>
      </c>
      <c r="C382" t="inlineStr" s="4">
        <is>
          <t>餐饮</t>
        </is>
      </c>
      <c r="D382" t="inlineStr" s="5">
        <is>
          <t>晚餐</t>
        </is>
      </c>
      <c r="E382" s="6"/>
      <c r="F382" s="6"/>
      <c r="G382" s="6">
        <f>IF(AND(E382="",F382=""),"",F382-E382)</f>
      </c>
      <c r="H382" s="4"/>
      <c r="I382" s="5"/>
    </row>
    <row r="383" ht="21" customHeight="1">
      <c r="A383" s="3">
        <v>46230</v>
      </c>
      <c r="B383" t="inlineStr" s="4">
        <is>
          <t>星期一</t>
        </is>
      </c>
      <c r="C383" t="inlineStr" s="4">
        <is>
          <t>奶茶/咖啡</t>
        </is>
      </c>
      <c r="D383" t="inlineStr" s="5">
        <is>
          <t>奶茶/咖啡</t>
        </is>
      </c>
      <c r="E383" s="6"/>
      <c r="F383" s="6"/>
      <c r="G383" s="6">
        <f>IF(AND(E383="",F383=""),"",F383-E383)</f>
      </c>
      <c r="H383" s="4"/>
      <c r="I383" s="5"/>
    </row>
    <row r="384" ht="21" customHeight="1">
      <c r="A384" s="3">
        <v>46230</v>
      </c>
      <c r="B384" t="inlineStr" s="4">
        <is>
          <t>星期一</t>
        </is>
      </c>
      <c r="C384" t="inlineStr" s="4">
        <is>
          <t>其他</t>
        </is>
      </c>
      <c r="D384" t="inlineStr" s="5">
        <is>
          <t>其他</t>
        </is>
      </c>
      <c r="E384" s="6"/>
      <c r="F384" s="6"/>
      <c r="G384" s="6">
        <f>IF(AND(E384="",F384=""),"",F384-E384)</f>
      </c>
      <c r="H384" s="4"/>
      <c r="I384" s="5"/>
    </row>
    <row r="385" ht="21" customHeight="1">
      <c r="A385" s="3">
        <v>46230</v>
      </c>
      <c r="B385" t="inlineStr" s="4">
        <is>
          <t>星期一</t>
        </is>
      </c>
      <c r="C385" t="inlineStr" s="4">
        <is>
          <t>其他</t>
        </is>
      </c>
      <c r="D385" t="inlineStr" s="5">
        <is>
          <t>其他</t>
        </is>
      </c>
      <c r="E385" s="6"/>
      <c r="F385" s="6"/>
      <c r="G385" s="6">
        <f>IF(AND(E385="",F385=""),"",F385-E385)</f>
      </c>
      <c r="H385" s="4"/>
      <c r="I385" s="5"/>
    </row>
    <row r="386" ht="21" customHeight="1">
      <c r="A386" s="3">
        <v>46231</v>
      </c>
      <c r="B386" t="inlineStr" s="4">
        <is>
          <t>星期二</t>
        </is>
      </c>
      <c r="C386" t="inlineStr" s="4">
        <is>
          <t>餐饮</t>
        </is>
      </c>
      <c r="D386" t="inlineStr" s="5">
        <is>
          <t>早餐</t>
        </is>
      </c>
      <c r="E386" s="6"/>
      <c r="F386" s="6"/>
      <c r="G386" s="6">
        <f>IF(AND(E386="",F386=""),"",F386-E386)</f>
      </c>
      <c r="H386" s="4"/>
      <c r="I386" s="5"/>
    </row>
    <row r="387" ht="21" customHeight="1">
      <c r="A387" s="3">
        <v>46231</v>
      </c>
      <c r="B387" t="inlineStr" s="4">
        <is>
          <t>星期二</t>
        </is>
      </c>
      <c r="C387" t="inlineStr" s="4">
        <is>
          <t>餐饮</t>
        </is>
      </c>
      <c r="D387" t="inlineStr" s="5">
        <is>
          <t>中餐</t>
        </is>
      </c>
      <c r="E387" s="6"/>
      <c r="F387" s="6"/>
      <c r="G387" s="6">
        <f>IF(AND(E387="",F387=""),"",F387-E387)</f>
      </c>
      <c r="H387" s="4"/>
      <c r="I387" s="5"/>
    </row>
    <row r="388" ht="21" customHeight="1">
      <c r="A388" s="3">
        <v>46231</v>
      </c>
      <c r="B388" t="inlineStr" s="4">
        <is>
          <t>星期二</t>
        </is>
      </c>
      <c r="C388" t="inlineStr" s="4">
        <is>
          <t>餐饮</t>
        </is>
      </c>
      <c r="D388" t="inlineStr" s="5">
        <is>
          <t>晚餐</t>
        </is>
      </c>
      <c r="E388" s="6"/>
      <c r="F388" s="6"/>
      <c r="G388" s="6">
        <f>IF(AND(E388="",F388=""),"",F388-E388)</f>
      </c>
      <c r="H388" s="4"/>
      <c r="I388" s="5"/>
    </row>
    <row r="389" ht="21" customHeight="1">
      <c r="A389" s="3">
        <v>46231</v>
      </c>
      <c r="B389" t="inlineStr" s="4">
        <is>
          <t>星期二</t>
        </is>
      </c>
      <c r="C389" t="inlineStr" s="4">
        <is>
          <t>奶茶/咖啡</t>
        </is>
      </c>
      <c r="D389" t="inlineStr" s="5">
        <is>
          <t>奶茶/咖啡</t>
        </is>
      </c>
      <c r="E389" s="6"/>
      <c r="F389" s="6"/>
      <c r="G389" s="6">
        <f>IF(AND(E389="",F389=""),"",F389-E389)</f>
      </c>
      <c r="H389" s="4"/>
      <c r="I389" s="5"/>
    </row>
    <row r="390" ht="21" customHeight="1">
      <c r="A390" s="3">
        <v>46231</v>
      </c>
      <c r="B390" t="inlineStr" s="4">
        <is>
          <t>星期二</t>
        </is>
      </c>
      <c r="C390" t="inlineStr" s="4">
        <is>
          <t>其他</t>
        </is>
      </c>
      <c r="D390" t="inlineStr" s="5">
        <is>
          <t>其他</t>
        </is>
      </c>
      <c r="E390" s="6"/>
      <c r="F390" s="6"/>
      <c r="G390" s="6">
        <f>IF(AND(E390="",F390=""),"",F390-E390)</f>
      </c>
      <c r="H390" s="4"/>
      <c r="I390" s="5"/>
    </row>
    <row r="391" ht="21" customHeight="1">
      <c r="A391" s="3">
        <v>46231</v>
      </c>
      <c r="B391" t="inlineStr" s="4">
        <is>
          <t>星期二</t>
        </is>
      </c>
      <c r="C391" t="inlineStr" s="4">
        <is>
          <t>其他</t>
        </is>
      </c>
      <c r="D391" t="inlineStr" s="5">
        <is>
          <t>其他</t>
        </is>
      </c>
      <c r="E391" s="6"/>
      <c r="F391" s="6"/>
      <c r="G391" s="6">
        <f>IF(AND(E391="",F391=""),"",F391-E391)</f>
      </c>
      <c r="H391" s="4"/>
      <c r="I391" s="5"/>
    </row>
    <row r="392" ht="21" customHeight="1">
      <c r="A392" s="3">
        <v>46232</v>
      </c>
      <c r="B392" t="inlineStr" s="4">
        <is>
          <t>星期三</t>
        </is>
      </c>
      <c r="C392" t="inlineStr" s="4">
        <is>
          <t>餐饮</t>
        </is>
      </c>
      <c r="D392" t="inlineStr" s="5">
        <is>
          <t>早餐</t>
        </is>
      </c>
      <c r="E392" s="6"/>
      <c r="F392" s="6"/>
      <c r="G392" s="6">
        <f>IF(AND(E392="",F392=""),"",F392-E392)</f>
      </c>
      <c r="H392" s="4"/>
      <c r="I392" s="5"/>
    </row>
    <row r="393" ht="21" customHeight="1">
      <c r="A393" s="3">
        <v>46232</v>
      </c>
      <c r="B393" t="inlineStr" s="4">
        <is>
          <t>星期三</t>
        </is>
      </c>
      <c r="C393" t="inlineStr" s="4">
        <is>
          <t>餐饮</t>
        </is>
      </c>
      <c r="D393" t="inlineStr" s="5">
        <is>
          <t>中餐</t>
        </is>
      </c>
      <c r="E393" s="6"/>
      <c r="F393" s="6"/>
      <c r="G393" s="6">
        <f>IF(AND(E393="",F393=""),"",F393-E393)</f>
      </c>
      <c r="H393" s="4"/>
      <c r="I393" s="5"/>
    </row>
    <row r="394" ht="21" customHeight="1">
      <c r="A394" s="3">
        <v>46232</v>
      </c>
      <c r="B394" t="inlineStr" s="4">
        <is>
          <t>星期三</t>
        </is>
      </c>
      <c r="C394" t="inlineStr" s="4">
        <is>
          <t>餐饮</t>
        </is>
      </c>
      <c r="D394" t="inlineStr" s="5">
        <is>
          <t>晚餐</t>
        </is>
      </c>
      <c r="E394" s="6"/>
      <c r="F394" s="6"/>
      <c r="G394" s="6">
        <f>IF(AND(E394="",F394=""),"",F394-E394)</f>
      </c>
      <c r="H394" s="4"/>
      <c r="I394" s="5"/>
    </row>
    <row r="395" ht="21" customHeight="1">
      <c r="A395" s="3">
        <v>46232</v>
      </c>
      <c r="B395" t="inlineStr" s="4">
        <is>
          <t>星期三</t>
        </is>
      </c>
      <c r="C395" t="inlineStr" s="4">
        <is>
          <t>奶茶/咖啡</t>
        </is>
      </c>
      <c r="D395" t="inlineStr" s="5">
        <is>
          <t>奶茶/咖啡</t>
        </is>
      </c>
      <c r="E395" s="6"/>
      <c r="F395" s="6"/>
      <c r="G395" s="6">
        <f>IF(AND(E395="",F395=""),"",F395-E395)</f>
      </c>
      <c r="H395" s="4"/>
      <c r="I395" s="5"/>
    </row>
    <row r="396" ht="21" customHeight="1">
      <c r="A396" s="3">
        <v>46232</v>
      </c>
      <c r="B396" t="inlineStr" s="4">
        <is>
          <t>星期三</t>
        </is>
      </c>
      <c r="C396" t="inlineStr" s="4">
        <is>
          <t>其他</t>
        </is>
      </c>
      <c r="D396" t="inlineStr" s="5">
        <is>
          <t>其他</t>
        </is>
      </c>
      <c r="E396" s="6"/>
      <c r="F396" s="6"/>
      <c r="G396" s="6">
        <f>IF(AND(E396="",F396=""),"",F396-E396)</f>
      </c>
      <c r="H396" s="4"/>
      <c r="I396" s="5"/>
    </row>
    <row r="397" ht="21" customHeight="1">
      <c r="A397" s="3">
        <v>46232</v>
      </c>
      <c r="B397" t="inlineStr" s="4">
        <is>
          <t>星期三</t>
        </is>
      </c>
      <c r="C397" t="inlineStr" s="4">
        <is>
          <t>其他</t>
        </is>
      </c>
      <c r="D397" t="inlineStr" s="5">
        <is>
          <t>其他</t>
        </is>
      </c>
      <c r="E397" s="6"/>
      <c r="F397" s="6"/>
      <c r="G397" s="6">
        <f>IF(AND(E397="",F397=""),"",F397-E397)</f>
      </c>
      <c r="H397" s="4"/>
      <c r="I397" s="5"/>
    </row>
    <row r="398" ht="21" customHeight="1">
      <c r="A398" s="3">
        <v>46233</v>
      </c>
      <c r="B398" t="inlineStr" s="4">
        <is>
          <t>星期四</t>
        </is>
      </c>
      <c r="C398" t="inlineStr" s="4">
        <is>
          <t>餐饮</t>
        </is>
      </c>
      <c r="D398" t="inlineStr" s="5">
        <is>
          <t>早餐</t>
        </is>
      </c>
      <c r="E398" s="6"/>
      <c r="F398" s="6"/>
      <c r="G398" s="6">
        <f>IF(AND(E398="",F398=""),"",F398-E398)</f>
      </c>
      <c r="H398" s="4"/>
      <c r="I398" s="5"/>
    </row>
    <row r="399" ht="21" customHeight="1">
      <c r="A399" s="3">
        <v>46233</v>
      </c>
      <c r="B399" t="inlineStr" s="4">
        <is>
          <t>星期四</t>
        </is>
      </c>
      <c r="C399" t="inlineStr" s="4">
        <is>
          <t>餐饮</t>
        </is>
      </c>
      <c r="D399" t="inlineStr" s="5">
        <is>
          <t>中餐</t>
        </is>
      </c>
      <c r="E399" s="6"/>
      <c r="F399" s="6"/>
      <c r="G399" s="6">
        <f>IF(AND(E399="",F399=""),"",F399-E399)</f>
      </c>
      <c r="H399" s="4"/>
      <c r="I399" s="5"/>
    </row>
    <row r="400" ht="21" customHeight="1">
      <c r="A400" s="3">
        <v>46233</v>
      </c>
      <c r="B400" t="inlineStr" s="4">
        <is>
          <t>星期四</t>
        </is>
      </c>
      <c r="C400" t="inlineStr" s="4">
        <is>
          <t>餐饮</t>
        </is>
      </c>
      <c r="D400" t="inlineStr" s="5">
        <is>
          <t>晚餐</t>
        </is>
      </c>
      <c r="E400" s="6"/>
      <c r="F400" s="6"/>
      <c r="G400" s="6">
        <f>IF(AND(E400="",F400=""),"",F400-E400)</f>
      </c>
      <c r="H400" s="4"/>
      <c r="I400" s="5"/>
    </row>
    <row r="401" ht="21" customHeight="1">
      <c r="A401" s="3">
        <v>46233</v>
      </c>
      <c r="B401" t="inlineStr" s="4">
        <is>
          <t>星期四</t>
        </is>
      </c>
      <c r="C401" t="inlineStr" s="4">
        <is>
          <t>奶茶/咖啡</t>
        </is>
      </c>
      <c r="D401" t="inlineStr" s="5">
        <is>
          <t>奶茶/咖啡</t>
        </is>
      </c>
      <c r="E401" s="6"/>
      <c r="F401" s="6"/>
      <c r="G401" s="6">
        <f>IF(AND(E401="",F401=""),"",F401-E401)</f>
      </c>
      <c r="H401" s="4"/>
      <c r="I401" s="5"/>
    </row>
    <row r="402" ht="21" customHeight="1">
      <c r="A402" s="3">
        <v>46233</v>
      </c>
      <c r="B402" t="inlineStr" s="4">
        <is>
          <t>星期四</t>
        </is>
      </c>
      <c r="C402" t="inlineStr" s="4">
        <is>
          <t>其他</t>
        </is>
      </c>
      <c r="D402" t="inlineStr" s="5">
        <is>
          <t>其他</t>
        </is>
      </c>
      <c r="E402" s="6"/>
      <c r="F402" s="6"/>
      <c r="G402" s="6">
        <f>IF(AND(E402="",F402=""),"",F402-E402)</f>
      </c>
      <c r="H402" s="4"/>
      <c r="I402" s="5"/>
    </row>
    <row r="403" ht="21" customHeight="1">
      <c r="A403" s="3">
        <v>46233</v>
      </c>
      <c r="B403" t="inlineStr" s="4">
        <is>
          <t>星期四</t>
        </is>
      </c>
      <c r="C403" t="inlineStr" s="4">
        <is>
          <t>其他</t>
        </is>
      </c>
      <c r="D403" t="inlineStr" s="5">
        <is>
          <t>其他</t>
        </is>
      </c>
      <c r="E403" s="6"/>
      <c r="F403" s="6"/>
      <c r="G403" s="6">
        <f>IF(AND(E403="",F403=""),"",F403-E403)</f>
      </c>
      <c r="H403" s="4"/>
      <c r="I403" s="5"/>
    </row>
    <row r="404" ht="21" customHeight="1">
      <c r="A404" s="3">
        <v>46234</v>
      </c>
      <c r="B404" t="inlineStr" s="4">
        <is>
          <t>星期五</t>
        </is>
      </c>
      <c r="C404" t="inlineStr" s="4">
        <is>
          <t>餐饮</t>
        </is>
      </c>
      <c r="D404" t="inlineStr" s="5">
        <is>
          <t>早餐</t>
        </is>
      </c>
      <c r="E404" s="6"/>
      <c r="F404" s="6"/>
      <c r="G404" s="6">
        <f>IF(AND(E404="",F404=""),"",F404-E404)</f>
      </c>
      <c r="H404" s="4"/>
      <c r="I404" s="5"/>
    </row>
    <row r="405" ht="21" customHeight="1">
      <c r="A405" s="3">
        <v>46234</v>
      </c>
      <c r="B405" t="inlineStr" s="4">
        <is>
          <t>星期五</t>
        </is>
      </c>
      <c r="C405" t="inlineStr" s="4">
        <is>
          <t>餐饮</t>
        </is>
      </c>
      <c r="D405" t="inlineStr" s="5">
        <is>
          <t>中餐</t>
        </is>
      </c>
      <c r="E405" s="6"/>
      <c r="F405" s="6"/>
      <c r="G405" s="6">
        <f>IF(AND(E405="",F405=""),"",F405-E405)</f>
      </c>
      <c r="H405" s="4"/>
      <c r="I405" s="5"/>
    </row>
    <row r="406" ht="21" customHeight="1">
      <c r="A406" s="3">
        <v>46234</v>
      </c>
      <c r="B406" t="inlineStr" s="4">
        <is>
          <t>星期五</t>
        </is>
      </c>
      <c r="C406" t="inlineStr" s="4">
        <is>
          <t>餐饮</t>
        </is>
      </c>
      <c r="D406" t="inlineStr" s="5">
        <is>
          <t>晚餐</t>
        </is>
      </c>
      <c r="E406" s="6"/>
      <c r="F406" s="6"/>
      <c r="G406" s="6">
        <f>IF(AND(E406="",F406=""),"",F406-E406)</f>
      </c>
      <c r="H406" s="4"/>
      <c r="I406" s="5"/>
    </row>
    <row r="407" ht="21" customHeight="1">
      <c r="A407" s="3">
        <v>46234</v>
      </c>
      <c r="B407" t="inlineStr" s="4">
        <is>
          <t>星期五</t>
        </is>
      </c>
      <c r="C407" t="inlineStr" s="4">
        <is>
          <t>奶茶/咖啡</t>
        </is>
      </c>
      <c r="D407" t="inlineStr" s="5">
        <is>
          <t>奶茶/咖啡</t>
        </is>
      </c>
      <c r="E407" s="6"/>
      <c r="F407" s="6"/>
      <c r="G407" s="6">
        <f>IF(AND(E407="",F407=""),"",F407-E407)</f>
      </c>
      <c r="H407" s="4"/>
      <c r="I407" s="5"/>
    </row>
    <row r="408" ht="21" customHeight="1">
      <c r="A408" s="3">
        <v>46234</v>
      </c>
      <c r="B408" t="inlineStr" s="4">
        <is>
          <t>星期五</t>
        </is>
      </c>
      <c r="C408" t="inlineStr" s="4">
        <is>
          <t>其他</t>
        </is>
      </c>
      <c r="D408" t="inlineStr" s="5">
        <is>
          <t>其他</t>
        </is>
      </c>
      <c r="E408" s="6"/>
      <c r="F408" s="6"/>
      <c r="G408" s="6">
        <f>IF(AND(E408="",F408=""),"",F408-E408)</f>
      </c>
      <c r="H408" s="4"/>
      <c r="I408" s="5"/>
    </row>
    <row r="409" ht="21" customHeight="1">
      <c r="A409" s="3">
        <v>46234</v>
      </c>
      <c r="B409" t="inlineStr" s="4">
        <is>
          <t>星期五</t>
        </is>
      </c>
      <c r="C409" t="inlineStr" s="4">
        <is>
          <t>其他</t>
        </is>
      </c>
      <c r="D409" t="inlineStr" s="5">
        <is>
          <t>其他</t>
        </is>
      </c>
      <c r="E409" s="6"/>
      <c r="F409" s="6"/>
      <c r="G409" s="6">
        <f>IF(AND(E409="",F409=""),"",F409-E409)</f>
      </c>
      <c r="H409" s="4"/>
      <c r="I409" s="5"/>
    </row>
    <row r="410" ht="21" customHeight="1">
      <c r="A410" s="3">
        <v>46235</v>
      </c>
      <c r="B410" t="inlineStr" s="4">
        <is>
          <t>星期六</t>
        </is>
      </c>
      <c r="C410" t="inlineStr" s="4">
        <is>
          <t>餐饮</t>
        </is>
      </c>
      <c r="D410" t="inlineStr" s="5">
        <is>
          <t>早餐</t>
        </is>
      </c>
      <c r="E410" s="6"/>
      <c r="F410" s="6"/>
      <c r="G410" s="6">
        <f>IF(AND(E410="",F410=""),"",F410-E410)</f>
      </c>
      <c r="H410" s="4"/>
      <c r="I410" s="5"/>
    </row>
    <row r="411" ht="21" customHeight="1">
      <c r="A411" s="3">
        <v>46235</v>
      </c>
      <c r="B411" t="inlineStr" s="4">
        <is>
          <t>星期六</t>
        </is>
      </c>
      <c r="C411" t="inlineStr" s="4">
        <is>
          <t>餐饮</t>
        </is>
      </c>
      <c r="D411" t="inlineStr" s="5">
        <is>
          <t>中餐</t>
        </is>
      </c>
      <c r="E411" s="6"/>
      <c r="F411" s="6"/>
      <c r="G411" s="6">
        <f>IF(AND(E411="",F411=""),"",F411-E411)</f>
      </c>
      <c r="H411" s="4"/>
      <c r="I411" s="5"/>
    </row>
    <row r="412" ht="21" customHeight="1">
      <c r="A412" s="3">
        <v>46235</v>
      </c>
      <c r="B412" t="inlineStr" s="4">
        <is>
          <t>星期六</t>
        </is>
      </c>
      <c r="C412" t="inlineStr" s="4">
        <is>
          <t>餐饮</t>
        </is>
      </c>
      <c r="D412" t="inlineStr" s="5">
        <is>
          <t>晚餐</t>
        </is>
      </c>
      <c r="E412" s="6"/>
      <c r="F412" s="6"/>
      <c r="G412" s="6">
        <f>IF(AND(E412="",F412=""),"",F412-E412)</f>
      </c>
      <c r="H412" s="4"/>
      <c r="I412" s="5"/>
    </row>
    <row r="413" ht="21" customHeight="1">
      <c r="A413" s="3">
        <v>46235</v>
      </c>
      <c r="B413" t="inlineStr" s="4">
        <is>
          <t>星期六</t>
        </is>
      </c>
      <c r="C413" t="inlineStr" s="4">
        <is>
          <t>奶茶/咖啡</t>
        </is>
      </c>
      <c r="D413" t="inlineStr" s="5">
        <is>
          <t>奶茶/咖啡</t>
        </is>
      </c>
      <c r="E413" s="6"/>
      <c r="F413" s="6"/>
      <c r="G413" s="6">
        <f>IF(AND(E413="",F413=""),"",F413-E413)</f>
      </c>
      <c r="H413" s="4"/>
      <c r="I413" s="5"/>
    </row>
    <row r="414" ht="21" customHeight="1">
      <c r="A414" s="3">
        <v>46235</v>
      </c>
      <c r="B414" t="inlineStr" s="4">
        <is>
          <t>星期六</t>
        </is>
      </c>
      <c r="C414" t="inlineStr" s="4">
        <is>
          <t>其他</t>
        </is>
      </c>
      <c r="D414" t="inlineStr" s="5">
        <is>
          <t>其他</t>
        </is>
      </c>
      <c r="E414" s="6"/>
      <c r="F414" s="6"/>
      <c r="G414" s="6">
        <f>IF(AND(E414="",F414=""),"",F414-E414)</f>
      </c>
      <c r="H414" s="4"/>
      <c r="I414" s="5"/>
    </row>
    <row r="415" ht="21" customHeight="1">
      <c r="A415" s="3">
        <v>46235</v>
      </c>
      <c r="B415" t="inlineStr" s="4">
        <is>
          <t>星期六</t>
        </is>
      </c>
      <c r="C415" t="inlineStr" s="4">
        <is>
          <t>其他</t>
        </is>
      </c>
      <c r="D415" t="inlineStr" s="5">
        <is>
          <t>其他</t>
        </is>
      </c>
      <c r="E415" s="6"/>
      <c r="F415" s="6"/>
      <c r="G415" s="6">
        <f>IF(AND(E415="",F415=""),"",F415-E415)</f>
      </c>
      <c r="H415" s="4"/>
      <c r="I415" s="5"/>
    </row>
    <row r="416" ht="21" customHeight="1">
      <c r="A416" s="3">
        <v>46236</v>
      </c>
      <c r="B416" t="inlineStr" s="4">
        <is>
          <t>星期日</t>
        </is>
      </c>
      <c r="C416" t="inlineStr" s="4">
        <is>
          <t>餐饮</t>
        </is>
      </c>
      <c r="D416" t="inlineStr" s="5">
        <is>
          <t>早餐</t>
        </is>
      </c>
      <c r="E416" s="6"/>
      <c r="F416" s="6"/>
      <c r="G416" s="6">
        <f>IF(AND(E416="",F416=""),"",F416-E416)</f>
      </c>
      <c r="H416" s="4"/>
      <c r="I416" s="5"/>
    </row>
    <row r="417" ht="21" customHeight="1">
      <c r="A417" s="3">
        <v>46236</v>
      </c>
      <c r="B417" t="inlineStr" s="4">
        <is>
          <t>星期日</t>
        </is>
      </c>
      <c r="C417" t="inlineStr" s="4">
        <is>
          <t>餐饮</t>
        </is>
      </c>
      <c r="D417" t="inlineStr" s="5">
        <is>
          <t>中餐</t>
        </is>
      </c>
      <c r="E417" s="6"/>
      <c r="F417" s="6"/>
      <c r="G417" s="6">
        <f>IF(AND(E417="",F417=""),"",F417-E417)</f>
      </c>
      <c r="H417" s="4"/>
      <c r="I417" s="5"/>
    </row>
    <row r="418" ht="21" customHeight="1">
      <c r="A418" s="3">
        <v>46236</v>
      </c>
      <c r="B418" t="inlineStr" s="4">
        <is>
          <t>星期日</t>
        </is>
      </c>
      <c r="C418" t="inlineStr" s="4">
        <is>
          <t>餐饮</t>
        </is>
      </c>
      <c r="D418" t="inlineStr" s="5">
        <is>
          <t>晚餐</t>
        </is>
      </c>
      <c r="E418" s="6"/>
      <c r="F418" s="6"/>
      <c r="G418" s="6">
        <f>IF(AND(E418="",F418=""),"",F418-E418)</f>
      </c>
      <c r="H418" s="4"/>
      <c r="I418" s="5"/>
    </row>
    <row r="419" ht="21" customHeight="1">
      <c r="A419" s="3">
        <v>46236</v>
      </c>
      <c r="B419" t="inlineStr" s="4">
        <is>
          <t>星期日</t>
        </is>
      </c>
      <c r="C419" t="inlineStr" s="4">
        <is>
          <t>奶茶/咖啡</t>
        </is>
      </c>
      <c r="D419" t="inlineStr" s="5">
        <is>
          <t>奶茶/咖啡</t>
        </is>
      </c>
      <c r="E419" s="6"/>
      <c r="F419" s="6"/>
      <c r="G419" s="6">
        <f>IF(AND(E419="",F419=""),"",F419-E419)</f>
      </c>
      <c r="H419" s="4"/>
      <c r="I419" s="5"/>
    </row>
    <row r="420" ht="21" customHeight="1">
      <c r="A420" s="3">
        <v>46236</v>
      </c>
      <c r="B420" t="inlineStr" s="4">
        <is>
          <t>星期日</t>
        </is>
      </c>
      <c r="C420" t="inlineStr" s="4">
        <is>
          <t>其他</t>
        </is>
      </c>
      <c r="D420" t="inlineStr" s="5">
        <is>
          <t>其他</t>
        </is>
      </c>
      <c r="E420" s="6"/>
      <c r="F420" s="6"/>
      <c r="G420" s="6">
        <f>IF(AND(E420="",F420=""),"",F420-E420)</f>
      </c>
      <c r="H420" s="4"/>
      <c r="I420" s="5"/>
    </row>
    <row r="421" ht="21" customHeight="1">
      <c r="A421" s="3">
        <v>46236</v>
      </c>
      <c r="B421" t="inlineStr" s="4">
        <is>
          <t>星期日</t>
        </is>
      </c>
      <c r="C421" t="inlineStr" s="4">
        <is>
          <t>其他</t>
        </is>
      </c>
      <c r="D421" t="inlineStr" s="5">
        <is>
          <t>其他</t>
        </is>
      </c>
      <c r="E421" s="6"/>
      <c r="F421" s="6"/>
      <c r="G421" s="6">
        <f>IF(AND(E421="",F421=""),"",F421-E421)</f>
      </c>
      <c r="H421" s="4"/>
      <c r="I421" s="5"/>
    </row>
    <row r="422" ht="23" customHeight="1">
      <c r="A422" t="inlineStr" s="7">
        <is>
          <t>本周小计</t>
        </is>
      </c>
      <c r="B422" s="7"/>
      <c r="C422" s="7"/>
      <c r="D422" s="7"/>
      <c r="E422" s="8">
        <f>SUM(E380:E421)</f>
      </c>
      <c r="F422" s="8">
        <f>SUM(F380:F421)</f>
      </c>
      <c r="G422" s="8">
        <f>SUM(G380:G421)</f>
      </c>
      <c r="H422" s="7"/>
      <c r="I422" s="7"/>
    </row>
    <row r="423" ht="18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8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26" customHeight="1">
      <c r="A425" t="inlineStr" s="2">
        <is>
          <t>2026年8月｜第一周（8月3日 - 8月9日）</t>
        </is>
      </c>
      <c r="B425" s="2"/>
      <c r="C425" s="2"/>
      <c r="D425" s="2"/>
      <c r="E425" s="2"/>
      <c r="F425" s="2"/>
      <c r="G425" s="2"/>
      <c r="H425" s="2"/>
      <c r="I425" s="2"/>
    </row>
    <row r="426" ht="22" customHeight="1">
      <c r="A426" t="inlineStr" s="1">
        <is>
          <t>日期</t>
        </is>
      </c>
      <c r="B426" t="inlineStr" s="1">
        <is>
          <t>星期</t>
        </is>
      </c>
      <c r="C426" t="inlineStr" s="1">
        <is>
          <t>分类</t>
        </is>
      </c>
      <c r="D426" t="inlineStr" s="1">
        <is>
          <t>事项</t>
        </is>
      </c>
      <c r="E426" t="inlineStr" s="1">
        <is>
          <t>支出金额</t>
        </is>
      </c>
      <c r="F426" t="inlineStr" s="1">
        <is>
          <t>收入金额</t>
        </is>
      </c>
      <c r="G426" t="inlineStr" s="1">
        <is>
          <t>当笔净额</t>
        </is>
      </c>
      <c r="H426" t="inlineStr" s="1">
        <is>
          <t>支付方式</t>
        </is>
      </c>
      <c r="I426" t="inlineStr" s="1">
        <is>
          <t>备注</t>
        </is>
      </c>
    </row>
    <row r="427" ht="21" customHeight="1">
      <c r="A427" s="3">
        <v>46237</v>
      </c>
      <c r="B427" t="inlineStr" s="4">
        <is>
          <t>星期一</t>
        </is>
      </c>
      <c r="C427" t="inlineStr" s="4">
        <is>
          <t>餐饮</t>
        </is>
      </c>
      <c r="D427" t="inlineStr" s="5">
        <is>
          <t>早餐</t>
        </is>
      </c>
      <c r="E427" s="6"/>
      <c r="F427" s="6"/>
      <c r="G427" s="6">
        <f>IF(AND(E427="",F427=""),"",F427-E427)</f>
      </c>
      <c r="H427" s="4"/>
      <c r="I427" s="5"/>
    </row>
    <row r="428" ht="21" customHeight="1">
      <c r="A428" s="3">
        <v>46237</v>
      </c>
      <c r="B428" t="inlineStr" s="4">
        <is>
          <t>星期一</t>
        </is>
      </c>
      <c r="C428" t="inlineStr" s="4">
        <is>
          <t>餐饮</t>
        </is>
      </c>
      <c r="D428" t="inlineStr" s="5">
        <is>
          <t>中餐</t>
        </is>
      </c>
      <c r="E428" s="6"/>
      <c r="F428" s="6"/>
      <c r="G428" s="6">
        <f>IF(AND(E428="",F428=""),"",F428-E428)</f>
      </c>
      <c r="H428" s="4"/>
      <c r="I428" s="5"/>
    </row>
    <row r="429" ht="21" customHeight="1">
      <c r="A429" s="3">
        <v>46237</v>
      </c>
      <c r="B429" t="inlineStr" s="4">
        <is>
          <t>星期一</t>
        </is>
      </c>
      <c r="C429" t="inlineStr" s="4">
        <is>
          <t>餐饮</t>
        </is>
      </c>
      <c r="D429" t="inlineStr" s="5">
        <is>
          <t>晚餐</t>
        </is>
      </c>
      <c r="E429" s="6"/>
      <c r="F429" s="6"/>
      <c r="G429" s="6">
        <f>IF(AND(E429="",F429=""),"",F429-E429)</f>
      </c>
      <c r="H429" s="4"/>
      <c r="I429" s="5"/>
    </row>
    <row r="430" ht="21" customHeight="1">
      <c r="A430" s="3">
        <v>46237</v>
      </c>
      <c r="B430" t="inlineStr" s="4">
        <is>
          <t>星期一</t>
        </is>
      </c>
      <c r="C430" t="inlineStr" s="4">
        <is>
          <t>奶茶/咖啡</t>
        </is>
      </c>
      <c r="D430" t="inlineStr" s="5">
        <is>
          <t>奶茶/咖啡</t>
        </is>
      </c>
      <c r="E430" s="6"/>
      <c r="F430" s="6"/>
      <c r="G430" s="6">
        <f>IF(AND(E430="",F430=""),"",F430-E430)</f>
      </c>
      <c r="H430" s="4"/>
      <c r="I430" s="5"/>
    </row>
    <row r="431" ht="21" customHeight="1">
      <c r="A431" s="3">
        <v>46237</v>
      </c>
      <c r="B431" t="inlineStr" s="4">
        <is>
          <t>星期一</t>
        </is>
      </c>
      <c r="C431" t="inlineStr" s="4">
        <is>
          <t>其他</t>
        </is>
      </c>
      <c r="D431" t="inlineStr" s="5">
        <is>
          <t>其他</t>
        </is>
      </c>
      <c r="E431" s="6"/>
      <c r="F431" s="6"/>
      <c r="G431" s="6">
        <f>IF(AND(E431="",F431=""),"",F431-E431)</f>
      </c>
      <c r="H431" s="4"/>
      <c r="I431" s="5"/>
    </row>
    <row r="432" ht="21" customHeight="1">
      <c r="A432" s="3">
        <v>46237</v>
      </c>
      <c r="B432" t="inlineStr" s="4">
        <is>
          <t>星期一</t>
        </is>
      </c>
      <c r="C432" t="inlineStr" s="4">
        <is>
          <t>其他</t>
        </is>
      </c>
      <c r="D432" t="inlineStr" s="5">
        <is>
          <t>其他</t>
        </is>
      </c>
      <c r="E432" s="6"/>
      <c r="F432" s="6"/>
      <c r="G432" s="6">
        <f>IF(AND(E432="",F432=""),"",F432-E432)</f>
      </c>
      <c r="H432" s="4"/>
      <c r="I432" s="5"/>
    </row>
    <row r="433" ht="21" customHeight="1">
      <c r="A433" s="3">
        <v>46238</v>
      </c>
      <c r="B433" t="inlineStr" s="4">
        <is>
          <t>星期二</t>
        </is>
      </c>
      <c r="C433" t="inlineStr" s="4">
        <is>
          <t>餐饮</t>
        </is>
      </c>
      <c r="D433" t="inlineStr" s="5">
        <is>
          <t>早餐</t>
        </is>
      </c>
      <c r="E433" s="6"/>
      <c r="F433" s="6"/>
      <c r="G433" s="6">
        <f>IF(AND(E433="",F433=""),"",F433-E433)</f>
      </c>
      <c r="H433" s="4"/>
      <c r="I433" s="5"/>
    </row>
    <row r="434" ht="21" customHeight="1">
      <c r="A434" s="3">
        <v>46238</v>
      </c>
      <c r="B434" t="inlineStr" s="4">
        <is>
          <t>星期二</t>
        </is>
      </c>
      <c r="C434" t="inlineStr" s="4">
        <is>
          <t>餐饮</t>
        </is>
      </c>
      <c r="D434" t="inlineStr" s="5">
        <is>
          <t>中餐</t>
        </is>
      </c>
      <c r="E434" s="6"/>
      <c r="F434" s="6"/>
      <c r="G434" s="6">
        <f>IF(AND(E434="",F434=""),"",F434-E434)</f>
      </c>
      <c r="H434" s="4"/>
      <c r="I434" s="5"/>
    </row>
    <row r="435" ht="21" customHeight="1">
      <c r="A435" s="3">
        <v>46238</v>
      </c>
      <c r="B435" t="inlineStr" s="4">
        <is>
          <t>星期二</t>
        </is>
      </c>
      <c r="C435" t="inlineStr" s="4">
        <is>
          <t>餐饮</t>
        </is>
      </c>
      <c r="D435" t="inlineStr" s="5">
        <is>
          <t>晚餐</t>
        </is>
      </c>
      <c r="E435" s="6"/>
      <c r="F435" s="6"/>
      <c r="G435" s="6">
        <f>IF(AND(E435="",F435=""),"",F435-E435)</f>
      </c>
      <c r="H435" s="4"/>
      <c r="I435" s="5"/>
    </row>
    <row r="436" ht="21" customHeight="1">
      <c r="A436" s="3">
        <v>46238</v>
      </c>
      <c r="B436" t="inlineStr" s="4">
        <is>
          <t>星期二</t>
        </is>
      </c>
      <c r="C436" t="inlineStr" s="4">
        <is>
          <t>奶茶/咖啡</t>
        </is>
      </c>
      <c r="D436" t="inlineStr" s="5">
        <is>
          <t>奶茶/咖啡</t>
        </is>
      </c>
      <c r="E436" s="6"/>
      <c r="F436" s="6"/>
      <c r="G436" s="6">
        <f>IF(AND(E436="",F436=""),"",F436-E436)</f>
      </c>
      <c r="H436" s="4"/>
      <c r="I436" s="5"/>
    </row>
    <row r="437" ht="21" customHeight="1">
      <c r="A437" s="3">
        <v>46238</v>
      </c>
      <c r="B437" t="inlineStr" s="4">
        <is>
          <t>星期二</t>
        </is>
      </c>
      <c r="C437" t="inlineStr" s="4">
        <is>
          <t>其他</t>
        </is>
      </c>
      <c r="D437" t="inlineStr" s="5">
        <is>
          <t>其他</t>
        </is>
      </c>
      <c r="E437" s="6"/>
      <c r="F437" s="6"/>
      <c r="G437" s="6">
        <f>IF(AND(E437="",F437=""),"",F437-E437)</f>
      </c>
      <c r="H437" s="4"/>
      <c r="I437" s="5"/>
    </row>
    <row r="438" ht="21" customHeight="1">
      <c r="A438" s="3">
        <v>46238</v>
      </c>
      <c r="B438" t="inlineStr" s="4">
        <is>
          <t>星期二</t>
        </is>
      </c>
      <c r="C438" t="inlineStr" s="4">
        <is>
          <t>其他</t>
        </is>
      </c>
      <c r="D438" t="inlineStr" s="5">
        <is>
          <t>其他</t>
        </is>
      </c>
      <c r="E438" s="6"/>
      <c r="F438" s="6"/>
      <c r="G438" s="6">
        <f>IF(AND(E438="",F438=""),"",F438-E438)</f>
      </c>
      <c r="H438" s="4"/>
      <c r="I438" s="5"/>
    </row>
    <row r="439" ht="21" customHeight="1">
      <c r="A439" s="3">
        <v>46239</v>
      </c>
      <c r="B439" t="inlineStr" s="4">
        <is>
          <t>星期三</t>
        </is>
      </c>
      <c r="C439" t="inlineStr" s="4">
        <is>
          <t>餐饮</t>
        </is>
      </c>
      <c r="D439" t="inlineStr" s="5">
        <is>
          <t>早餐</t>
        </is>
      </c>
      <c r="E439" s="6"/>
      <c r="F439" s="6"/>
      <c r="G439" s="6">
        <f>IF(AND(E439="",F439=""),"",F439-E439)</f>
      </c>
      <c r="H439" s="4"/>
      <c r="I439" s="5"/>
    </row>
    <row r="440" ht="21" customHeight="1">
      <c r="A440" s="3">
        <v>46239</v>
      </c>
      <c r="B440" t="inlineStr" s="4">
        <is>
          <t>星期三</t>
        </is>
      </c>
      <c r="C440" t="inlineStr" s="4">
        <is>
          <t>餐饮</t>
        </is>
      </c>
      <c r="D440" t="inlineStr" s="5">
        <is>
          <t>中餐</t>
        </is>
      </c>
      <c r="E440" s="6"/>
      <c r="F440" s="6"/>
      <c r="G440" s="6">
        <f>IF(AND(E440="",F440=""),"",F440-E440)</f>
      </c>
      <c r="H440" s="4"/>
      <c r="I440" s="5"/>
    </row>
    <row r="441" ht="21" customHeight="1">
      <c r="A441" s="3">
        <v>46239</v>
      </c>
      <c r="B441" t="inlineStr" s="4">
        <is>
          <t>星期三</t>
        </is>
      </c>
      <c r="C441" t="inlineStr" s="4">
        <is>
          <t>餐饮</t>
        </is>
      </c>
      <c r="D441" t="inlineStr" s="5">
        <is>
          <t>晚餐</t>
        </is>
      </c>
      <c r="E441" s="6"/>
      <c r="F441" s="6"/>
      <c r="G441" s="6">
        <f>IF(AND(E441="",F441=""),"",F441-E441)</f>
      </c>
      <c r="H441" s="4"/>
      <c r="I441" s="5"/>
    </row>
    <row r="442" ht="21" customHeight="1">
      <c r="A442" s="3">
        <v>46239</v>
      </c>
      <c r="B442" t="inlineStr" s="4">
        <is>
          <t>星期三</t>
        </is>
      </c>
      <c r="C442" t="inlineStr" s="4">
        <is>
          <t>奶茶/咖啡</t>
        </is>
      </c>
      <c r="D442" t="inlineStr" s="5">
        <is>
          <t>奶茶/咖啡</t>
        </is>
      </c>
      <c r="E442" s="6"/>
      <c r="F442" s="6"/>
      <c r="G442" s="6">
        <f>IF(AND(E442="",F442=""),"",F442-E442)</f>
      </c>
      <c r="H442" s="4"/>
      <c r="I442" s="5"/>
    </row>
    <row r="443" ht="21" customHeight="1">
      <c r="A443" s="3">
        <v>46239</v>
      </c>
      <c r="B443" t="inlineStr" s="4">
        <is>
          <t>星期三</t>
        </is>
      </c>
      <c r="C443" t="inlineStr" s="4">
        <is>
          <t>其他</t>
        </is>
      </c>
      <c r="D443" t="inlineStr" s="5">
        <is>
          <t>其他</t>
        </is>
      </c>
      <c r="E443" s="6"/>
      <c r="F443" s="6"/>
      <c r="G443" s="6">
        <f>IF(AND(E443="",F443=""),"",F443-E443)</f>
      </c>
      <c r="H443" s="4"/>
      <c r="I443" s="5"/>
    </row>
    <row r="444" ht="21" customHeight="1">
      <c r="A444" s="3">
        <v>46239</v>
      </c>
      <c r="B444" t="inlineStr" s="4">
        <is>
          <t>星期三</t>
        </is>
      </c>
      <c r="C444" t="inlineStr" s="4">
        <is>
          <t>其他</t>
        </is>
      </c>
      <c r="D444" t="inlineStr" s="5">
        <is>
          <t>其他</t>
        </is>
      </c>
      <c r="E444" s="6"/>
      <c r="F444" s="6"/>
      <c r="G444" s="6">
        <f>IF(AND(E444="",F444=""),"",F444-E444)</f>
      </c>
      <c r="H444" s="4"/>
      <c r="I444" s="5"/>
    </row>
    <row r="445" ht="21" customHeight="1">
      <c r="A445" s="3">
        <v>46240</v>
      </c>
      <c r="B445" t="inlineStr" s="4">
        <is>
          <t>星期四</t>
        </is>
      </c>
      <c r="C445" t="inlineStr" s="4">
        <is>
          <t>餐饮</t>
        </is>
      </c>
      <c r="D445" t="inlineStr" s="5">
        <is>
          <t>早餐</t>
        </is>
      </c>
      <c r="E445" s="6"/>
      <c r="F445" s="6"/>
      <c r="G445" s="6">
        <f>IF(AND(E445="",F445=""),"",F445-E445)</f>
      </c>
      <c r="H445" s="4"/>
      <c r="I445" s="5"/>
    </row>
    <row r="446" ht="21" customHeight="1">
      <c r="A446" s="3">
        <v>46240</v>
      </c>
      <c r="B446" t="inlineStr" s="4">
        <is>
          <t>星期四</t>
        </is>
      </c>
      <c r="C446" t="inlineStr" s="4">
        <is>
          <t>餐饮</t>
        </is>
      </c>
      <c r="D446" t="inlineStr" s="5">
        <is>
          <t>中餐</t>
        </is>
      </c>
      <c r="E446" s="6"/>
      <c r="F446" s="6"/>
      <c r="G446" s="6">
        <f>IF(AND(E446="",F446=""),"",F446-E446)</f>
      </c>
      <c r="H446" s="4"/>
      <c r="I446" s="5"/>
    </row>
    <row r="447" ht="21" customHeight="1">
      <c r="A447" s="3">
        <v>46240</v>
      </c>
      <c r="B447" t="inlineStr" s="4">
        <is>
          <t>星期四</t>
        </is>
      </c>
      <c r="C447" t="inlineStr" s="4">
        <is>
          <t>餐饮</t>
        </is>
      </c>
      <c r="D447" t="inlineStr" s="5">
        <is>
          <t>晚餐</t>
        </is>
      </c>
      <c r="E447" s="6"/>
      <c r="F447" s="6"/>
      <c r="G447" s="6">
        <f>IF(AND(E447="",F447=""),"",F447-E447)</f>
      </c>
      <c r="H447" s="4"/>
      <c r="I447" s="5"/>
    </row>
    <row r="448" ht="21" customHeight="1">
      <c r="A448" s="3">
        <v>46240</v>
      </c>
      <c r="B448" t="inlineStr" s="4">
        <is>
          <t>星期四</t>
        </is>
      </c>
      <c r="C448" t="inlineStr" s="4">
        <is>
          <t>奶茶/咖啡</t>
        </is>
      </c>
      <c r="D448" t="inlineStr" s="5">
        <is>
          <t>奶茶/咖啡</t>
        </is>
      </c>
      <c r="E448" s="6"/>
      <c r="F448" s="6"/>
      <c r="G448" s="6">
        <f>IF(AND(E448="",F448=""),"",F448-E448)</f>
      </c>
      <c r="H448" s="4"/>
      <c r="I448" s="5"/>
    </row>
    <row r="449" ht="21" customHeight="1">
      <c r="A449" s="3">
        <v>46240</v>
      </c>
      <c r="B449" t="inlineStr" s="4">
        <is>
          <t>星期四</t>
        </is>
      </c>
      <c r="C449" t="inlineStr" s="4">
        <is>
          <t>其他</t>
        </is>
      </c>
      <c r="D449" t="inlineStr" s="5">
        <is>
          <t>其他</t>
        </is>
      </c>
      <c r="E449" s="6"/>
      <c r="F449" s="6"/>
      <c r="G449" s="6">
        <f>IF(AND(E449="",F449=""),"",F449-E449)</f>
      </c>
      <c r="H449" s="4"/>
      <c r="I449" s="5"/>
    </row>
    <row r="450" ht="21" customHeight="1">
      <c r="A450" s="3">
        <v>46240</v>
      </c>
      <c r="B450" t="inlineStr" s="4">
        <is>
          <t>星期四</t>
        </is>
      </c>
      <c r="C450" t="inlineStr" s="4">
        <is>
          <t>其他</t>
        </is>
      </c>
      <c r="D450" t="inlineStr" s="5">
        <is>
          <t>其他</t>
        </is>
      </c>
      <c r="E450" s="6"/>
      <c r="F450" s="6"/>
      <c r="G450" s="6">
        <f>IF(AND(E450="",F450=""),"",F450-E450)</f>
      </c>
      <c r="H450" s="4"/>
      <c r="I450" s="5"/>
    </row>
    <row r="451" ht="21" customHeight="1">
      <c r="A451" s="3">
        <v>46241</v>
      </c>
      <c r="B451" t="inlineStr" s="4">
        <is>
          <t>星期五</t>
        </is>
      </c>
      <c r="C451" t="inlineStr" s="4">
        <is>
          <t>餐饮</t>
        </is>
      </c>
      <c r="D451" t="inlineStr" s="5">
        <is>
          <t>早餐</t>
        </is>
      </c>
      <c r="E451" s="6"/>
      <c r="F451" s="6"/>
      <c r="G451" s="6">
        <f>IF(AND(E451="",F451=""),"",F451-E451)</f>
      </c>
      <c r="H451" s="4"/>
      <c r="I451" s="5"/>
    </row>
    <row r="452" ht="21" customHeight="1">
      <c r="A452" s="3">
        <v>46241</v>
      </c>
      <c r="B452" t="inlineStr" s="4">
        <is>
          <t>星期五</t>
        </is>
      </c>
      <c r="C452" t="inlineStr" s="4">
        <is>
          <t>餐饮</t>
        </is>
      </c>
      <c r="D452" t="inlineStr" s="5">
        <is>
          <t>中餐</t>
        </is>
      </c>
      <c r="E452" s="6"/>
      <c r="F452" s="6"/>
      <c r="G452" s="6">
        <f>IF(AND(E452="",F452=""),"",F452-E452)</f>
      </c>
      <c r="H452" s="4"/>
      <c r="I452" s="5"/>
    </row>
    <row r="453" ht="21" customHeight="1">
      <c r="A453" s="3">
        <v>46241</v>
      </c>
      <c r="B453" t="inlineStr" s="4">
        <is>
          <t>星期五</t>
        </is>
      </c>
      <c r="C453" t="inlineStr" s="4">
        <is>
          <t>餐饮</t>
        </is>
      </c>
      <c r="D453" t="inlineStr" s="5">
        <is>
          <t>晚餐</t>
        </is>
      </c>
      <c r="E453" s="6"/>
      <c r="F453" s="6"/>
      <c r="G453" s="6">
        <f>IF(AND(E453="",F453=""),"",F453-E453)</f>
      </c>
      <c r="H453" s="4"/>
      <c r="I453" s="5"/>
    </row>
    <row r="454" ht="21" customHeight="1">
      <c r="A454" s="3">
        <v>46241</v>
      </c>
      <c r="B454" t="inlineStr" s="4">
        <is>
          <t>星期五</t>
        </is>
      </c>
      <c r="C454" t="inlineStr" s="4">
        <is>
          <t>奶茶/咖啡</t>
        </is>
      </c>
      <c r="D454" t="inlineStr" s="5">
        <is>
          <t>奶茶/咖啡</t>
        </is>
      </c>
      <c r="E454" s="6"/>
      <c r="F454" s="6"/>
      <c r="G454" s="6">
        <f>IF(AND(E454="",F454=""),"",F454-E454)</f>
      </c>
      <c r="H454" s="4"/>
      <c r="I454" s="5"/>
    </row>
    <row r="455" ht="21" customHeight="1">
      <c r="A455" s="3">
        <v>46241</v>
      </c>
      <c r="B455" t="inlineStr" s="4">
        <is>
          <t>星期五</t>
        </is>
      </c>
      <c r="C455" t="inlineStr" s="4">
        <is>
          <t>其他</t>
        </is>
      </c>
      <c r="D455" t="inlineStr" s="5">
        <is>
          <t>其他</t>
        </is>
      </c>
      <c r="E455" s="6"/>
      <c r="F455" s="6"/>
      <c r="G455" s="6">
        <f>IF(AND(E455="",F455=""),"",F455-E455)</f>
      </c>
      <c r="H455" s="4"/>
      <c r="I455" s="5"/>
    </row>
    <row r="456" ht="21" customHeight="1">
      <c r="A456" s="3">
        <v>46241</v>
      </c>
      <c r="B456" t="inlineStr" s="4">
        <is>
          <t>星期五</t>
        </is>
      </c>
      <c r="C456" t="inlineStr" s="4">
        <is>
          <t>其他</t>
        </is>
      </c>
      <c r="D456" t="inlineStr" s="5">
        <is>
          <t>其他</t>
        </is>
      </c>
      <c r="E456" s="6"/>
      <c r="F456" s="6"/>
      <c r="G456" s="6">
        <f>IF(AND(E456="",F456=""),"",F456-E456)</f>
      </c>
      <c r="H456" s="4"/>
      <c r="I456" s="5"/>
    </row>
    <row r="457" ht="21" customHeight="1">
      <c r="A457" s="3">
        <v>46242</v>
      </c>
      <c r="B457" t="inlineStr" s="4">
        <is>
          <t>星期六</t>
        </is>
      </c>
      <c r="C457" t="inlineStr" s="4">
        <is>
          <t>餐饮</t>
        </is>
      </c>
      <c r="D457" t="inlineStr" s="5">
        <is>
          <t>早餐</t>
        </is>
      </c>
      <c r="E457" s="6"/>
      <c r="F457" s="6"/>
      <c r="G457" s="6">
        <f>IF(AND(E457="",F457=""),"",F457-E457)</f>
      </c>
      <c r="H457" s="4"/>
      <c r="I457" s="5"/>
    </row>
    <row r="458" ht="21" customHeight="1">
      <c r="A458" s="3">
        <v>46242</v>
      </c>
      <c r="B458" t="inlineStr" s="4">
        <is>
          <t>星期六</t>
        </is>
      </c>
      <c r="C458" t="inlineStr" s="4">
        <is>
          <t>餐饮</t>
        </is>
      </c>
      <c r="D458" t="inlineStr" s="5">
        <is>
          <t>中餐</t>
        </is>
      </c>
      <c r="E458" s="6"/>
      <c r="F458" s="6"/>
      <c r="G458" s="6">
        <f>IF(AND(E458="",F458=""),"",F458-E458)</f>
      </c>
      <c r="H458" s="4"/>
      <c r="I458" s="5"/>
    </row>
    <row r="459" ht="21" customHeight="1">
      <c r="A459" s="3">
        <v>46242</v>
      </c>
      <c r="B459" t="inlineStr" s="4">
        <is>
          <t>星期六</t>
        </is>
      </c>
      <c r="C459" t="inlineStr" s="4">
        <is>
          <t>餐饮</t>
        </is>
      </c>
      <c r="D459" t="inlineStr" s="5">
        <is>
          <t>晚餐</t>
        </is>
      </c>
      <c r="E459" s="6"/>
      <c r="F459" s="6"/>
      <c r="G459" s="6">
        <f>IF(AND(E459="",F459=""),"",F459-E459)</f>
      </c>
      <c r="H459" s="4"/>
      <c r="I459" s="5"/>
    </row>
    <row r="460" ht="21" customHeight="1">
      <c r="A460" s="3">
        <v>46242</v>
      </c>
      <c r="B460" t="inlineStr" s="4">
        <is>
          <t>星期六</t>
        </is>
      </c>
      <c r="C460" t="inlineStr" s="4">
        <is>
          <t>奶茶/咖啡</t>
        </is>
      </c>
      <c r="D460" t="inlineStr" s="5">
        <is>
          <t>奶茶/咖啡</t>
        </is>
      </c>
      <c r="E460" s="6"/>
      <c r="F460" s="6"/>
      <c r="G460" s="6">
        <f>IF(AND(E460="",F460=""),"",F460-E460)</f>
      </c>
      <c r="H460" s="4"/>
      <c r="I460" s="5"/>
    </row>
    <row r="461" ht="21" customHeight="1">
      <c r="A461" s="3">
        <v>46242</v>
      </c>
      <c r="B461" t="inlineStr" s="4">
        <is>
          <t>星期六</t>
        </is>
      </c>
      <c r="C461" t="inlineStr" s="4">
        <is>
          <t>其他</t>
        </is>
      </c>
      <c r="D461" t="inlineStr" s="5">
        <is>
          <t>其他</t>
        </is>
      </c>
      <c r="E461" s="6"/>
      <c r="F461" s="6"/>
      <c r="G461" s="6">
        <f>IF(AND(E461="",F461=""),"",F461-E461)</f>
      </c>
      <c r="H461" s="4"/>
      <c r="I461" s="5"/>
    </row>
    <row r="462" ht="21" customHeight="1">
      <c r="A462" s="3">
        <v>46242</v>
      </c>
      <c r="B462" t="inlineStr" s="4">
        <is>
          <t>星期六</t>
        </is>
      </c>
      <c r="C462" t="inlineStr" s="4">
        <is>
          <t>其他</t>
        </is>
      </c>
      <c r="D462" t="inlineStr" s="5">
        <is>
          <t>其他</t>
        </is>
      </c>
      <c r="E462" s="6"/>
      <c r="F462" s="6"/>
      <c r="G462" s="6">
        <f>IF(AND(E462="",F462=""),"",F462-E462)</f>
      </c>
      <c r="H462" s="4"/>
      <c r="I462" s="5"/>
    </row>
    <row r="463" ht="21" customHeight="1">
      <c r="A463" s="3">
        <v>46243</v>
      </c>
      <c r="B463" t="inlineStr" s="4">
        <is>
          <t>星期日</t>
        </is>
      </c>
      <c r="C463" t="inlineStr" s="4">
        <is>
          <t>餐饮</t>
        </is>
      </c>
      <c r="D463" t="inlineStr" s="5">
        <is>
          <t>早餐</t>
        </is>
      </c>
      <c r="E463" s="6"/>
      <c r="F463" s="6"/>
      <c r="G463" s="6">
        <f>IF(AND(E463="",F463=""),"",F463-E463)</f>
      </c>
      <c r="H463" s="4"/>
      <c r="I463" s="5"/>
    </row>
    <row r="464" ht="21" customHeight="1">
      <c r="A464" s="3">
        <v>46243</v>
      </c>
      <c r="B464" t="inlineStr" s="4">
        <is>
          <t>星期日</t>
        </is>
      </c>
      <c r="C464" t="inlineStr" s="4">
        <is>
          <t>餐饮</t>
        </is>
      </c>
      <c r="D464" t="inlineStr" s="5">
        <is>
          <t>中餐</t>
        </is>
      </c>
      <c r="E464" s="6"/>
      <c r="F464" s="6"/>
      <c r="G464" s="6">
        <f>IF(AND(E464="",F464=""),"",F464-E464)</f>
      </c>
      <c r="H464" s="4"/>
      <c r="I464" s="5"/>
    </row>
    <row r="465" ht="21" customHeight="1">
      <c r="A465" s="3">
        <v>46243</v>
      </c>
      <c r="B465" t="inlineStr" s="4">
        <is>
          <t>星期日</t>
        </is>
      </c>
      <c r="C465" t="inlineStr" s="4">
        <is>
          <t>餐饮</t>
        </is>
      </c>
      <c r="D465" t="inlineStr" s="5">
        <is>
          <t>晚餐</t>
        </is>
      </c>
      <c r="E465" s="6"/>
      <c r="F465" s="6"/>
      <c r="G465" s="6">
        <f>IF(AND(E465="",F465=""),"",F465-E465)</f>
      </c>
      <c r="H465" s="4"/>
      <c r="I465" s="5"/>
    </row>
    <row r="466" ht="21" customHeight="1">
      <c r="A466" s="3">
        <v>46243</v>
      </c>
      <c r="B466" t="inlineStr" s="4">
        <is>
          <t>星期日</t>
        </is>
      </c>
      <c r="C466" t="inlineStr" s="4">
        <is>
          <t>奶茶/咖啡</t>
        </is>
      </c>
      <c r="D466" t="inlineStr" s="5">
        <is>
          <t>奶茶/咖啡</t>
        </is>
      </c>
      <c r="E466" s="6"/>
      <c r="F466" s="6"/>
      <c r="G466" s="6">
        <f>IF(AND(E466="",F466=""),"",F466-E466)</f>
      </c>
      <c r="H466" s="4"/>
      <c r="I466" s="5"/>
    </row>
    <row r="467" ht="21" customHeight="1">
      <c r="A467" s="3">
        <v>46243</v>
      </c>
      <c r="B467" t="inlineStr" s="4">
        <is>
          <t>星期日</t>
        </is>
      </c>
      <c r="C467" t="inlineStr" s="4">
        <is>
          <t>其他</t>
        </is>
      </c>
      <c r="D467" t="inlineStr" s="5">
        <is>
          <t>其他</t>
        </is>
      </c>
      <c r="E467" s="6"/>
      <c r="F467" s="6"/>
      <c r="G467" s="6">
        <f>IF(AND(E467="",F467=""),"",F467-E467)</f>
      </c>
      <c r="H467" s="4"/>
      <c r="I467" s="5"/>
    </row>
    <row r="468" ht="21" customHeight="1">
      <c r="A468" s="3">
        <v>46243</v>
      </c>
      <c r="B468" t="inlineStr" s="4">
        <is>
          <t>星期日</t>
        </is>
      </c>
      <c r="C468" t="inlineStr" s="4">
        <is>
          <t>其他</t>
        </is>
      </c>
      <c r="D468" t="inlineStr" s="5">
        <is>
          <t>其他</t>
        </is>
      </c>
      <c r="E468" s="6"/>
      <c r="F468" s="6"/>
      <c r="G468" s="6">
        <f>IF(AND(E468="",F468=""),"",F468-E468)</f>
      </c>
      <c r="H468" s="4"/>
      <c r="I468" s="5"/>
    </row>
    <row r="469" ht="23" customHeight="1">
      <c r="A469" t="inlineStr" s="7">
        <is>
          <t>本周小计</t>
        </is>
      </c>
      <c r="B469" s="7"/>
      <c r="C469" s="7"/>
      <c r="D469" s="7"/>
      <c r="E469" s="8">
        <f>SUM(E427:E468)</f>
      </c>
      <c r="F469" s="8">
        <f>SUM(F427:F468)</f>
      </c>
      <c r="G469" s="8">
        <f>SUM(G427:G468)</f>
      </c>
      <c r="H469" s="7"/>
      <c r="I469" s="7"/>
    </row>
    <row r="470" ht="18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8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26" customHeight="1">
      <c r="A472" t="inlineStr" s="2">
        <is>
          <t>2026年8月｜第二周（8月10日 - 8月16日）</t>
        </is>
      </c>
      <c r="B472" s="2"/>
      <c r="C472" s="2"/>
      <c r="D472" s="2"/>
      <c r="E472" s="2"/>
      <c r="F472" s="2"/>
      <c r="G472" s="2"/>
      <c r="H472" s="2"/>
      <c r="I472" s="2"/>
    </row>
    <row r="473" ht="22" customHeight="1">
      <c r="A473" t="inlineStr" s="1">
        <is>
          <t>日期</t>
        </is>
      </c>
      <c r="B473" t="inlineStr" s="1">
        <is>
          <t>星期</t>
        </is>
      </c>
      <c r="C473" t="inlineStr" s="1">
        <is>
          <t>分类</t>
        </is>
      </c>
      <c r="D473" t="inlineStr" s="1">
        <is>
          <t>事项</t>
        </is>
      </c>
      <c r="E473" t="inlineStr" s="1">
        <is>
          <t>支出金额</t>
        </is>
      </c>
      <c r="F473" t="inlineStr" s="1">
        <is>
          <t>收入金额</t>
        </is>
      </c>
      <c r="G473" t="inlineStr" s="1">
        <is>
          <t>当笔净额</t>
        </is>
      </c>
      <c r="H473" t="inlineStr" s="1">
        <is>
          <t>支付方式</t>
        </is>
      </c>
      <c r="I473" t="inlineStr" s="1">
        <is>
          <t>备注</t>
        </is>
      </c>
    </row>
    <row r="474" ht="21" customHeight="1">
      <c r="A474" s="3">
        <v>46244</v>
      </c>
      <c r="B474" t="inlineStr" s="4">
        <is>
          <t>星期一</t>
        </is>
      </c>
      <c r="C474" t="inlineStr" s="4">
        <is>
          <t>餐饮</t>
        </is>
      </c>
      <c r="D474" t="inlineStr" s="5">
        <is>
          <t>早餐</t>
        </is>
      </c>
      <c r="E474" s="6"/>
      <c r="F474" s="6"/>
      <c r="G474" s="6">
        <f>IF(AND(E474="",F474=""),"",F474-E474)</f>
      </c>
      <c r="H474" s="4"/>
      <c r="I474" s="5"/>
    </row>
    <row r="475" ht="21" customHeight="1">
      <c r="A475" s="3">
        <v>46244</v>
      </c>
      <c r="B475" t="inlineStr" s="4">
        <is>
          <t>星期一</t>
        </is>
      </c>
      <c r="C475" t="inlineStr" s="4">
        <is>
          <t>餐饮</t>
        </is>
      </c>
      <c r="D475" t="inlineStr" s="5">
        <is>
          <t>中餐</t>
        </is>
      </c>
      <c r="E475" s="6"/>
      <c r="F475" s="6"/>
      <c r="G475" s="6">
        <f>IF(AND(E475="",F475=""),"",F475-E475)</f>
      </c>
      <c r="H475" s="4"/>
      <c r="I475" s="5"/>
    </row>
    <row r="476" ht="21" customHeight="1">
      <c r="A476" s="3">
        <v>46244</v>
      </c>
      <c r="B476" t="inlineStr" s="4">
        <is>
          <t>星期一</t>
        </is>
      </c>
      <c r="C476" t="inlineStr" s="4">
        <is>
          <t>餐饮</t>
        </is>
      </c>
      <c r="D476" t="inlineStr" s="5">
        <is>
          <t>晚餐</t>
        </is>
      </c>
      <c r="E476" s="6"/>
      <c r="F476" s="6"/>
      <c r="G476" s="6">
        <f>IF(AND(E476="",F476=""),"",F476-E476)</f>
      </c>
      <c r="H476" s="4"/>
      <c r="I476" s="5"/>
    </row>
    <row r="477" ht="21" customHeight="1">
      <c r="A477" s="3">
        <v>46244</v>
      </c>
      <c r="B477" t="inlineStr" s="4">
        <is>
          <t>星期一</t>
        </is>
      </c>
      <c r="C477" t="inlineStr" s="4">
        <is>
          <t>奶茶/咖啡</t>
        </is>
      </c>
      <c r="D477" t="inlineStr" s="5">
        <is>
          <t>奶茶/咖啡</t>
        </is>
      </c>
      <c r="E477" s="6"/>
      <c r="F477" s="6"/>
      <c r="G477" s="6">
        <f>IF(AND(E477="",F477=""),"",F477-E477)</f>
      </c>
      <c r="H477" s="4"/>
      <c r="I477" s="5"/>
    </row>
    <row r="478" ht="21" customHeight="1">
      <c r="A478" s="3">
        <v>46244</v>
      </c>
      <c r="B478" t="inlineStr" s="4">
        <is>
          <t>星期一</t>
        </is>
      </c>
      <c r="C478" t="inlineStr" s="4">
        <is>
          <t>其他</t>
        </is>
      </c>
      <c r="D478" t="inlineStr" s="5">
        <is>
          <t>其他</t>
        </is>
      </c>
      <c r="E478" s="6"/>
      <c r="F478" s="6"/>
      <c r="G478" s="6">
        <f>IF(AND(E478="",F478=""),"",F478-E478)</f>
      </c>
      <c r="H478" s="4"/>
      <c r="I478" s="5"/>
    </row>
    <row r="479" ht="21" customHeight="1">
      <c r="A479" s="3">
        <v>46244</v>
      </c>
      <c r="B479" t="inlineStr" s="4">
        <is>
          <t>星期一</t>
        </is>
      </c>
      <c r="C479" t="inlineStr" s="4">
        <is>
          <t>其他</t>
        </is>
      </c>
      <c r="D479" t="inlineStr" s="5">
        <is>
          <t>其他</t>
        </is>
      </c>
      <c r="E479" s="6"/>
      <c r="F479" s="6"/>
      <c r="G479" s="6">
        <f>IF(AND(E479="",F479=""),"",F479-E479)</f>
      </c>
      <c r="H479" s="4"/>
      <c r="I479" s="5"/>
    </row>
    <row r="480" ht="21" customHeight="1">
      <c r="A480" s="3">
        <v>46245</v>
      </c>
      <c r="B480" t="inlineStr" s="4">
        <is>
          <t>星期二</t>
        </is>
      </c>
      <c r="C480" t="inlineStr" s="4">
        <is>
          <t>餐饮</t>
        </is>
      </c>
      <c r="D480" t="inlineStr" s="5">
        <is>
          <t>早餐</t>
        </is>
      </c>
      <c r="E480" s="6"/>
      <c r="F480" s="6"/>
      <c r="G480" s="6">
        <f>IF(AND(E480="",F480=""),"",F480-E480)</f>
      </c>
      <c r="H480" s="4"/>
      <c r="I480" s="5"/>
    </row>
    <row r="481" ht="21" customHeight="1">
      <c r="A481" s="3">
        <v>46245</v>
      </c>
      <c r="B481" t="inlineStr" s="4">
        <is>
          <t>星期二</t>
        </is>
      </c>
      <c r="C481" t="inlineStr" s="4">
        <is>
          <t>餐饮</t>
        </is>
      </c>
      <c r="D481" t="inlineStr" s="5">
        <is>
          <t>中餐</t>
        </is>
      </c>
      <c r="E481" s="6"/>
      <c r="F481" s="6"/>
      <c r="G481" s="6">
        <f>IF(AND(E481="",F481=""),"",F481-E481)</f>
      </c>
      <c r="H481" s="4"/>
      <c r="I481" s="5"/>
    </row>
    <row r="482" ht="21" customHeight="1">
      <c r="A482" s="3">
        <v>46245</v>
      </c>
      <c r="B482" t="inlineStr" s="4">
        <is>
          <t>星期二</t>
        </is>
      </c>
      <c r="C482" t="inlineStr" s="4">
        <is>
          <t>餐饮</t>
        </is>
      </c>
      <c r="D482" t="inlineStr" s="5">
        <is>
          <t>晚餐</t>
        </is>
      </c>
      <c r="E482" s="6"/>
      <c r="F482" s="6"/>
      <c r="G482" s="6">
        <f>IF(AND(E482="",F482=""),"",F482-E482)</f>
      </c>
      <c r="H482" s="4"/>
      <c r="I482" s="5"/>
    </row>
    <row r="483" ht="21" customHeight="1">
      <c r="A483" s="3">
        <v>46245</v>
      </c>
      <c r="B483" t="inlineStr" s="4">
        <is>
          <t>星期二</t>
        </is>
      </c>
      <c r="C483" t="inlineStr" s="4">
        <is>
          <t>奶茶/咖啡</t>
        </is>
      </c>
      <c r="D483" t="inlineStr" s="5">
        <is>
          <t>奶茶/咖啡</t>
        </is>
      </c>
      <c r="E483" s="6"/>
      <c r="F483" s="6"/>
      <c r="G483" s="6">
        <f>IF(AND(E483="",F483=""),"",F483-E483)</f>
      </c>
      <c r="H483" s="4"/>
      <c r="I483" s="5"/>
    </row>
    <row r="484" ht="21" customHeight="1">
      <c r="A484" s="3">
        <v>46245</v>
      </c>
      <c r="B484" t="inlineStr" s="4">
        <is>
          <t>星期二</t>
        </is>
      </c>
      <c r="C484" t="inlineStr" s="4">
        <is>
          <t>其他</t>
        </is>
      </c>
      <c r="D484" t="inlineStr" s="5">
        <is>
          <t>其他</t>
        </is>
      </c>
      <c r="E484" s="6"/>
      <c r="F484" s="6"/>
      <c r="G484" s="6">
        <f>IF(AND(E484="",F484=""),"",F484-E484)</f>
      </c>
      <c r="H484" s="4"/>
      <c r="I484" s="5"/>
    </row>
    <row r="485" ht="21" customHeight="1">
      <c r="A485" s="3">
        <v>46245</v>
      </c>
      <c r="B485" t="inlineStr" s="4">
        <is>
          <t>星期二</t>
        </is>
      </c>
      <c r="C485" t="inlineStr" s="4">
        <is>
          <t>其他</t>
        </is>
      </c>
      <c r="D485" t="inlineStr" s="5">
        <is>
          <t>其他</t>
        </is>
      </c>
      <c r="E485" s="6"/>
      <c r="F485" s="6"/>
      <c r="G485" s="6">
        <f>IF(AND(E485="",F485=""),"",F485-E485)</f>
      </c>
      <c r="H485" s="4"/>
      <c r="I485" s="5"/>
    </row>
    <row r="486" ht="21" customHeight="1">
      <c r="A486" s="3">
        <v>46246</v>
      </c>
      <c r="B486" t="inlineStr" s="4">
        <is>
          <t>星期三</t>
        </is>
      </c>
      <c r="C486" t="inlineStr" s="4">
        <is>
          <t>餐饮</t>
        </is>
      </c>
      <c r="D486" t="inlineStr" s="5">
        <is>
          <t>早餐</t>
        </is>
      </c>
      <c r="E486" s="6"/>
      <c r="F486" s="6"/>
      <c r="G486" s="6">
        <f>IF(AND(E486="",F486=""),"",F486-E486)</f>
      </c>
      <c r="H486" s="4"/>
      <c r="I486" s="5"/>
    </row>
    <row r="487" ht="21" customHeight="1">
      <c r="A487" s="3">
        <v>46246</v>
      </c>
      <c r="B487" t="inlineStr" s="4">
        <is>
          <t>星期三</t>
        </is>
      </c>
      <c r="C487" t="inlineStr" s="4">
        <is>
          <t>餐饮</t>
        </is>
      </c>
      <c r="D487" t="inlineStr" s="5">
        <is>
          <t>中餐</t>
        </is>
      </c>
      <c r="E487" s="6"/>
      <c r="F487" s="6"/>
      <c r="G487" s="6">
        <f>IF(AND(E487="",F487=""),"",F487-E487)</f>
      </c>
      <c r="H487" s="4"/>
      <c r="I487" s="5"/>
    </row>
    <row r="488" ht="21" customHeight="1">
      <c r="A488" s="3">
        <v>46246</v>
      </c>
      <c r="B488" t="inlineStr" s="4">
        <is>
          <t>星期三</t>
        </is>
      </c>
      <c r="C488" t="inlineStr" s="4">
        <is>
          <t>餐饮</t>
        </is>
      </c>
      <c r="D488" t="inlineStr" s="5">
        <is>
          <t>晚餐</t>
        </is>
      </c>
      <c r="E488" s="6"/>
      <c r="F488" s="6"/>
      <c r="G488" s="6">
        <f>IF(AND(E488="",F488=""),"",F488-E488)</f>
      </c>
      <c r="H488" s="4"/>
      <c r="I488" s="5"/>
    </row>
    <row r="489" ht="21" customHeight="1">
      <c r="A489" s="3">
        <v>46246</v>
      </c>
      <c r="B489" t="inlineStr" s="4">
        <is>
          <t>星期三</t>
        </is>
      </c>
      <c r="C489" t="inlineStr" s="4">
        <is>
          <t>奶茶/咖啡</t>
        </is>
      </c>
      <c r="D489" t="inlineStr" s="5">
        <is>
          <t>奶茶/咖啡</t>
        </is>
      </c>
      <c r="E489" s="6"/>
      <c r="F489" s="6"/>
      <c r="G489" s="6">
        <f>IF(AND(E489="",F489=""),"",F489-E489)</f>
      </c>
      <c r="H489" s="4"/>
      <c r="I489" s="5"/>
    </row>
    <row r="490" ht="21" customHeight="1">
      <c r="A490" s="3">
        <v>46246</v>
      </c>
      <c r="B490" t="inlineStr" s="4">
        <is>
          <t>星期三</t>
        </is>
      </c>
      <c r="C490" t="inlineStr" s="4">
        <is>
          <t>其他</t>
        </is>
      </c>
      <c r="D490" t="inlineStr" s="5">
        <is>
          <t>其他</t>
        </is>
      </c>
      <c r="E490" s="6"/>
      <c r="F490" s="6"/>
      <c r="G490" s="6">
        <f>IF(AND(E490="",F490=""),"",F490-E490)</f>
      </c>
      <c r="H490" s="4"/>
      <c r="I490" s="5"/>
    </row>
    <row r="491" ht="21" customHeight="1">
      <c r="A491" s="3">
        <v>46246</v>
      </c>
      <c r="B491" t="inlineStr" s="4">
        <is>
          <t>星期三</t>
        </is>
      </c>
      <c r="C491" t="inlineStr" s="4">
        <is>
          <t>其他</t>
        </is>
      </c>
      <c r="D491" t="inlineStr" s="5">
        <is>
          <t>其他</t>
        </is>
      </c>
      <c r="E491" s="6"/>
      <c r="F491" s="6"/>
      <c r="G491" s="6">
        <f>IF(AND(E491="",F491=""),"",F491-E491)</f>
      </c>
      <c r="H491" s="4"/>
      <c r="I491" s="5"/>
    </row>
    <row r="492" ht="21" customHeight="1">
      <c r="A492" s="3">
        <v>46247</v>
      </c>
      <c r="B492" t="inlineStr" s="4">
        <is>
          <t>星期四</t>
        </is>
      </c>
      <c r="C492" t="inlineStr" s="4">
        <is>
          <t>餐饮</t>
        </is>
      </c>
      <c r="D492" t="inlineStr" s="5">
        <is>
          <t>早餐</t>
        </is>
      </c>
      <c r="E492" s="6"/>
      <c r="F492" s="6"/>
      <c r="G492" s="6">
        <f>IF(AND(E492="",F492=""),"",F492-E492)</f>
      </c>
      <c r="H492" s="4"/>
      <c r="I492" s="5"/>
    </row>
    <row r="493" ht="21" customHeight="1">
      <c r="A493" s="3">
        <v>46247</v>
      </c>
      <c r="B493" t="inlineStr" s="4">
        <is>
          <t>星期四</t>
        </is>
      </c>
      <c r="C493" t="inlineStr" s="4">
        <is>
          <t>餐饮</t>
        </is>
      </c>
      <c r="D493" t="inlineStr" s="5">
        <is>
          <t>中餐</t>
        </is>
      </c>
      <c r="E493" s="6"/>
      <c r="F493" s="6"/>
      <c r="G493" s="6">
        <f>IF(AND(E493="",F493=""),"",F493-E493)</f>
      </c>
      <c r="H493" s="4"/>
      <c r="I493" s="5"/>
    </row>
    <row r="494" ht="21" customHeight="1">
      <c r="A494" s="3">
        <v>46247</v>
      </c>
      <c r="B494" t="inlineStr" s="4">
        <is>
          <t>星期四</t>
        </is>
      </c>
      <c r="C494" t="inlineStr" s="4">
        <is>
          <t>餐饮</t>
        </is>
      </c>
      <c r="D494" t="inlineStr" s="5">
        <is>
          <t>晚餐</t>
        </is>
      </c>
      <c r="E494" s="6"/>
      <c r="F494" s="6"/>
      <c r="G494" s="6">
        <f>IF(AND(E494="",F494=""),"",F494-E494)</f>
      </c>
      <c r="H494" s="4"/>
      <c r="I494" s="5"/>
    </row>
    <row r="495" ht="21" customHeight="1">
      <c r="A495" s="3">
        <v>46247</v>
      </c>
      <c r="B495" t="inlineStr" s="4">
        <is>
          <t>星期四</t>
        </is>
      </c>
      <c r="C495" t="inlineStr" s="4">
        <is>
          <t>奶茶/咖啡</t>
        </is>
      </c>
      <c r="D495" t="inlineStr" s="5">
        <is>
          <t>奶茶/咖啡</t>
        </is>
      </c>
      <c r="E495" s="6"/>
      <c r="F495" s="6"/>
      <c r="G495" s="6">
        <f>IF(AND(E495="",F495=""),"",F495-E495)</f>
      </c>
      <c r="H495" s="4"/>
      <c r="I495" s="5"/>
    </row>
    <row r="496" ht="21" customHeight="1">
      <c r="A496" s="3">
        <v>46247</v>
      </c>
      <c r="B496" t="inlineStr" s="4">
        <is>
          <t>星期四</t>
        </is>
      </c>
      <c r="C496" t="inlineStr" s="4">
        <is>
          <t>其他</t>
        </is>
      </c>
      <c r="D496" t="inlineStr" s="5">
        <is>
          <t>其他</t>
        </is>
      </c>
      <c r="E496" s="6"/>
      <c r="F496" s="6"/>
      <c r="G496" s="6">
        <f>IF(AND(E496="",F496=""),"",F496-E496)</f>
      </c>
      <c r="H496" s="4"/>
      <c r="I496" s="5"/>
    </row>
    <row r="497" ht="21" customHeight="1">
      <c r="A497" s="3">
        <v>46247</v>
      </c>
      <c r="B497" t="inlineStr" s="4">
        <is>
          <t>星期四</t>
        </is>
      </c>
      <c r="C497" t="inlineStr" s="4">
        <is>
          <t>其他</t>
        </is>
      </c>
      <c r="D497" t="inlineStr" s="5">
        <is>
          <t>其他</t>
        </is>
      </c>
      <c r="E497" s="6"/>
      <c r="F497" s="6"/>
      <c r="G497" s="6">
        <f>IF(AND(E497="",F497=""),"",F497-E497)</f>
      </c>
      <c r="H497" s="4"/>
      <c r="I497" s="5"/>
    </row>
    <row r="498" ht="21" customHeight="1">
      <c r="A498" s="3">
        <v>46248</v>
      </c>
      <c r="B498" t="inlineStr" s="4">
        <is>
          <t>星期五</t>
        </is>
      </c>
      <c r="C498" t="inlineStr" s="4">
        <is>
          <t>餐饮</t>
        </is>
      </c>
      <c r="D498" t="inlineStr" s="5">
        <is>
          <t>早餐</t>
        </is>
      </c>
      <c r="E498" s="6"/>
      <c r="F498" s="6"/>
      <c r="G498" s="6">
        <f>IF(AND(E498="",F498=""),"",F498-E498)</f>
      </c>
      <c r="H498" s="4"/>
      <c r="I498" s="5"/>
    </row>
    <row r="499" ht="21" customHeight="1">
      <c r="A499" s="3">
        <v>46248</v>
      </c>
      <c r="B499" t="inlineStr" s="4">
        <is>
          <t>星期五</t>
        </is>
      </c>
      <c r="C499" t="inlineStr" s="4">
        <is>
          <t>餐饮</t>
        </is>
      </c>
      <c r="D499" t="inlineStr" s="5">
        <is>
          <t>中餐</t>
        </is>
      </c>
      <c r="E499" s="6"/>
      <c r="F499" s="6"/>
      <c r="G499" s="6">
        <f>IF(AND(E499="",F499=""),"",F499-E499)</f>
      </c>
      <c r="H499" s="4"/>
      <c r="I499" s="5"/>
    </row>
    <row r="500" ht="21" customHeight="1">
      <c r="A500" s="3">
        <v>46248</v>
      </c>
      <c r="B500" t="inlineStr" s="4">
        <is>
          <t>星期五</t>
        </is>
      </c>
      <c r="C500" t="inlineStr" s="4">
        <is>
          <t>餐饮</t>
        </is>
      </c>
      <c r="D500" t="inlineStr" s="5">
        <is>
          <t>晚餐</t>
        </is>
      </c>
      <c r="E500" s="6"/>
      <c r="F500" s="6"/>
      <c r="G500" s="6">
        <f>IF(AND(E500="",F500=""),"",F500-E500)</f>
      </c>
      <c r="H500" s="4"/>
      <c r="I500" s="5"/>
    </row>
    <row r="501" ht="21" customHeight="1">
      <c r="A501" s="3">
        <v>46248</v>
      </c>
      <c r="B501" t="inlineStr" s="4">
        <is>
          <t>星期五</t>
        </is>
      </c>
      <c r="C501" t="inlineStr" s="4">
        <is>
          <t>奶茶/咖啡</t>
        </is>
      </c>
      <c r="D501" t="inlineStr" s="5">
        <is>
          <t>奶茶/咖啡</t>
        </is>
      </c>
      <c r="E501" s="6"/>
      <c r="F501" s="6"/>
      <c r="G501" s="6">
        <f>IF(AND(E501="",F501=""),"",F501-E501)</f>
      </c>
      <c r="H501" s="4"/>
      <c r="I501" s="5"/>
    </row>
    <row r="502" ht="21" customHeight="1">
      <c r="A502" s="3">
        <v>46248</v>
      </c>
      <c r="B502" t="inlineStr" s="4">
        <is>
          <t>星期五</t>
        </is>
      </c>
      <c r="C502" t="inlineStr" s="4">
        <is>
          <t>其他</t>
        </is>
      </c>
      <c r="D502" t="inlineStr" s="5">
        <is>
          <t>其他</t>
        </is>
      </c>
      <c r="E502" s="6"/>
      <c r="F502" s="6"/>
      <c r="G502" s="6">
        <f>IF(AND(E502="",F502=""),"",F502-E502)</f>
      </c>
      <c r="H502" s="4"/>
      <c r="I502" s="5"/>
    </row>
    <row r="503" ht="21" customHeight="1">
      <c r="A503" s="3">
        <v>46248</v>
      </c>
      <c r="B503" t="inlineStr" s="4">
        <is>
          <t>星期五</t>
        </is>
      </c>
      <c r="C503" t="inlineStr" s="4">
        <is>
          <t>其他</t>
        </is>
      </c>
      <c r="D503" t="inlineStr" s="5">
        <is>
          <t>其他</t>
        </is>
      </c>
      <c r="E503" s="6"/>
      <c r="F503" s="6"/>
      <c r="G503" s="6">
        <f>IF(AND(E503="",F503=""),"",F503-E503)</f>
      </c>
      <c r="H503" s="4"/>
      <c r="I503" s="5"/>
    </row>
    <row r="504" ht="21" customHeight="1">
      <c r="A504" s="3">
        <v>46249</v>
      </c>
      <c r="B504" t="inlineStr" s="4">
        <is>
          <t>星期六</t>
        </is>
      </c>
      <c r="C504" t="inlineStr" s="4">
        <is>
          <t>餐饮</t>
        </is>
      </c>
      <c r="D504" t="inlineStr" s="5">
        <is>
          <t>早餐</t>
        </is>
      </c>
      <c r="E504" s="6"/>
      <c r="F504" s="6"/>
      <c r="G504" s="6">
        <f>IF(AND(E504="",F504=""),"",F504-E504)</f>
      </c>
      <c r="H504" s="4"/>
      <c r="I504" s="5"/>
    </row>
    <row r="505" ht="21" customHeight="1">
      <c r="A505" s="3">
        <v>46249</v>
      </c>
      <c r="B505" t="inlineStr" s="4">
        <is>
          <t>星期六</t>
        </is>
      </c>
      <c r="C505" t="inlineStr" s="4">
        <is>
          <t>餐饮</t>
        </is>
      </c>
      <c r="D505" t="inlineStr" s="5">
        <is>
          <t>中餐</t>
        </is>
      </c>
      <c r="E505" s="6"/>
      <c r="F505" s="6"/>
      <c r="G505" s="6">
        <f>IF(AND(E505="",F505=""),"",F505-E505)</f>
      </c>
      <c r="H505" s="4"/>
      <c r="I505" s="5"/>
    </row>
    <row r="506" ht="21" customHeight="1">
      <c r="A506" s="3">
        <v>46249</v>
      </c>
      <c r="B506" t="inlineStr" s="4">
        <is>
          <t>星期六</t>
        </is>
      </c>
      <c r="C506" t="inlineStr" s="4">
        <is>
          <t>餐饮</t>
        </is>
      </c>
      <c r="D506" t="inlineStr" s="5">
        <is>
          <t>晚餐</t>
        </is>
      </c>
      <c r="E506" s="6"/>
      <c r="F506" s="6"/>
      <c r="G506" s="6">
        <f>IF(AND(E506="",F506=""),"",F506-E506)</f>
      </c>
      <c r="H506" s="4"/>
      <c r="I506" s="5"/>
    </row>
    <row r="507" ht="21" customHeight="1">
      <c r="A507" s="3">
        <v>46249</v>
      </c>
      <c r="B507" t="inlineStr" s="4">
        <is>
          <t>星期六</t>
        </is>
      </c>
      <c r="C507" t="inlineStr" s="4">
        <is>
          <t>奶茶/咖啡</t>
        </is>
      </c>
      <c r="D507" t="inlineStr" s="5">
        <is>
          <t>奶茶/咖啡</t>
        </is>
      </c>
      <c r="E507" s="6"/>
      <c r="F507" s="6"/>
      <c r="G507" s="6">
        <f>IF(AND(E507="",F507=""),"",F507-E507)</f>
      </c>
      <c r="H507" s="4"/>
      <c r="I507" s="5"/>
    </row>
    <row r="508" ht="21" customHeight="1">
      <c r="A508" s="3">
        <v>46249</v>
      </c>
      <c r="B508" t="inlineStr" s="4">
        <is>
          <t>星期六</t>
        </is>
      </c>
      <c r="C508" t="inlineStr" s="4">
        <is>
          <t>其他</t>
        </is>
      </c>
      <c r="D508" t="inlineStr" s="5">
        <is>
          <t>其他</t>
        </is>
      </c>
      <c r="E508" s="6"/>
      <c r="F508" s="6"/>
      <c r="G508" s="6">
        <f>IF(AND(E508="",F508=""),"",F508-E508)</f>
      </c>
      <c r="H508" s="4"/>
      <c r="I508" s="5"/>
    </row>
    <row r="509" ht="21" customHeight="1">
      <c r="A509" s="3">
        <v>46249</v>
      </c>
      <c r="B509" t="inlineStr" s="4">
        <is>
          <t>星期六</t>
        </is>
      </c>
      <c r="C509" t="inlineStr" s="4">
        <is>
          <t>其他</t>
        </is>
      </c>
      <c r="D509" t="inlineStr" s="5">
        <is>
          <t>其他</t>
        </is>
      </c>
      <c r="E509" s="6"/>
      <c r="F509" s="6"/>
      <c r="G509" s="6">
        <f>IF(AND(E509="",F509=""),"",F509-E509)</f>
      </c>
      <c r="H509" s="4"/>
      <c r="I509" s="5"/>
    </row>
    <row r="510" ht="21" customHeight="1">
      <c r="A510" s="3">
        <v>46250</v>
      </c>
      <c r="B510" t="inlineStr" s="4">
        <is>
          <t>星期日</t>
        </is>
      </c>
      <c r="C510" t="inlineStr" s="4">
        <is>
          <t>餐饮</t>
        </is>
      </c>
      <c r="D510" t="inlineStr" s="5">
        <is>
          <t>早餐</t>
        </is>
      </c>
      <c r="E510" s="6"/>
      <c r="F510" s="6"/>
      <c r="G510" s="6">
        <f>IF(AND(E510="",F510=""),"",F510-E510)</f>
      </c>
      <c r="H510" s="4"/>
      <c r="I510" s="5"/>
    </row>
    <row r="511" ht="21" customHeight="1">
      <c r="A511" s="3">
        <v>46250</v>
      </c>
      <c r="B511" t="inlineStr" s="4">
        <is>
          <t>星期日</t>
        </is>
      </c>
      <c r="C511" t="inlineStr" s="4">
        <is>
          <t>餐饮</t>
        </is>
      </c>
      <c r="D511" t="inlineStr" s="5">
        <is>
          <t>中餐</t>
        </is>
      </c>
      <c r="E511" s="6"/>
      <c r="F511" s="6"/>
      <c r="G511" s="6">
        <f>IF(AND(E511="",F511=""),"",F511-E511)</f>
      </c>
      <c r="H511" s="4"/>
      <c r="I511" s="5"/>
    </row>
    <row r="512" ht="21" customHeight="1">
      <c r="A512" s="3">
        <v>46250</v>
      </c>
      <c r="B512" t="inlineStr" s="4">
        <is>
          <t>星期日</t>
        </is>
      </c>
      <c r="C512" t="inlineStr" s="4">
        <is>
          <t>餐饮</t>
        </is>
      </c>
      <c r="D512" t="inlineStr" s="5">
        <is>
          <t>晚餐</t>
        </is>
      </c>
      <c r="E512" s="6"/>
      <c r="F512" s="6"/>
      <c r="G512" s="6">
        <f>IF(AND(E512="",F512=""),"",F512-E512)</f>
      </c>
      <c r="H512" s="4"/>
      <c r="I512" s="5"/>
    </row>
    <row r="513" ht="21" customHeight="1">
      <c r="A513" s="3">
        <v>46250</v>
      </c>
      <c r="B513" t="inlineStr" s="4">
        <is>
          <t>星期日</t>
        </is>
      </c>
      <c r="C513" t="inlineStr" s="4">
        <is>
          <t>奶茶/咖啡</t>
        </is>
      </c>
      <c r="D513" t="inlineStr" s="5">
        <is>
          <t>奶茶/咖啡</t>
        </is>
      </c>
      <c r="E513" s="6"/>
      <c r="F513" s="6"/>
      <c r="G513" s="6">
        <f>IF(AND(E513="",F513=""),"",F513-E513)</f>
      </c>
      <c r="H513" s="4"/>
      <c r="I513" s="5"/>
    </row>
    <row r="514" ht="21" customHeight="1">
      <c r="A514" s="3">
        <v>46250</v>
      </c>
      <c r="B514" t="inlineStr" s="4">
        <is>
          <t>星期日</t>
        </is>
      </c>
      <c r="C514" t="inlineStr" s="4">
        <is>
          <t>其他</t>
        </is>
      </c>
      <c r="D514" t="inlineStr" s="5">
        <is>
          <t>其他</t>
        </is>
      </c>
      <c r="E514" s="6"/>
      <c r="F514" s="6"/>
      <c r="G514" s="6">
        <f>IF(AND(E514="",F514=""),"",F514-E514)</f>
      </c>
      <c r="H514" s="4"/>
      <c r="I514" s="5"/>
    </row>
    <row r="515" ht="21" customHeight="1">
      <c r="A515" s="3">
        <v>46250</v>
      </c>
      <c r="B515" t="inlineStr" s="4">
        <is>
          <t>星期日</t>
        </is>
      </c>
      <c r="C515" t="inlineStr" s="4">
        <is>
          <t>其他</t>
        </is>
      </c>
      <c r="D515" t="inlineStr" s="5">
        <is>
          <t>其他</t>
        </is>
      </c>
      <c r="E515" s="6"/>
      <c r="F515" s="6"/>
      <c r="G515" s="6">
        <f>IF(AND(E515="",F515=""),"",F515-E515)</f>
      </c>
      <c r="H515" s="4"/>
      <c r="I515" s="5"/>
    </row>
    <row r="516" ht="23" customHeight="1">
      <c r="A516" t="inlineStr" s="7">
        <is>
          <t>本周小计</t>
        </is>
      </c>
      <c r="B516" s="7"/>
      <c r="C516" s="7"/>
      <c r="D516" s="7"/>
      <c r="E516" s="8">
        <f>SUM(E474:E515)</f>
      </c>
      <c r="F516" s="8">
        <f>SUM(F474:F515)</f>
      </c>
      <c r="G516" s="8">
        <f>SUM(G474:G515)</f>
      </c>
      <c r="H516" s="7"/>
      <c r="I516" s="7"/>
    </row>
    <row r="517" ht="18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8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26" customHeight="1">
      <c r="A519" t="inlineStr" s="2">
        <is>
          <t>2026年8月｜第三周（8月17日 - 8月23日）</t>
        </is>
      </c>
      <c r="B519" s="2"/>
      <c r="C519" s="2"/>
      <c r="D519" s="2"/>
      <c r="E519" s="2"/>
      <c r="F519" s="2"/>
      <c r="G519" s="2"/>
      <c r="H519" s="2"/>
      <c r="I519" s="2"/>
    </row>
    <row r="520" ht="22" customHeight="1">
      <c r="A520" t="inlineStr" s="1">
        <is>
          <t>日期</t>
        </is>
      </c>
      <c r="B520" t="inlineStr" s="1">
        <is>
          <t>星期</t>
        </is>
      </c>
      <c r="C520" t="inlineStr" s="1">
        <is>
          <t>分类</t>
        </is>
      </c>
      <c r="D520" t="inlineStr" s="1">
        <is>
          <t>事项</t>
        </is>
      </c>
      <c r="E520" t="inlineStr" s="1">
        <is>
          <t>支出金额</t>
        </is>
      </c>
      <c r="F520" t="inlineStr" s="1">
        <is>
          <t>收入金额</t>
        </is>
      </c>
      <c r="G520" t="inlineStr" s="1">
        <is>
          <t>当笔净额</t>
        </is>
      </c>
      <c r="H520" t="inlineStr" s="1">
        <is>
          <t>支付方式</t>
        </is>
      </c>
      <c r="I520" t="inlineStr" s="1">
        <is>
          <t>备注</t>
        </is>
      </c>
    </row>
    <row r="521" ht="21" customHeight="1">
      <c r="A521" s="3">
        <v>46251</v>
      </c>
      <c r="B521" t="inlineStr" s="4">
        <is>
          <t>星期一</t>
        </is>
      </c>
      <c r="C521" t="inlineStr" s="4">
        <is>
          <t>餐饮</t>
        </is>
      </c>
      <c r="D521" t="inlineStr" s="5">
        <is>
          <t>早餐</t>
        </is>
      </c>
      <c r="E521" s="6"/>
      <c r="F521" s="6"/>
      <c r="G521" s="6">
        <f>IF(AND(E521="",F521=""),"",F521-E521)</f>
      </c>
      <c r="H521" s="4"/>
      <c r="I521" s="5"/>
    </row>
    <row r="522" ht="21" customHeight="1">
      <c r="A522" s="3">
        <v>46251</v>
      </c>
      <c r="B522" t="inlineStr" s="4">
        <is>
          <t>星期一</t>
        </is>
      </c>
      <c r="C522" t="inlineStr" s="4">
        <is>
          <t>餐饮</t>
        </is>
      </c>
      <c r="D522" t="inlineStr" s="5">
        <is>
          <t>中餐</t>
        </is>
      </c>
      <c r="E522" s="6"/>
      <c r="F522" s="6"/>
      <c r="G522" s="6">
        <f>IF(AND(E522="",F522=""),"",F522-E522)</f>
      </c>
      <c r="H522" s="4"/>
      <c r="I522" s="5"/>
    </row>
    <row r="523" ht="21" customHeight="1">
      <c r="A523" s="3">
        <v>46251</v>
      </c>
      <c r="B523" t="inlineStr" s="4">
        <is>
          <t>星期一</t>
        </is>
      </c>
      <c r="C523" t="inlineStr" s="4">
        <is>
          <t>餐饮</t>
        </is>
      </c>
      <c r="D523" t="inlineStr" s="5">
        <is>
          <t>晚餐</t>
        </is>
      </c>
      <c r="E523" s="6"/>
      <c r="F523" s="6"/>
      <c r="G523" s="6">
        <f>IF(AND(E523="",F523=""),"",F523-E523)</f>
      </c>
      <c r="H523" s="4"/>
      <c r="I523" s="5"/>
    </row>
    <row r="524" ht="21" customHeight="1">
      <c r="A524" s="3">
        <v>46251</v>
      </c>
      <c r="B524" t="inlineStr" s="4">
        <is>
          <t>星期一</t>
        </is>
      </c>
      <c r="C524" t="inlineStr" s="4">
        <is>
          <t>奶茶/咖啡</t>
        </is>
      </c>
      <c r="D524" t="inlineStr" s="5">
        <is>
          <t>奶茶/咖啡</t>
        </is>
      </c>
      <c r="E524" s="6"/>
      <c r="F524" s="6"/>
      <c r="G524" s="6">
        <f>IF(AND(E524="",F524=""),"",F524-E524)</f>
      </c>
      <c r="H524" s="4"/>
      <c r="I524" s="5"/>
    </row>
    <row r="525" ht="21" customHeight="1">
      <c r="A525" s="3">
        <v>46251</v>
      </c>
      <c r="B525" t="inlineStr" s="4">
        <is>
          <t>星期一</t>
        </is>
      </c>
      <c r="C525" t="inlineStr" s="4">
        <is>
          <t>其他</t>
        </is>
      </c>
      <c r="D525" t="inlineStr" s="5">
        <is>
          <t>其他</t>
        </is>
      </c>
      <c r="E525" s="6"/>
      <c r="F525" s="6"/>
      <c r="G525" s="6">
        <f>IF(AND(E525="",F525=""),"",F525-E525)</f>
      </c>
      <c r="H525" s="4"/>
      <c r="I525" s="5"/>
    </row>
    <row r="526" ht="21" customHeight="1">
      <c r="A526" s="3">
        <v>46251</v>
      </c>
      <c r="B526" t="inlineStr" s="4">
        <is>
          <t>星期一</t>
        </is>
      </c>
      <c r="C526" t="inlineStr" s="4">
        <is>
          <t>其他</t>
        </is>
      </c>
      <c r="D526" t="inlineStr" s="5">
        <is>
          <t>其他</t>
        </is>
      </c>
      <c r="E526" s="6"/>
      <c r="F526" s="6"/>
      <c r="G526" s="6">
        <f>IF(AND(E526="",F526=""),"",F526-E526)</f>
      </c>
      <c r="H526" s="4"/>
      <c r="I526" s="5"/>
    </row>
    <row r="527" ht="21" customHeight="1">
      <c r="A527" s="3">
        <v>46252</v>
      </c>
      <c r="B527" t="inlineStr" s="4">
        <is>
          <t>星期二</t>
        </is>
      </c>
      <c r="C527" t="inlineStr" s="4">
        <is>
          <t>餐饮</t>
        </is>
      </c>
      <c r="D527" t="inlineStr" s="5">
        <is>
          <t>早餐</t>
        </is>
      </c>
      <c r="E527" s="6"/>
      <c r="F527" s="6"/>
      <c r="G527" s="6">
        <f>IF(AND(E527="",F527=""),"",F527-E527)</f>
      </c>
      <c r="H527" s="4"/>
      <c r="I527" s="5"/>
    </row>
    <row r="528" ht="21" customHeight="1">
      <c r="A528" s="3">
        <v>46252</v>
      </c>
      <c r="B528" t="inlineStr" s="4">
        <is>
          <t>星期二</t>
        </is>
      </c>
      <c r="C528" t="inlineStr" s="4">
        <is>
          <t>餐饮</t>
        </is>
      </c>
      <c r="D528" t="inlineStr" s="5">
        <is>
          <t>中餐</t>
        </is>
      </c>
      <c r="E528" s="6"/>
      <c r="F528" s="6"/>
      <c r="G528" s="6">
        <f>IF(AND(E528="",F528=""),"",F528-E528)</f>
      </c>
      <c r="H528" s="4"/>
      <c r="I528" s="5"/>
    </row>
    <row r="529" ht="21" customHeight="1">
      <c r="A529" s="3">
        <v>46252</v>
      </c>
      <c r="B529" t="inlineStr" s="4">
        <is>
          <t>星期二</t>
        </is>
      </c>
      <c r="C529" t="inlineStr" s="4">
        <is>
          <t>餐饮</t>
        </is>
      </c>
      <c r="D529" t="inlineStr" s="5">
        <is>
          <t>晚餐</t>
        </is>
      </c>
      <c r="E529" s="6"/>
      <c r="F529" s="6"/>
      <c r="G529" s="6">
        <f>IF(AND(E529="",F529=""),"",F529-E529)</f>
      </c>
      <c r="H529" s="4"/>
      <c r="I529" s="5"/>
    </row>
    <row r="530" ht="21" customHeight="1">
      <c r="A530" s="3">
        <v>46252</v>
      </c>
      <c r="B530" t="inlineStr" s="4">
        <is>
          <t>星期二</t>
        </is>
      </c>
      <c r="C530" t="inlineStr" s="4">
        <is>
          <t>奶茶/咖啡</t>
        </is>
      </c>
      <c r="D530" t="inlineStr" s="5">
        <is>
          <t>奶茶/咖啡</t>
        </is>
      </c>
      <c r="E530" s="6"/>
      <c r="F530" s="6"/>
      <c r="G530" s="6">
        <f>IF(AND(E530="",F530=""),"",F530-E530)</f>
      </c>
      <c r="H530" s="4"/>
      <c r="I530" s="5"/>
    </row>
    <row r="531" ht="21" customHeight="1">
      <c r="A531" s="3">
        <v>46252</v>
      </c>
      <c r="B531" t="inlineStr" s="4">
        <is>
          <t>星期二</t>
        </is>
      </c>
      <c r="C531" t="inlineStr" s="4">
        <is>
          <t>其他</t>
        </is>
      </c>
      <c r="D531" t="inlineStr" s="5">
        <is>
          <t>其他</t>
        </is>
      </c>
      <c r="E531" s="6"/>
      <c r="F531" s="6"/>
      <c r="G531" s="6">
        <f>IF(AND(E531="",F531=""),"",F531-E531)</f>
      </c>
      <c r="H531" s="4"/>
      <c r="I531" s="5"/>
    </row>
    <row r="532" ht="21" customHeight="1">
      <c r="A532" s="3">
        <v>46252</v>
      </c>
      <c r="B532" t="inlineStr" s="4">
        <is>
          <t>星期二</t>
        </is>
      </c>
      <c r="C532" t="inlineStr" s="4">
        <is>
          <t>其他</t>
        </is>
      </c>
      <c r="D532" t="inlineStr" s="5">
        <is>
          <t>其他</t>
        </is>
      </c>
      <c r="E532" s="6"/>
      <c r="F532" s="6"/>
      <c r="G532" s="6">
        <f>IF(AND(E532="",F532=""),"",F532-E532)</f>
      </c>
      <c r="H532" s="4"/>
      <c r="I532" s="5"/>
    </row>
    <row r="533" ht="21" customHeight="1">
      <c r="A533" s="3">
        <v>46253</v>
      </c>
      <c r="B533" t="inlineStr" s="4">
        <is>
          <t>星期三</t>
        </is>
      </c>
      <c r="C533" t="inlineStr" s="4">
        <is>
          <t>餐饮</t>
        </is>
      </c>
      <c r="D533" t="inlineStr" s="5">
        <is>
          <t>早餐</t>
        </is>
      </c>
      <c r="E533" s="6"/>
      <c r="F533" s="6"/>
      <c r="G533" s="6">
        <f>IF(AND(E533="",F533=""),"",F533-E533)</f>
      </c>
      <c r="H533" s="4"/>
      <c r="I533" s="5"/>
    </row>
    <row r="534" ht="21" customHeight="1">
      <c r="A534" s="3">
        <v>46253</v>
      </c>
      <c r="B534" t="inlineStr" s="4">
        <is>
          <t>星期三</t>
        </is>
      </c>
      <c r="C534" t="inlineStr" s="4">
        <is>
          <t>餐饮</t>
        </is>
      </c>
      <c r="D534" t="inlineStr" s="5">
        <is>
          <t>中餐</t>
        </is>
      </c>
      <c r="E534" s="6"/>
      <c r="F534" s="6"/>
      <c r="G534" s="6">
        <f>IF(AND(E534="",F534=""),"",F534-E534)</f>
      </c>
      <c r="H534" s="4"/>
      <c r="I534" s="5"/>
    </row>
    <row r="535" ht="21" customHeight="1">
      <c r="A535" s="3">
        <v>46253</v>
      </c>
      <c r="B535" t="inlineStr" s="4">
        <is>
          <t>星期三</t>
        </is>
      </c>
      <c r="C535" t="inlineStr" s="4">
        <is>
          <t>餐饮</t>
        </is>
      </c>
      <c r="D535" t="inlineStr" s="5">
        <is>
          <t>晚餐</t>
        </is>
      </c>
      <c r="E535" s="6"/>
      <c r="F535" s="6"/>
      <c r="G535" s="6">
        <f>IF(AND(E535="",F535=""),"",F535-E535)</f>
      </c>
      <c r="H535" s="4"/>
      <c r="I535" s="5"/>
    </row>
    <row r="536" ht="21" customHeight="1">
      <c r="A536" s="3">
        <v>46253</v>
      </c>
      <c r="B536" t="inlineStr" s="4">
        <is>
          <t>星期三</t>
        </is>
      </c>
      <c r="C536" t="inlineStr" s="4">
        <is>
          <t>奶茶/咖啡</t>
        </is>
      </c>
      <c r="D536" t="inlineStr" s="5">
        <is>
          <t>奶茶/咖啡</t>
        </is>
      </c>
      <c r="E536" s="6"/>
      <c r="F536" s="6"/>
      <c r="G536" s="6">
        <f>IF(AND(E536="",F536=""),"",F536-E536)</f>
      </c>
      <c r="H536" s="4"/>
      <c r="I536" s="5"/>
    </row>
    <row r="537" ht="21" customHeight="1">
      <c r="A537" s="3">
        <v>46253</v>
      </c>
      <c r="B537" t="inlineStr" s="4">
        <is>
          <t>星期三</t>
        </is>
      </c>
      <c r="C537" t="inlineStr" s="4">
        <is>
          <t>其他</t>
        </is>
      </c>
      <c r="D537" t="inlineStr" s="5">
        <is>
          <t>其他</t>
        </is>
      </c>
      <c r="E537" s="6"/>
      <c r="F537" s="6"/>
      <c r="G537" s="6">
        <f>IF(AND(E537="",F537=""),"",F537-E537)</f>
      </c>
      <c r="H537" s="4"/>
      <c r="I537" s="5"/>
    </row>
    <row r="538" ht="21" customHeight="1">
      <c r="A538" s="3">
        <v>46253</v>
      </c>
      <c r="B538" t="inlineStr" s="4">
        <is>
          <t>星期三</t>
        </is>
      </c>
      <c r="C538" t="inlineStr" s="4">
        <is>
          <t>其他</t>
        </is>
      </c>
      <c r="D538" t="inlineStr" s="5">
        <is>
          <t>其他</t>
        </is>
      </c>
      <c r="E538" s="6"/>
      <c r="F538" s="6"/>
      <c r="G538" s="6">
        <f>IF(AND(E538="",F538=""),"",F538-E538)</f>
      </c>
      <c r="H538" s="4"/>
      <c r="I538" s="5"/>
    </row>
    <row r="539" ht="21" customHeight="1">
      <c r="A539" s="3">
        <v>46254</v>
      </c>
      <c r="B539" t="inlineStr" s="4">
        <is>
          <t>星期四</t>
        </is>
      </c>
      <c r="C539" t="inlineStr" s="4">
        <is>
          <t>餐饮</t>
        </is>
      </c>
      <c r="D539" t="inlineStr" s="5">
        <is>
          <t>早餐</t>
        </is>
      </c>
      <c r="E539" s="6"/>
      <c r="F539" s="6"/>
      <c r="G539" s="6">
        <f>IF(AND(E539="",F539=""),"",F539-E539)</f>
      </c>
      <c r="H539" s="4"/>
      <c r="I539" s="5"/>
    </row>
    <row r="540" ht="21" customHeight="1">
      <c r="A540" s="3">
        <v>46254</v>
      </c>
      <c r="B540" t="inlineStr" s="4">
        <is>
          <t>星期四</t>
        </is>
      </c>
      <c r="C540" t="inlineStr" s="4">
        <is>
          <t>餐饮</t>
        </is>
      </c>
      <c r="D540" t="inlineStr" s="5">
        <is>
          <t>中餐</t>
        </is>
      </c>
      <c r="E540" s="6"/>
      <c r="F540" s="6"/>
      <c r="G540" s="6">
        <f>IF(AND(E540="",F540=""),"",F540-E540)</f>
      </c>
      <c r="H540" s="4"/>
      <c r="I540" s="5"/>
    </row>
    <row r="541" ht="21" customHeight="1">
      <c r="A541" s="3">
        <v>46254</v>
      </c>
      <c r="B541" t="inlineStr" s="4">
        <is>
          <t>星期四</t>
        </is>
      </c>
      <c r="C541" t="inlineStr" s="4">
        <is>
          <t>餐饮</t>
        </is>
      </c>
      <c r="D541" t="inlineStr" s="5">
        <is>
          <t>晚餐</t>
        </is>
      </c>
      <c r="E541" s="6"/>
      <c r="F541" s="6"/>
      <c r="G541" s="6">
        <f>IF(AND(E541="",F541=""),"",F541-E541)</f>
      </c>
      <c r="H541" s="4"/>
      <c r="I541" s="5"/>
    </row>
    <row r="542" ht="21" customHeight="1">
      <c r="A542" s="3">
        <v>46254</v>
      </c>
      <c r="B542" t="inlineStr" s="4">
        <is>
          <t>星期四</t>
        </is>
      </c>
      <c r="C542" t="inlineStr" s="4">
        <is>
          <t>奶茶/咖啡</t>
        </is>
      </c>
      <c r="D542" t="inlineStr" s="5">
        <is>
          <t>奶茶/咖啡</t>
        </is>
      </c>
      <c r="E542" s="6"/>
      <c r="F542" s="6"/>
      <c r="G542" s="6">
        <f>IF(AND(E542="",F542=""),"",F542-E542)</f>
      </c>
      <c r="H542" s="4"/>
      <c r="I542" s="5"/>
    </row>
    <row r="543" ht="21" customHeight="1">
      <c r="A543" s="3">
        <v>46254</v>
      </c>
      <c r="B543" t="inlineStr" s="4">
        <is>
          <t>星期四</t>
        </is>
      </c>
      <c r="C543" t="inlineStr" s="4">
        <is>
          <t>其他</t>
        </is>
      </c>
      <c r="D543" t="inlineStr" s="5">
        <is>
          <t>其他</t>
        </is>
      </c>
      <c r="E543" s="6"/>
      <c r="F543" s="6"/>
      <c r="G543" s="6">
        <f>IF(AND(E543="",F543=""),"",F543-E543)</f>
      </c>
      <c r="H543" s="4"/>
      <c r="I543" s="5"/>
    </row>
    <row r="544" ht="21" customHeight="1">
      <c r="A544" s="3">
        <v>46254</v>
      </c>
      <c r="B544" t="inlineStr" s="4">
        <is>
          <t>星期四</t>
        </is>
      </c>
      <c r="C544" t="inlineStr" s="4">
        <is>
          <t>其他</t>
        </is>
      </c>
      <c r="D544" t="inlineStr" s="5">
        <is>
          <t>其他</t>
        </is>
      </c>
      <c r="E544" s="6"/>
      <c r="F544" s="6"/>
      <c r="G544" s="6">
        <f>IF(AND(E544="",F544=""),"",F544-E544)</f>
      </c>
      <c r="H544" s="4"/>
      <c r="I544" s="5"/>
    </row>
    <row r="545" ht="21" customHeight="1">
      <c r="A545" s="3">
        <v>46255</v>
      </c>
      <c r="B545" t="inlineStr" s="4">
        <is>
          <t>星期五</t>
        </is>
      </c>
      <c r="C545" t="inlineStr" s="4">
        <is>
          <t>餐饮</t>
        </is>
      </c>
      <c r="D545" t="inlineStr" s="5">
        <is>
          <t>早餐</t>
        </is>
      </c>
      <c r="E545" s="6"/>
      <c r="F545" s="6"/>
      <c r="G545" s="6">
        <f>IF(AND(E545="",F545=""),"",F545-E545)</f>
      </c>
      <c r="H545" s="4"/>
      <c r="I545" s="5"/>
    </row>
    <row r="546" ht="21" customHeight="1">
      <c r="A546" s="3">
        <v>46255</v>
      </c>
      <c r="B546" t="inlineStr" s="4">
        <is>
          <t>星期五</t>
        </is>
      </c>
      <c r="C546" t="inlineStr" s="4">
        <is>
          <t>餐饮</t>
        </is>
      </c>
      <c r="D546" t="inlineStr" s="5">
        <is>
          <t>中餐</t>
        </is>
      </c>
      <c r="E546" s="6"/>
      <c r="F546" s="6"/>
      <c r="G546" s="6">
        <f>IF(AND(E546="",F546=""),"",F546-E546)</f>
      </c>
      <c r="H546" s="4"/>
      <c r="I546" s="5"/>
    </row>
    <row r="547" ht="21" customHeight="1">
      <c r="A547" s="3">
        <v>46255</v>
      </c>
      <c r="B547" t="inlineStr" s="4">
        <is>
          <t>星期五</t>
        </is>
      </c>
      <c r="C547" t="inlineStr" s="4">
        <is>
          <t>餐饮</t>
        </is>
      </c>
      <c r="D547" t="inlineStr" s="5">
        <is>
          <t>晚餐</t>
        </is>
      </c>
      <c r="E547" s="6"/>
      <c r="F547" s="6"/>
      <c r="G547" s="6">
        <f>IF(AND(E547="",F547=""),"",F547-E547)</f>
      </c>
      <c r="H547" s="4"/>
      <c r="I547" s="5"/>
    </row>
    <row r="548" ht="21" customHeight="1">
      <c r="A548" s="3">
        <v>46255</v>
      </c>
      <c r="B548" t="inlineStr" s="4">
        <is>
          <t>星期五</t>
        </is>
      </c>
      <c r="C548" t="inlineStr" s="4">
        <is>
          <t>奶茶/咖啡</t>
        </is>
      </c>
      <c r="D548" t="inlineStr" s="5">
        <is>
          <t>奶茶/咖啡</t>
        </is>
      </c>
      <c r="E548" s="6"/>
      <c r="F548" s="6"/>
      <c r="G548" s="6">
        <f>IF(AND(E548="",F548=""),"",F548-E548)</f>
      </c>
      <c r="H548" s="4"/>
      <c r="I548" s="5"/>
    </row>
    <row r="549" ht="21" customHeight="1">
      <c r="A549" s="3">
        <v>46255</v>
      </c>
      <c r="B549" t="inlineStr" s="4">
        <is>
          <t>星期五</t>
        </is>
      </c>
      <c r="C549" t="inlineStr" s="4">
        <is>
          <t>其他</t>
        </is>
      </c>
      <c r="D549" t="inlineStr" s="5">
        <is>
          <t>其他</t>
        </is>
      </c>
      <c r="E549" s="6"/>
      <c r="F549" s="6"/>
      <c r="G549" s="6">
        <f>IF(AND(E549="",F549=""),"",F549-E549)</f>
      </c>
      <c r="H549" s="4"/>
      <c r="I549" s="5"/>
    </row>
    <row r="550" ht="21" customHeight="1">
      <c r="A550" s="3">
        <v>46255</v>
      </c>
      <c r="B550" t="inlineStr" s="4">
        <is>
          <t>星期五</t>
        </is>
      </c>
      <c r="C550" t="inlineStr" s="4">
        <is>
          <t>其他</t>
        </is>
      </c>
      <c r="D550" t="inlineStr" s="5">
        <is>
          <t>其他</t>
        </is>
      </c>
      <c r="E550" s="6"/>
      <c r="F550" s="6"/>
      <c r="G550" s="6">
        <f>IF(AND(E550="",F550=""),"",F550-E550)</f>
      </c>
      <c r="H550" s="4"/>
      <c r="I550" s="5"/>
    </row>
    <row r="551" ht="21" customHeight="1">
      <c r="A551" s="3">
        <v>46256</v>
      </c>
      <c r="B551" t="inlineStr" s="4">
        <is>
          <t>星期六</t>
        </is>
      </c>
      <c r="C551" t="inlineStr" s="4">
        <is>
          <t>餐饮</t>
        </is>
      </c>
      <c r="D551" t="inlineStr" s="5">
        <is>
          <t>早餐</t>
        </is>
      </c>
      <c r="E551" s="6"/>
      <c r="F551" s="6"/>
      <c r="G551" s="6">
        <f>IF(AND(E551="",F551=""),"",F551-E551)</f>
      </c>
      <c r="H551" s="4"/>
      <c r="I551" s="5"/>
    </row>
    <row r="552" ht="21" customHeight="1">
      <c r="A552" s="3">
        <v>46256</v>
      </c>
      <c r="B552" t="inlineStr" s="4">
        <is>
          <t>星期六</t>
        </is>
      </c>
      <c r="C552" t="inlineStr" s="4">
        <is>
          <t>餐饮</t>
        </is>
      </c>
      <c r="D552" t="inlineStr" s="5">
        <is>
          <t>中餐</t>
        </is>
      </c>
      <c r="E552" s="6"/>
      <c r="F552" s="6"/>
      <c r="G552" s="6">
        <f>IF(AND(E552="",F552=""),"",F552-E552)</f>
      </c>
      <c r="H552" s="4"/>
      <c r="I552" s="5"/>
    </row>
    <row r="553" ht="21" customHeight="1">
      <c r="A553" s="3">
        <v>46256</v>
      </c>
      <c r="B553" t="inlineStr" s="4">
        <is>
          <t>星期六</t>
        </is>
      </c>
      <c r="C553" t="inlineStr" s="4">
        <is>
          <t>餐饮</t>
        </is>
      </c>
      <c r="D553" t="inlineStr" s="5">
        <is>
          <t>晚餐</t>
        </is>
      </c>
      <c r="E553" s="6"/>
      <c r="F553" s="6"/>
      <c r="G553" s="6">
        <f>IF(AND(E553="",F553=""),"",F553-E553)</f>
      </c>
      <c r="H553" s="4"/>
      <c r="I553" s="5"/>
    </row>
    <row r="554" ht="21" customHeight="1">
      <c r="A554" s="3">
        <v>46256</v>
      </c>
      <c r="B554" t="inlineStr" s="4">
        <is>
          <t>星期六</t>
        </is>
      </c>
      <c r="C554" t="inlineStr" s="4">
        <is>
          <t>奶茶/咖啡</t>
        </is>
      </c>
      <c r="D554" t="inlineStr" s="5">
        <is>
          <t>奶茶/咖啡</t>
        </is>
      </c>
      <c r="E554" s="6"/>
      <c r="F554" s="6"/>
      <c r="G554" s="6">
        <f>IF(AND(E554="",F554=""),"",F554-E554)</f>
      </c>
      <c r="H554" s="4"/>
      <c r="I554" s="5"/>
    </row>
    <row r="555" ht="21" customHeight="1">
      <c r="A555" s="3">
        <v>46256</v>
      </c>
      <c r="B555" t="inlineStr" s="4">
        <is>
          <t>星期六</t>
        </is>
      </c>
      <c r="C555" t="inlineStr" s="4">
        <is>
          <t>其他</t>
        </is>
      </c>
      <c r="D555" t="inlineStr" s="5">
        <is>
          <t>其他</t>
        </is>
      </c>
      <c r="E555" s="6"/>
      <c r="F555" s="6"/>
      <c r="G555" s="6">
        <f>IF(AND(E555="",F555=""),"",F555-E555)</f>
      </c>
      <c r="H555" s="4"/>
      <c r="I555" s="5"/>
    </row>
    <row r="556" ht="21" customHeight="1">
      <c r="A556" s="3">
        <v>46256</v>
      </c>
      <c r="B556" t="inlineStr" s="4">
        <is>
          <t>星期六</t>
        </is>
      </c>
      <c r="C556" t="inlineStr" s="4">
        <is>
          <t>其他</t>
        </is>
      </c>
      <c r="D556" t="inlineStr" s="5">
        <is>
          <t>其他</t>
        </is>
      </c>
      <c r="E556" s="6"/>
      <c r="F556" s="6"/>
      <c r="G556" s="6">
        <f>IF(AND(E556="",F556=""),"",F556-E556)</f>
      </c>
      <c r="H556" s="4"/>
      <c r="I556" s="5"/>
    </row>
    <row r="557" ht="21" customHeight="1">
      <c r="A557" s="3">
        <v>46257</v>
      </c>
      <c r="B557" t="inlineStr" s="4">
        <is>
          <t>星期日</t>
        </is>
      </c>
      <c r="C557" t="inlineStr" s="4">
        <is>
          <t>餐饮</t>
        </is>
      </c>
      <c r="D557" t="inlineStr" s="5">
        <is>
          <t>早餐</t>
        </is>
      </c>
      <c r="E557" s="6"/>
      <c r="F557" s="6"/>
      <c r="G557" s="6">
        <f>IF(AND(E557="",F557=""),"",F557-E557)</f>
      </c>
      <c r="H557" s="4"/>
      <c r="I557" s="5"/>
    </row>
    <row r="558" ht="21" customHeight="1">
      <c r="A558" s="3">
        <v>46257</v>
      </c>
      <c r="B558" t="inlineStr" s="4">
        <is>
          <t>星期日</t>
        </is>
      </c>
      <c r="C558" t="inlineStr" s="4">
        <is>
          <t>餐饮</t>
        </is>
      </c>
      <c r="D558" t="inlineStr" s="5">
        <is>
          <t>中餐</t>
        </is>
      </c>
      <c r="E558" s="6"/>
      <c r="F558" s="6"/>
      <c r="G558" s="6">
        <f>IF(AND(E558="",F558=""),"",F558-E558)</f>
      </c>
      <c r="H558" s="4"/>
      <c r="I558" s="5"/>
    </row>
    <row r="559" ht="21" customHeight="1">
      <c r="A559" s="3">
        <v>46257</v>
      </c>
      <c r="B559" t="inlineStr" s="4">
        <is>
          <t>星期日</t>
        </is>
      </c>
      <c r="C559" t="inlineStr" s="4">
        <is>
          <t>餐饮</t>
        </is>
      </c>
      <c r="D559" t="inlineStr" s="5">
        <is>
          <t>晚餐</t>
        </is>
      </c>
      <c r="E559" s="6"/>
      <c r="F559" s="6"/>
      <c r="G559" s="6">
        <f>IF(AND(E559="",F559=""),"",F559-E559)</f>
      </c>
      <c r="H559" s="4"/>
      <c r="I559" s="5"/>
    </row>
    <row r="560" ht="21" customHeight="1">
      <c r="A560" s="3">
        <v>46257</v>
      </c>
      <c r="B560" t="inlineStr" s="4">
        <is>
          <t>星期日</t>
        </is>
      </c>
      <c r="C560" t="inlineStr" s="4">
        <is>
          <t>奶茶/咖啡</t>
        </is>
      </c>
      <c r="D560" t="inlineStr" s="5">
        <is>
          <t>奶茶/咖啡</t>
        </is>
      </c>
      <c r="E560" s="6"/>
      <c r="F560" s="6"/>
      <c r="G560" s="6">
        <f>IF(AND(E560="",F560=""),"",F560-E560)</f>
      </c>
      <c r="H560" s="4"/>
      <c r="I560" s="5"/>
    </row>
    <row r="561" ht="21" customHeight="1">
      <c r="A561" s="3">
        <v>46257</v>
      </c>
      <c r="B561" t="inlineStr" s="4">
        <is>
          <t>星期日</t>
        </is>
      </c>
      <c r="C561" t="inlineStr" s="4">
        <is>
          <t>其他</t>
        </is>
      </c>
      <c r="D561" t="inlineStr" s="5">
        <is>
          <t>其他</t>
        </is>
      </c>
      <c r="E561" s="6"/>
      <c r="F561" s="6"/>
      <c r="G561" s="6">
        <f>IF(AND(E561="",F561=""),"",F561-E561)</f>
      </c>
      <c r="H561" s="4"/>
      <c r="I561" s="5"/>
    </row>
    <row r="562" ht="21" customHeight="1">
      <c r="A562" s="3">
        <v>46257</v>
      </c>
      <c r="B562" t="inlineStr" s="4">
        <is>
          <t>星期日</t>
        </is>
      </c>
      <c r="C562" t="inlineStr" s="4">
        <is>
          <t>其他</t>
        </is>
      </c>
      <c r="D562" t="inlineStr" s="5">
        <is>
          <t>其他</t>
        </is>
      </c>
      <c r="E562" s="6"/>
      <c r="F562" s="6"/>
      <c r="G562" s="6">
        <f>IF(AND(E562="",F562=""),"",F562-E562)</f>
      </c>
      <c r="H562" s="4"/>
      <c r="I562" s="5"/>
    </row>
    <row r="563" ht="23" customHeight="1">
      <c r="A563" t="inlineStr" s="7">
        <is>
          <t>本周小计</t>
        </is>
      </c>
      <c r="B563" s="7"/>
      <c r="C563" s="7"/>
      <c r="D563" s="7"/>
      <c r="E563" s="8">
        <f>SUM(E521:E562)</f>
      </c>
      <c r="F563" s="8">
        <f>SUM(F521:F562)</f>
      </c>
      <c r="G563" s="8">
        <f>SUM(G521:G562)</f>
      </c>
      <c r="H563" s="7"/>
      <c r="I563" s="7"/>
    </row>
    <row r="564" ht="18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8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26" customHeight="1">
      <c r="A566" t="inlineStr" s="2">
        <is>
          <t>2026年8月｜第四周（8月24日 - 8月30日）</t>
        </is>
      </c>
      <c r="B566" s="2"/>
      <c r="C566" s="2"/>
      <c r="D566" s="2"/>
      <c r="E566" s="2"/>
      <c r="F566" s="2"/>
      <c r="G566" s="2"/>
      <c r="H566" s="2"/>
      <c r="I566" s="2"/>
    </row>
    <row r="567" ht="22" customHeight="1">
      <c r="A567" t="inlineStr" s="1">
        <is>
          <t>日期</t>
        </is>
      </c>
      <c r="B567" t="inlineStr" s="1">
        <is>
          <t>星期</t>
        </is>
      </c>
      <c r="C567" t="inlineStr" s="1">
        <is>
          <t>分类</t>
        </is>
      </c>
      <c r="D567" t="inlineStr" s="1">
        <is>
          <t>事项</t>
        </is>
      </c>
      <c r="E567" t="inlineStr" s="1">
        <is>
          <t>支出金额</t>
        </is>
      </c>
      <c r="F567" t="inlineStr" s="1">
        <is>
          <t>收入金额</t>
        </is>
      </c>
      <c r="G567" t="inlineStr" s="1">
        <is>
          <t>当笔净额</t>
        </is>
      </c>
      <c r="H567" t="inlineStr" s="1">
        <is>
          <t>支付方式</t>
        </is>
      </c>
      <c r="I567" t="inlineStr" s="1">
        <is>
          <t>备注</t>
        </is>
      </c>
    </row>
    <row r="568" ht="21" customHeight="1">
      <c r="A568" s="3">
        <v>46258</v>
      </c>
      <c r="B568" t="inlineStr" s="4">
        <is>
          <t>星期一</t>
        </is>
      </c>
      <c r="C568" t="inlineStr" s="4">
        <is>
          <t>餐饮</t>
        </is>
      </c>
      <c r="D568" t="inlineStr" s="5">
        <is>
          <t>早餐</t>
        </is>
      </c>
      <c r="E568" s="6"/>
      <c r="F568" s="6"/>
      <c r="G568" s="6">
        <f>IF(AND(E568="",F568=""),"",F568-E568)</f>
      </c>
      <c r="H568" s="4"/>
      <c r="I568" s="5"/>
    </row>
    <row r="569" ht="21" customHeight="1">
      <c r="A569" s="3">
        <v>46258</v>
      </c>
      <c r="B569" t="inlineStr" s="4">
        <is>
          <t>星期一</t>
        </is>
      </c>
      <c r="C569" t="inlineStr" s="4">
        <is>
          <t>餐饮</t>
        </is>
      </c>
      <c r="D569" t="inlineStr" s="5">
        <is>
          <t>中餐</t>
        </is>
      </c>
      <c r="E569" s="6"/>
      <c r="F569" s="6"/>
      <c r="G569" s="6">
        <f>IF(AND(E569="",F569=""),"",F569-E569)</f>
      </c>
      <c r="H569" s="4"/>
      <c r="I569" s="5"/>
    </row>
    <row r="570" ht="21" customHeight="1">
      <c r="A570" s="3">
        <v>46258</v>
      </c>
      <c r="B570" t="inlineStr" s="4">
        <is>
          <t>星期一</t>
        </is>
      </c>
      <c r="C570" t="inlineStr" s="4">
        <is>
          <t>餐饮</t>
        </is>
      </c>
      <c r="D570" t="inlineStr" s="5">
        <is>
          <t>晚餐</t>
        </is>
      </c>
      <c r="E570" s="6"/>
      <c r="F570" s="6"/>
      <c r="G570" s="6">
        <f>IF(AND(E570="",F570=""),"",F570-E570)</f>
      </c>
      <c r="H570" s="4"/>
      <c r="I570" s="5"/>
    </row>
    <row r="571" ht="21" customHeight="1">
      <c r="A571" s="3">
        <v>46258</v>
      </c>
      <c r="B571" t="inlineStr" s="4">
        <is>
          <t>星期一</t>
        </is>
      </c>
      <c r="C571" t="inlineStr" s="4">
        <is>
          <t>奶茶/咖啡</t>
        </is>
      </c>
      <c r="D571" t="inlineStr" s="5">
        <is>
          <t>奶茶/咖啡</t>
        </is>
      </c>
      <c r="E571" s="6"/>
      <c r="F571" s="6"/>
      <c r="G571" s="6">
        <f>IF(AND(E571="",F571=""),"",F571-E571)</f>
      </c>
      <c r="H571" s="4"/>
      <c r="I571" s="5"/>
    </row>
    <row r="572" ht="21" customHeight="1">
      <c r="A572" s="3">
        <v>46258</v>
      </c>
      <c r="B572" t="inlineStr" s="4">
        <is>
          <t>星期一</t>
        </is>
      </c>
      <c r="C572" t="inlineStr" s="4">
        <is>
          <t>其他</t>
        </is>
      </c>
      <c r="D572" t="inlineStr" s="5">
        <is>
          <t>其他</t>
        </is>
      </c>
      <c r="E572" s="6"/>
      <c r="F572" s="6"/>
      <c r="G572" s="6">
        <f>IF(AND(E572="",F572=""),"",F572-E572)</f>
      </c>
      <c r="H572" s="4"/>
      <c r="I572" s="5"/>
    </row>
    <row r="573" ht="21" customHeight="1">
      <c r="A573" s="3">
        <v>46258</v>
      </c>
      <c r="B573" t="inlineStr" s="4">
        <is>
          <t>星期一</t>
        </is>
      </c>
      <c r="C573" t="inlineStr" s="4">
        <is>
          <t>其他</t>
        </is>
      </c>
      <c r="D573" t="inlineStr" s="5">
        <is>
          <t>其他</t>
        </is>
      </c>
      <c r="E573" s="6"/>
      <c r="F573" s="6"/>
      <c r="G573" s="6">
        <f>IF(AND(E573="",F573=""),"",F573-E573)</f>
      </c>
      <c r="H573" s="4"/>
      <c r="I573" s="5"/>
    </row>
    <row r="574" ht="21" customHeight="1">
      <c r="A574" s="3">
        <v>46259</v>
      </c>
      <c r="B574" t="inlineStr" s="4">
        <is>
          <t>星期二</t>
        </is>
      </c>
      <c r="C574" t="inlineStr" s="4">
        <is>
          <t>餐饮</t>
        </is>
      </c>
      <c r="D574" t="inlineStr" s="5">
        <is>
          <t>早餐</t>
        </is>
      </c>
      <c r="E574" s="6"/>
      <c r="F574" s="6"/>
      <c r="G574" s="6">
        <f>IF(AND(E574="",F574=""),"",F574-E574)</f>
      </c>
      <c r="H574" s="4"/>
      <c r="I574" s="5"/>
    </row>
    <row r="575" ht="21" customHeight="1">
      <c r="A575" s="3">
        <v>46259</v>
      </c>
      <c r="B575" t="inlineStr" s="4">
        <is>
          <t>星期二</t>
        </is>
      </c>
      <c r="C575" t="inlineStr" s="4">
        <is>
          <t>餐饮</t>
        </is>
      </c>
      <c r="D575" t="inlineStr" s="5">
        <is>
          <t>中餐</t>
        </is>
      </c>
      <c r="E575" s="6"/>
      <c r="F575" s="6"/>
      <c r="G575" s="6">
        <f>IF(AND(E575="",F575=""),"",F575-E575)</f>
      </c>
      <c r="H575" s="4"/>
      <c r="I575" s="5"/>
    </row>
    <row r="576" ht="21" customHeight="1">
      <c r="A576" s="3">
        <v>46259</v>
      </c>
      <c r="B576" t="inlineStr" s="4">
        <is>
          <t>星期二</t>
        </is>
      </c>
      <c r="C576" t="inlineStr" s="4">
        <is>
          <t>餐饮</t>
        </is>
      </c>
      <c r="D576" t="inlineStr" s="5">
        <is>
          <t>晚餐</t>
        </is>
      </c>
      <c r="E576" s="6"/>
      <c r="F576" s="6"/>
      <c r="G576" s="6">
        <f>IF(AND(E576="",F576=""),"",F576-E576)</f>
      </c>
      <c r="H576" s="4"/>
      <c r="I576" s="5"/>
    </row>
    <row r="577" ht="21" customHeight="1">
      <c r="A577" s="3">
        <v>46259</v>
      </c>
      <c r="B577" t="inlineStr" s="4">
        <is>
          <t>星期二</t>
        </is>
      </c>
      <c r="C577" t="inlineStr" s="4">
        <is>
          <t>奶茶/咖啡</t>
        </is>
      </c>
      <c r="D577" t="inlineStr" s="5">
        <is>
          <t>奶茶/咖啡</t>
        </is>
      </c>
      <c r="E577" s="6"/>
      <c r="F577" s="6"/>
      <c r="G577" s="6">
        <f>IF(AND(E577="",F577=""),"",F577-E577)</f>
      </c>
      <c r="H577" s="4"/>
      <c r="I577" s="5"/>
    </row>
    <row r="578" ht="21" customHeight="1">
      <c r="A578" s="3">
        <v>46259</v>
      </c>
      <c r="B578" t="inlineStr" s="4">
        <is>
          <t>星期二</t>
        </is>
      </c>
      <c r="C578" t="inlineStr" s="4">
        <is>
          <t>其他</t>
        </is>
      </c>
      <c r="D578" t="inlineStr" s="5">
        <is>
          <t>其他</t>
        </is>
      </c>
      <c r="E578" s="6"/>
      <c r="F578" s="6"/>
      <c r="G578" s="6">
        <f>IF(AND(E578="",F578=""),"",F578-E578)</f>
      </c>
      <c r="H578" s="4"/>
      <c r="I578" s="5"/>
    </row>
    <row r="579" ht="21" customHeight="1">
      <c r="A579" s="3">
        <v>46259</v>
      </c>
      <c r="B579" t="inlineStr" s="4">
        <is>
          <t>星期二</t>
        </is>
      </c>
      <c r="C579" t="inlineStr" s="4">
        <is>
          <t>其他</t>
        </is>
      </c>
      <c r="D579" t="inlineStr" s="5">
        <is>
          <t>其他</t>
        </is>
      </c>
      <c r="E579" s="6"/>
      <c r="F579" s="6"/>
      <c r="G579" s="6">
        <f>IF(AND(E579="",F579=""),"",F579-E579)</f>
      </c>
      <c r="H579" s="4"/>
      <c r="I579" s="5"/>
    </row>
    <row r="580" ht="21" customHeight="1">
      <c r="A580" s="3">
        <v>46260</v>
      </c>
      <c r="B580" t="inlineStr" s="4">
        <is>
          <t>星期三</t>
        </is>
      </c>
      <c r="C580" t="inlineStr" s="4">
        <is>
          <t>餐饮</t>
        </is>
      </c>
      <c r="D580" t="inlineStr" s="5">
        <is>
          <t>早餐</t>
        </is>
      </c>
      <c r="E580" s="6"/>
      <c r="F580" s="6"/>
      <c r="G580" s="6">
        <f>IF(AND(E580="",F580=""),"",F580-E580)</f>
      </c>
      <c r="H580" s="4"/>
      <c r="I580" s="5"/>
    </row>
    <row r="581" ht="21" customHeight="1">
      <c r="A581" s="3">
        <v>46260</v>
      </c>
      <c r="B581" t="inlineStr" s="4">
        <is>
          <t>星期三</t>
        </is>
      </c>
      <c r="C581" t="inlineStr" s="4">
        <is>
          <t>餐饮</t>
        </is>
      </c>
      <c r="D581" t="inlineStr" s="5">
        <is>
          <t>中餐</t>
        </is>
      </c>
      <c r="E581" s="6"/>
      <c r="F581" s="6"/>
      <c r="G581" s="6">
        <f>IF(AND(E581="",F581=""),"",F581-E581)</f>
      </c>
      <c r="H581" s="4"/>
      <c r="I581" s="5"/>
    </row>
    <row r="582" ht="21" customHeight="1">
      <c r="A582" s="3">
        <v>46260</v>
      </c>
      <c r="B582" t="inlineStr" s="4">
        <is>
          <t>星期三</t>
        </is>
      </c>
      <c r="C582" t="inlineStr" s="4">
        <is>
          <t>餐饮</t>
        </is>
      </c>
      <c r="D582" t="inlineStr" s="5">
        <is>
          <t>晚餐</t>
        </is>
      </c>
      <c r="E582" s="6"/>
      <c r="F582" s="6"/>
      <c r="G582" s="6">
        <f>IF(AND(E582="",F582=""),"",F582-E582)</f>
      </c>
      <c r="H582" s="4"/>
      <c r="I582" s="5"/>
    </row>
    <row r="583" ht="21" customHeight="1">
      <c r="A583" s="3">
        <v>46260</v>
      </c>
      <c r="B583" t="inlineStr" s="4">
        <is>
          <t>星期三</t>
        </is>
      </c>
      <c r="C583" t="inlineStr" s="4">
        <is>
          <t>奶茶/咖啡</t>
        </is>
      </c>
      <c r="D583" t="inlineStr" s="5">
        <is>
          <t>奶茶/咖啡</t>
        </is>
      </c>
      <c r="E583" s="6"/>
      <c r="F583" s="6"/>
      <c r="G583" s="6">
        <f>IF(AND(E583="",F583=""),"",F583-E583)</f>
      </c>
      <c r="H583" s="4"/>
      <c r="I583" s="5"/>
    </row>
    <row r="584" ht="21" customHeight="1">
      <c r="A584" s="3">
        <v>46260</v>
      </c>
      <c r="B584" t="inlineStr" s="4">
        <is>
          <t>星期三</t>
        </is>
      </c>
      <c r="C584" t="inlineStr" s="4">
        <is>
          <t>其他</t>
        </is>
      </c>
      <c r="D584" t="inlineStr" s="5">
        <is>
          <t>其他</t>
        </is>
      </c>
      <c r="E584" s="6"/>
      <c r="F584" s="6"/>
      <c r="G584" s="6">
        <f>IF(AND(E584="",F584=""),"",F584-E584)</f>
      </c>
      <c r="H584" s="4"/>
      <c r="I584" s="5"/>
    </row>
    <row r="585" ht="21" customHeight="1">
      <c r="A585" s="3">
        <v>46260</v>
      </c>
      <c r="B585" t="inlineStr" s="4">
        <is>
          <t>星期三</t>
        </is>
      </c>
      <c r="C585" t="inlineStr" s="4">
        <is>
          <t>其他</t>
        </is>
      </c>
      <c r="D585" t="inlineStr" s="5">
        <is>
          <t>其他</t>
        </is>
      </c>
      <c r="E585" s="6"/>
      <c r="F585" s="6"/>
      <c r="G585" s="6">
        <f>IF(AND(E585="",F585=""),"",F585-E585)</f>
      </c>
      <c r="H585" s="4"/>
      <c r="I585" s="5"/>
    </row>
    <row r="586" ht="21" customHeight="1">
      <c r="A586" s="3">
        <v>46261</v>
      </c>
      <c r="B586" t="inlineStr" s="4">
        <is>
          <t>星期四</t>
        </is>
      </c>
      <c r="C586" t="inlineStr" s="4">
        <is>
          <t>餐饮</t>
        </is>
      </c>
      <c r="D586" t="inlineStr" s="5">
        <is>
          <t>早餐</t>
        </is>
      </c>
      <c r="E586" s="6"/>
      <c r="F586" s="6"/>
      <c r="G586" s="6">
        <f>IF(AND(E586="",F586=""),"",F586-E586)</f>
      </c>
      <c r="H586" s="4"/>
      <c r="I586" s="5"/>
    </row>
    <row r="587" ht="21" customHeight="1">
      <c r="A587" s="3">
        <v>46261</v>
      </c>
      <c r="B587" t="inlineStr" s="4">
        <is>
          <t>星期四</t>
        </is>
      </c>
      <c r="C587" t="inlineStr" s="4">
        <is>
          <t>餐饮</t>
        </is>
      </c>
      <c r="D587" t="inlineStr" s="5">
        <is>
          <t>中餐</t>
        </is>
      </c>
      <c r="E587" s="6"/>
      <c r="F587" s="6"/>
      <c r="G587" s="6">
        <f>IF(AND(E587="",F587=""),"",F587-E587)</f>
      </c>
      <c r="H587" s="4"/>
      <c r="I587" s="5"/>
    </row>
    <row r="588" ht="21" customHeight="1">
      <c r="A588" s="3">
        <v>46261</v>
      </c>
      <c r="B588" t="inlineStr" s="4">
        <is>
          <t>星期四</t>
        </is>
      </c>
      <c r="C588" t="inlineStr" s="4">
        <is>
          <t>餐饮</t>
        </is>
      </c>
      <c r="D588" t="inlineStr" s="5">
        <is>
          <t>晚餐</t>
        </is>
      </c>
      <c r="E588" s="6"/>
      <c r="F588" s="6"/>
      <c r="G588" s="6">
        <f>IF(AND(E588="",F588=""),"",F588-E588)</f>
      </c>
      <c r="H588" s="4"/>
      <c r="I588" s="5"/>
    </row>
    <row r="589" ht="21" customHeight="1">
      <c r="A589" s="3">
        <v>46261</v>
      </c>
      <c r="B589" t="inlineStr" s="4">
        <is>
          <t>星期四</t>
        </is>
      </c>
      <c r="C589" t="inlineStr" s="4">
        <is>
          <t>奶茶/咖啡</t>
        </is>
      </c>
      <c r="D589" t="inlineStr" s="5">
        <is>
          <t>奶茶/咖啡</t>
        </is>
      </c>
      <c r="E589" s="6"/>
      <c r="F589" s="6"/>
      <c r="G589" s="6">
        <f>IF(AND(E589="",F589=""),"",F589-E589)</f>
      </c>
      <c r="H589" s="4"/>
      <c r="I589" s="5"/>
    </row>
    <row r="590" ht="21" customHeight="1">
      <c r="A590" s="3">
        <v>46261</v>
      </c>
      <c r="B590" t="inlineStr" s="4">
        <is>
          <t>星期四</t>
        </is>
      </c>
      <c r="C590" t="inlineStr" s="4">
        <is>
          <t>其他</t>
        </is>
      </c>
      <c r="D590" t="inlineStr" s="5">
        <is>
          <t>其他</t>
        </is>
      </c>
      <c r="E590" s="6"/>
      <c r="F590" s="6"/>
      <c r="G590" s="6">
        <f>IF(AND(E590="",F590=""),"",F590-E590)</f>
      </c>
      <c r="H590" s="4"/>
      <c r="I590" s="5"/>
    </row>
    <row r="591" ht="21" customHeight="1">
      <c r="A591" s="3">
        <v>46261</v>
      </c>
      <c r="B591" t="inlineStr" s="4">
        <is>
          <t>星期四</t>
        </is>
      </c>
      <c r="C591" t="inlineStr" s="4">
        <is>
          <t>其他</t>
        </is>
      </c>
      <c r="D591" t="inlineStr" s="5">
        <is>
          <t>其他</t>
        </is>
      </c>
      <c r="E591" s="6"/>
      <c r="F591" s="6"/>
      <c r="G591" s="6">
        <f>IF(AND(E591="",F591=""),"",F591-E591)</f>
      </c>
      <c r="H591" s="4"/>
      <c r="I591" s="5"/>
    </row>
    <row r="592" ht="21" customHeight="1">
      <c r="A592" s="3">
        <v>46262</v>
      </c>
      <c r="B592" t="inlineStr" s="4">
        <is>
          <t>星期五</t>
        </is>
      </c>
      <c r="C592" t="inlineStr" s="4">
        <is>
          <t>餐饮</t>
        </is>
      </c>
      <c r="D592" t="inlineStr" s="5">
        <is>
          <t>早餐</t>
        </is>
      </c>
      <c r="E592" s="6"/>
      <c r="F592" s="6"/>
      <c r="G592" s="6">
        <f>IF(AND(E592="",F592=""),"",F592-E592)</f>
      </c>
      <c r="H592" s="4"/>
      <c r="I592" s="5"/>
    </row>
    <row r="593" ht="21" customHeight="1">
      <c r="A593" s="3">
        <v>46262</v>
      </c>
      <c r="B593" t="inlineStr" s="4">
        <is>
          <t>星期五</t>
        </is>
      </c>
      <c r="C593" t="inlineStr" s="4">
        <is>
          <t>餐饮</t>
        </is>
      </c>
      <c r="D593" t="inlineStr" s="5">
        <is>
          <t>中餐</t>
        </is>
      </c>
      <c r="E593" s="6"/>
      <c r="F593" s="6"/>
      <c r="G593" s="6">
        <f>IF(AND(E593="",F593=""),"",F593-E593)</f>
      </c>
      <c r="H593" s="4"/>
      <c r="I593" s="5"/>
    </row>
    <row r="594" ht="21" customHeight="1">
      <c r="A594" s="3">
        <v>46262</v>
      </c>
      <c r="B594" t="inlineStr" s="4">
        <is>
          <t>星期五</t>
        </is>
      </c>
      <c r="C594" t="inlineStr" s="4">
        <is>
          <t>餐饮</t>
        </is>
      </c>
      <c r="D594" t="inlineStr" s="5">
        <is>
          <t>晚餐</t>
        </is>
      </c>
      <c r="E594" s="6"/>
      <c r="F594" s="6"/>
      <c r="G594" s="6">
        <f>IF(AND(E594="",F594=""),"",F594-E594)</f>
      </c>
      <c r="H594" s="4"/>
      <c r="I594" s="5"/>
    </row>
    <row r="595" ht="21" customHeight="1">
      <c r="A595" s="3">
        <v>46262</v>
      </c>
      <c r="B595" t="inlineStr" s="4">
        <is>
          <t>星期五</t>
        </is>
      </c>
      <c r="C595" t="inlineStr" s="4">
        <is>
          <t>奶茶/咖啡</t>
        </is>
      </c>
      <c r="D595" t="inlineStr" s="5">
        <is>
          <t>奶茶/咖啡</t>
        </is>
      </c>
      <c r="E595" s="6"/>
      <c r="F595" s="6"/>
      <c r="G595" s="6">
        <f>IF(AND(E595="",F595=""),"",F595-E595)</f>
      </c>
      <c r="H595" s="4"/>
      <c r="I595" s="5"/>
    </row>
    <row r="596" ht="21" customHeight="1">
      <c r="A596" s="3">
        <v>46262</v>
      </c>
      <c r="B596" t="inlineStr" s="4">
        <is>
          <t>星期五</t>
        </is>
      </c>
      <c r="C596" t="inlineStr" s="4">
        <is>
          <t>其他</t>
        </is>
      </c>
      <c r="D596" t="inlineStr" s="5">
        <is>
          <t>其他</t>
        </is>
      </c>
      <c r="E596" s="6"/>
      <c r="F596" s="6"/>
      <c r="G596" s="6">
        <f>IF(AND(E596="",F596=""),"",F596-E596)</f>
      </c>
      <c r="H596" s="4"/>
      <c r="I596" s="5"/>
    </row>
    <row r="597" ht="21" customHeight="1">
      <c r="A597" s="3">
        <v>46262</v>
      </c>
      <c r="B597" t="inlineStr" s="4">
        <is>
          <t>星期五</t>
        </is>
      </c>
      <c r="C597" t="inlineStr" s="4">
        <is>
          <t>其他</t>
        </is>
      </c>
      <c r="D597" t="inlineStr" s="5">
        <is>
          <t>其他</t>
        </is>
      </c>
      <c r="E597" s="6"/>
      <c r="F597" s="6"/>
      <c r="G597" s="6">
        <f>IF(AND(E597="",F597=""),"",F597-E597)</f>
      </c>
      <c r="H597" s="4"/>
      <c r="I597" s="5"/>
    </row>
    <row r="598" ht="21" customHeight="1">
      <c r="A598" s="3">
        <v>46263</v>
      </c>
      <c r="B598" t="inlineStr" s="4">
        <is>
          <t>星期六</t>
        </is>
      </c>
      <c r="C598" t="inlineStr" s="4">
        <is>
          <t>餐饮</t>
        </is>
      </c>
      <c r="D598" t="inlineStr" s="5">
        <is>
          <t>早餐</t>
        </is>
      </c>
      <c r="E598" s="6"/>
      <c r="F598" s="6"/>
      <c r="G598" s="6">
        <f>IF(AND(E598="",F598=""),"",F598-E598)</f>
      </c>
      <c r="H598" s="4"/>
      <c r="I598" s="5"/>
    </row>
    <row r="599" ht="21" customHeight="1">
      <c r="A599" s="3">
        <v>46263</v>
      </c>
      <c r="B599" t="inlineStr" s="4">
        <is>
          <t>星期六</t>
        </is>
      </c>
      <c r="C599" t="inlineStr" s="4">
        <is>
          <t>餐饮</t>
        </is>
      </c>
      <c r="D599" t="inlineStr" s="5">
        <is>
          <t>中餐</t>
        </is>
      </c>
      <c r="E599" s="6"/>
      <c r="F599" s="6"/>
      <c r="G599" s="6">
        <f>IF(AND(E599="",F599=""),"",F599-E599)</f>
      </c>
      <c r="H599" s="4"/>
      <c r="I599" s="5"/>
    </row>
    <row r="600" ht="21" customHeight="1">
      <c r="A600" s="3">
        <v>46263</v>
      </c>
      <c r="B600" t="inlineStr" s="4">
        <is>
          <t>星期六</t>
        </is>
      </c>
      <c r="C600" t="inlineStr" s="4">
        <is>
          <t>餐饮</t>
        </is>
      </c>
      <c r="D600" t="inlineStr" s="5">
        <is>
          <t>晚餐</t>
        </is>
      </c>
      <c r="E600" s="6"/>
      <c r="F600" s="6"/>
      <c r="G600" s="6">
        <f>IF(AND(E600="",F600=""),"",F600-E600)</f>
      </c>
      <c r="H600" s="4"/>
      <c r="I600" s="5"/>
    </row>
    <row r="601" ht="21" customHeight="1">
      <c r="A601" s="3">
        <v>46263</v>
      </c>
      <c r="B601" t="inlineStr" s="4">
        <is>
          <t>星期六</t>
        </is>
      </c>
      <c r="C601" t="inlineStr" s="4">
        <is>
          <t>奶茶/咖啡</t>
        </is>
      </c>
      <c r="D601" t="inlineStr" s="5">
        <is>
          <t>奶茶/咖啡</t>
        </is>
      </c>
      <c r="E601" s="6"/>
      <c r="F601" s="6"/>
      <c r="G601" s="6">
        <f>IF(AND(E601="",F601=""),"",F601-E601)</f>
      </c>
      <c r="H601" s="4"/>
      <c r="I601" s="5"/>
    </row>
    <row r="602" ht="21" customHeight="1">
      <c r="A602" s="3">
        <v>46263</v>
      </c>
      <c r="B602" t="inlineStr" s="4">
        <is>
          <t>星期六</t>
        </is>
      </c>
      <c r="C602" t="inlineStr" s="4">
        <is>
          <t>其他</t>
        </is>
      </c>
      <c r="D602" t="inlineStr" s="5">
        <is>
          <t>其他</t>
        </is>
      </c>
      <c r="E602" s="6"/>
      <c r="F602" s="6"/>
      <c r="G602" s="6">
        <f>IF(AND(E602="",F602=""),"",F602-E602)</f>
      </c>
      <c r="H602" s="4"/>
      <c r="I602" s="5"/>
    </row>
    <row r="603" ht="21" customHeight="1">
      <c r="A603" s="3">
        <v>46263</v>
      </c>
      <c r="B603" t="inlineStr" s="4">
        <is>
          <t>星期六</t>
        </is>
      </c>
      <c r="C603" t="inlineStr" s="4">
        <is>
          <t>其他</t>
        </is>
      </c>
      <c r="D603" t="inlineStr" s="5">
        <is>
          <t>其他</t>
        </is>
      </c>
      <c r="E603" s="6"/>
      <c r="F603" s="6"/>
      <c r="G603" s="6">
        <f>IF(AND(E603="",F603=""),"",F603-E603)</f>
      </c>
      <c r="H603" s="4"/>
      <c r="I603" s="5"/>
    </row>
    <row r="604" ht="21" customHeight="1">
      <c r="A604" s="3">
        <v>46264</v>
      </c>
      <c r="B604" t="inlineStr" s="4">
        <is>
          <t>星期日</t>
        </is>
      </c>
      <c r="C604" t="inlineStr" s="4">
        <is>
          <t>餐饮</t>
        </is>
      </c>
      <c r="D604" t="inlineStr" s="5">
        <is>
          <t>早餐</t>
        </is>
      </c>
      <c r="E604" s="6"/>
      <c r="F604" s="6"/>
      <c r="G604" s="6">
        <f>IF(AND(E604="",F604=""),"",F604-E604)</f>
      </c>
      <c r="H604" s="4"/>
      <c r="I604" s="5"/>
    </row>
    <row r="605" ht="21" customHeight="1">
      <c r="A605" s="3">
        <v>46264</v>
      </c>
      <c r="B605" t="inlineStr" s="4">
        <is>
          <t>星期日</t>
        </is>
      </c>
      <c r="C605" t="inlineStr" s="4">
        <is>
          <t>餐饮</t>
        </is>
      </c>
      <c r="D605" t="inlineStr" s="5">
        <is>
          <t>中餐</t>
        </is>
      </c>
      <c r="E605" s="6"/>
      <c r="F605" s="6"/>
      <c r="G605" s="6">
        <f>IF(AND(E605="",F605=""),"",F605-E605)</f>
      </c>
      <c r="H605" s="4"/>
      <c r="I605" s="5"/>
    </row>
    <row r="606" ht="21" customHeight="1">
      <c r="A606" s="3">
        <v>46264</v>
      </c>
      <c r="B606" t="inlineStr" s="4">
        <is>
          <t>星期日</t>
        </is>
      </c>
      <c r="C606" t="inlineStr" s="4">
        <is>
          <t>餐饮</t>
        </is>
      </c>
      <c r="D606" t="inlineStr" s="5">
        <is>
          <t>晚餐</t>
        </is>
      </c>
      <c r="E606" s="6"/>
      <c r="F606" s="6"/>
      <c r="G606" s="6">
        <f>IF(AND(E606="",F606=""),"",F606-E606)</f>
      </c>
      <c r="H606" s="4"/>
      <c r="I606" s="5"/>
    </row>
    <row r="607" ht="21" customHeight="1">
      <c r="A607" s="3">
        <v>46264</v>
      </c>
      <c r="B607" t="inlineStr" s="4">
        <is>
          <t>星期日</t>
        </is>
      </c>
      <c r="C607" t="inlineStr" s="4">
        <is>
          <t>奶茶/咖啡</t>
        </is>
      </c>
      <c r="D607" t="inlineStr" s="5">
        <is>
          <t>奶茶/咖啡</t>
        </is>
      </c>
      <c r="E607" s="6"/>
      <c r="F607" s="6"/>
      <c r="G607" s="6">
        <f>IF(AND(E607="",F607=""),"",F607-E607)</f>
      </c>
      <c r="H607" s="4"/>
      <c r="I607" s="5"/>
    </row>
    <row r="608" ht="21" customHeight="1">
      <c r="A608" s="3">
        <v>46264</v>
      </c>
      <c r="B608" t="inlineStr" s="4">
        <is>
          <t>星期日</t>
        </is>
      </c>
      <c r="C608" t="inlineStr" s="4">
        <is>
          <t>其他</t>
        </is>
      </c>
      <c r="D608" t="inlineStr" s="5">
        <is>
          <t>其他</t>
        </is>
      </c>
      <c r="E608" s="6"/>
      <c r="F608" s="6"/>
      <c r="G608" s="6">
        <f>IF(AND(E608="",F608=""),"",F608-E608)</f>
      </c>
      <c r="H608" s="4"/>
      <c r="I608" s="5"/>
    </row>
    <row r="609" ht="21" customHeight="1">
      <c r="A609" s="3">
        <v>46264</v>
      </c>
      <c r="B609" t="inlineStr" s="4">
        <is>
          <t>星期日</t>
        </is>
      </c>
      <c r="C609" t="inlineStr" s="4">
        <is>
          <t>其他</t>
        </is>
      </c>
      <c r="D609" t="inlineStr" s="5">
        <is>
          <t>其他</t>
        </is>
      </c>
      <c r="E609" s="6"/>
      <c r="F609" s="6"/>
      <c r="G609" s="6">
        <f>IF(AND(E609="",F609=""),"",F609-E609)</f>
      </c>
      <c r="H609" s="4"/>
      <c r="I609" s="5"/>
    </row>
    <row r="610" ht="23" customHeight="1">
      <c r="A610" t="inlineStr" s="7">
        <is>
          <t>本周小计</t>
        </is>
      </c>
      <c r="B610" s="7"/>
      <c r="C610" s="7"/>
      <c r="D610" s="7"/>
      <c r="E610" s="8">
        <f>SUM(E568:E609)</f>
      </c>
      <c r="F610" s="8">
        <f>SUM(F568:F609)</f>
      </c>
      <c r="G610" s="8">
        <f>SUM(G568:G609)</f>
      </c>
      <c r="H610" s="7"/>
      <c r="I610" s="7"/>
    </row>
    <row r="611" ht="18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8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26" customHeight="1">
      <c r="A613" t="inlineStr" s="2">
        <is>
          <t>2026年8月-9月｜第五周（8月31日 - 9月6日）</t>
        </is>
      </c>
      <c r="B613" s="2"/>
      <c r="C613" s="2"/>
      <c r="D613" s="2"/>
      <c r="E613" s="2"/>
      <c r="F613" s="2"/>
      <c r="G613" s="2"/>
      <c r="H613" s="2"/>
      <c r="I613" s="2"/>
    </row>
    <row r="614" ht="22" customHeight="1">
      <c r="A614" t="inlineStr" s="1">
        <is>
          <t>日期</t>
        </is>
      </c>
      <c r="B614" t="inlineStr" s="1">
        <is>
          <t>星期</t>
        </is>
      </c>
      <c r="C614" t="inlineStr" s="1">
        <is>
          <t>分类</t>
        </is>
      </c>
      <c r="D614" t="inlineStr" s="1">
        <is>
          <t>事项</t>
        </is>
      </c>
      <c r="E614" t="inlineStr" s="1">
        <is>
          <t>支出金额</t>
        </is>
      </c>
      <c r="F614" t="inlineStr" s="1">
        <is>
          <t>收入金额</t>
        </is>
      </c>
      <c r="G614" t="inlineStr" s="1">
        <is>
          <t>当笔净额</t>
        </is>
      </c>
      <c r="H614" t="inlineStr" s="1">
        <is>
          <t>支付方式</t>
        </is>
      </c>
      <c r="I614" t="inlineStr" s="1">
        <is>
          <t>备注</t>
        </is>
      </c>
    </row>
    <row r="615" ht="21" customHeight="1">
      <c r="A615" s="3">
        <v>46265</v>
      </c>
      <c r="B615" t="inlineStr" s="4">
        <is>
          <t>星期一</t>
        </is>
      </c>
      <c r="C615" t="inlineStr" s="4">
        <is>
          <t>餐饮</t>
        </is>
      </c>
      <c r="D615" t="inlineStr" s="5">
        <is>
          <t>早餐</t>
        </is>
      </c>
      <c r="E615" s="6"/>
      <c r="F615" s="6"/>
      <c r="G615" s="6">
        <f>IF(AND(E615="",F615=""),"",F615-E615)</f>
      </c>
      <c r="H615" s="4"/>
      <c r="I615" s="5"/>
    </row>
    <row r="616" ht="21" customHeight="1">
      <c r="A616" s="3">
        <v>46265</v>
      </c>
      <c r="B616" t="inlineStr" s="4">
        <is>
          <t>星期一</t>
        </is>
      </c>
      <c r="C616" t="inlineStr" s="4">
        <is>
          <t>餐饮</t>
        </is>
      </c>
      <c r="D616" t="inlineStr" s="5">
        <is>
          <t>中餐</t>
        </is>
      </c>
      <c r="E616" s="6"/>
      <c r="F616" s="6"/>
      <c r="G616" s="6">
        <f>IF(AND(E616="",F616=""),"",F616-E616)</f>
      </c>
      <c r="H616" s="4"/>
      <c r="I616" s="5"/>
    </row>
    <row r="617" ht="21" customHeight="1">
      <c r="A617" s="3">
        <v>46265</v>
      </c>
      <c r="B617" t="inlineStr" s="4">
        <is>
          <t>星期一</t>
        </is>
      </c>
      <c r="C617" t="inlineStr" s="4">
        <is>
          <t>餐饮</t>
        </is>
      </c>
      <c r="D617" t="inlineStr" s="5">
        <is>
          <t>晚餐</t>
        </is>
      </c>
      <c r="E617" s="6"/>
      <c r="F617" s="6"/>
      <c r="G617" s="6">
        <f>IF(AND(E617="",F617=""),"",F617-E617)</f>
      </c>
      <c r="H617" s="4"/>
      <c r="I617" s="5"/>
    </row>
    <row r="618" ht="21" customHeight="1">
      <c r="A618" s="3">
        <v>46265</v>
      </c>
      <c r="B618" t="inlineStr" s="4">
        <is>
          <t>星期一</t>
        </is>
      </c>
      <c r="C618" t="inlineStr" s="4">
        <is>
          <t>奶茶/咖啡</t>
        </is>
      </c>
      <c r="D618" t="inlineStr" s="5">
        <is>
          <t>奶茶/咖啡</t>
        </is>
      </c>
      <c r="E618" s="6"/>
      <c r="F618" s="6"/>
      <c r="G618" s="6">
        <f>IF(AND(E618="",F618=""),"",F618-E618)</f>
      </c>
      <c r="H618" s="4"/>
      <c r="I618" s="5"/>
    </row>
    <row r="619" ht="21" customHeight="1">
      <c r="A619" s="3">
        <v>46265</v>
      </c>
      <c r="B619" t="inlineStr" s="4">
        <is>
          <t>星期一</t>
        </is>
      </c>
      <c r="C619" t="inlineStr" s="4">
        <is>
          <t>其他</t>
        </is>
      </c>
      <c r="D619" t="inlineStr" s="5">
        <is>
          <t>其他</t>
        </is>
      </c>
      <c r="E619" s="6"/>
      <c r="F619" s="6"/>
      <c r="G619" s="6">
        <f>IF(AND(E619="",F619=""),"",F619-E619)</f>
      </c>
      <c r="H619" s="4"/>
      <c r="I619" s="5"/>
    </row>
    <row r="620" ht="21" customHeight="1">
      <c r="A620" s="3">
        <v>46265</v>
      </c>
      <c r="B620" t="inlineStr" s="4">
        <is>
          <t>星期一</t>
        </is>
      </c>
      <c r="C620" t="inlineStr" s="4">
        <is>
          <t>其他</t>
        </is>
      </c>
      <c r="D620" t="inlineStr" s="5">
        <is>
          <t>其他</t>
        </is>
      </c>
      <c r="E620" s="6"/>
      <c r="F620" s="6"/>
      <c r="G620" s="6">
        <f>IF(AND(E620="",F620=""),"",F620-E620)</f>
      </c>
      <c r="H620" s="4"/>
      <c r="I620" s="5"/>
    </row>
    <row r="621" ht="21" customHeight="1">
      <c r="A621" s="3">
        <v>46266</v>
      </c>
      <c r="B621" t="inlineStr" s="4">
        <is>
          <t>星期二</t>
        </is>
      </c>
      <c r="C621" t="inlineStr" s="4">
        <is>
          <t>餐饮</t>
        </is>
      </c>
      <c r="D621" t="inlineStr" s="5">
        <is>
          <t>早餐</t>
        </is>
      </c>
      <c r="E621" s="6"/>
      <c r="F621" s="6"/>
      <c r="G621" s="6">
        <f>IF(AND(E621="",F621=""),"",F621-E621)</f>
      </c>
      <c r="H621" s="4"/>
      <c r="I621" s="5"/>
    </row>
    <row r="622" ht="21" customHeight="1">
      <c r="A622" s="3">
        <v>46266</v>
      </c>
      <c r="B622" t="inlineStr" s="4">
        <is>
          <t>星期二</t>
        </is>
      </c>
      <c r="C622" t="inlineStr" s="4">
        <is>
          <t>餐饮</t>
        </is>
      </c>
      <c r="D622" t="inlineStr" s="5">
        <is>
          <t>中餐</t>
        </is>
      </c>
      <c r="E622" s="6"/>
      <c r="F622" s="6"/>
      <c r="G622" s="6">
        <f>IF(AND(E622="",F622=""),"",F622-E622)</f>
      </c>
      <c r="H622" s="4"/>
      <c r="I622" s="5"/>
    </row>
    <row r="623" ht="21" customHeight="1">
      <c r="A623" s="3">
        <v>46266</v>
      </c>
      <c r="B623" t="inlineStr" s="4">
        <is>
          <t>星期二</t>
        </is>
      </c>
      <c r="C623" t="inlineStr" s="4">
        <is>
          <t>餐饮</t>
        </is>
      </c>
      <c r="D623" t="inlineStr" s="5">
        <is>
          <t>晚餐</t>
        </is>
      </c>
      <c r="E623" s="6"/>
      <c r="F623" s="6"/>
      <c r="G623" s="6">
        <f>IF(AND(E623="",F623=""),"",F623-E623)</f>
      </c>
      <c r="H623" s="4"/>
      <c r="I623" s="5"/>
    </row>
    <row r="624" ht="21" customHeight="1">
      <c r="A624" s="3">
        <v>46266</v>
      </c>
      <c r="B624" t="inlineStr" s="4">
        <is>
          <t>星期二</t>
        </is>
      </c>
      <c r="C624" t="inlineStr" s="4">
        <is>
          <t>奶茶/咖啡</t>
        </is>
      </c>
      <c r="D624" t="inlineStr" s="5">
        <is>
          <t>奶茶/咖啡</t>
        </is>
      </c>
      <c r="E624" s="6"/>
      <c r="F624" s="6"/>
      <c r="G624" s="6">
        <f>IF(AND(E624="",F624=""),"",F624-E624)</f>
      </c>
      <c r="H624" s="4"/>
      <c r="I624" s="5"/>
    </row>
    <row r="625" ht="21" customHeight="1">
      <c r="A625" s="3">
        <v>46266</v>
      </c>
      <c r="B625" t="inlineStr" s="4">
        <is>
          <t>星期二</t>
        </is>
      </c>
      <c r="C625" t="inlineStr" s="4">
        <is>
          <t>其他</t>
        </is>
      </c>
      <c r="D625" t="inlineStr" s="5">
        <is>
          <t>其他</t>
        </is>
      </c>
      <c r="E625" s="6"/>
      <c r="F625" s="6"/>
      <c r="G625" s="6">
        <f>IF(AND(E625="",F625=""),"",F625-E625)</f>
      </c>
      <c r="H625" s="4"/>
      <c r="I625" s="5"/>
    </row>
    <row r="626" ht="21" customHeight="1">
      <c r="A626" s="3">
        <v>46266</v>
      </c>
      <c r="B626" t="inlineStr" s="4">
        <is>
          <t>星期二</t>
        </is>
      </c>
      <c r="C626" t="inlineStr" s="4">
        <is>
          <t>其他</t>
        </is>
      </c>
      <c r="D626" t="inlineStr" s="5">
        <is>
          <t>其他</t>
        </is>
      </c>
      <c r="E626" s="6"/>
      <c r="F626" s="6"/>
      <c r="G626" s="6">
        <f>IF(AND(E626="",F626=""),"",F626-E626)</f>
      </c>
      <c r="H626" s="4"/>
      <c r="I626" s="5"/>
    </row>
    <row r="627" ht="21" customHeight="1">
      <c r="A627" s="3">
        <v>46267</v>
      </c>
      <c r="B627" t="inlineStr" s="4">
        <is>
          <t>星期三</t>
        </is>
      </c>
      <c r="C627" t="inlineStr" s="4">
        <is>
          <t>餐饮</t>
        </is>
      </c>
      <c r="D627" t="inlineStr" s="5">
        <is>
          <t>早餐</t>
        </is>
      </c>
      <c r="E627" s="6"/>
      <c r="F627" s="6"/>
      <c r="G627" s="6">
        <f>IF(AND(E627="",F627=""),"",F627-E627)</f>
      </c>
      <c r="H627" s="4"/>
      <c r="I627" s="5"/>
    </row>
    <row r="628" ht="21" customHeight="1">
      <c r="A628" s="3">
        <v>46267</v>
      </c>
      <c r="B628" t="inlineStr" s="4">
        <is>
          <t>星期三</t>
        </is>
      </c>
      <c r="C628" t="inlineStr" s="4">
        <is>
          <t>餐饮</t>
        </is>
      </c>
      <c r="D628" t="inlineStr" s="5">
        <is>
          <t>中餐</t>
        </is>
      </c>
      <c r="E628" s="6"/>
      <c r="F628" s="6"/>
      <c r="G628" s="6">
        <f>IF(AND(E628="",F628=""),"",F628-E628)</f>
      </c>
      <c r="H628" s="4"/>
      <c r="I628" s="5"/>
    </row>
    <row r="629" ht="21" customHeight="1">
      <c r="A629" s="3">
        <v>46267</v>
      </c>
      <c r="B629" t="inlineStr" s="4">
        <is>
          <t>星期三</t>
        </is>
      </c>
      <c r="C629" t="inlineStr" s="4">
        <is>
          <t>餐饮</t>
        </is>
      </c>
      <c r="D629" t="inlineStr" s="5">
        <is>
          <t>晚餐</t>
        </is>
      </c>
      <c r="E629" s="6"/>
      <c r="F629" s="6"/>
      <c r="G629" s="6">
        <f>IF(AND(E629="",F629=""),"",F629-E629)</f>
      </c>
      <c r="H629" s="4"/>
      <c r="I629" s="5"/>
    </row>
    <row r="630" ht="21" customHeight="1">
      <c r="A630" s="3">
        <v>46267</v>
      </c>
      <c r="B630" t="inlineStr" s="4">
        <is>
          <t>星期三</t>
        </is>
      </c>
      <c r="C630" t="inlineStr" s="4">
        <is>
          <t>奶茶/咖啡</t>
        </is>
      </c>
      <c r="D630" t="inlineStr" s="5">
        <is>
          <t>奶茶/咖啡</t>
        </is>
      </c>
      <c r="E630" s="6"/>
      <c r="F630" s="6"/>
      <c r="G630" s="6">
        <f>IF(AND(E630="",F630=""),"",F630-E630)</f>
      </c>
      <c r="H630" s="4"/>
      <c r="I630" s="5"/>
    </row>
    <row r="631" ht="21" customHeight="1">
      <c r="A631" s="3">
        <v>46267</v>
      </c>
      <c r="B631" t="inlineStr" s="4">
        <is>
          <t>星期三</t>
        </is>
      </c>
      <c r="C631" t="inlineStr" s="4">
        <is>
          <t>其他</t>
        </is>
      </c>
      <c r="D631" t="inlineStr" s="5">
        <is>
          <t>其他</t>
        </is>
      </c>
      <c r="E631" s="6"/>
      <c r="F631" s="6"/>
      <c r="G631" s="6">
        <f>IF(AND(E631="",F631=""),"",F631-E631)</f>
      </c>
      <c r="H631" s="4"/>
      <c r="I631" s="5"/>
    </row>
    <row r="632" ht="21" customHeight="1">
      <c r="A632" s="3">
        <v>46267</v>
      </c>
      <c r="B632" t="inlineStr" s="4">
        <is>
          <t>星期三</t>
        </is>
      </c>
      <c r="C632" t="inlineStr" s="4">
        <is>
          <t>其他</t>
        </is>
      </c>
      <c r="D632" t="inlineStr" s="5">
        <is>
          <t>其他</t>
        </is>
      </c>
      <c r="E632" s="6"/>
      <c r="F632" s="6"/>
      <c r="G632" s="6">
        <f>IF(AND(E632="",F632=""),"",F632-E632)</f>
      </c>
      <c r="H632" s="4"/>
      <c r="I632" s="5"/>
    </row>
    <row r="633" ht="21" customHeight="1">
      <c r="A633" s="3">
        <v>46268</v>
      </c>
      <c r="B633" t="inlineStr" s="4">
        <is>
          <t>星期四</t>
        </is>
      </c>
      <c r="C633" t="inlineStr" s="4">
        <is>
          <t>餐饮</t>
        </is>
      </c>
      <c r="D633" t="inlineStr" s="5">
        <is>
          <t>早餐</t>
        </is>
      </c>
      <c r="E633" s="6"/>
      <c r="F633" s="6"/>
      <c r="G633" s="6">
        <f>IF(AND(E633="",F633=""),"",F633-E633)</f>
      </c>
      <c r="H633" s="4"/>
      <c r="I633" s="5"/>
    </row>
    <row r="634" ht="21" customHeight="1">
      <c r="A634" s="3">
        <v>46268</v>
      </c>
      <c r="B634" t="inlineStr" s="4">
        <is>
          <t>星期四</t>
        </is>
      </c>
      <c r="C634" t="inlineStr" s="4">
        <is>
          <t>餐饮</t>
        </is>
      </c>
      <c r="D634" t="inlineStr" s="5">
        <is>
          <t>中餐</t>
        </is>
      </c>
      <c r="E634" s="6"/>
      <c r="F634" s="6"/>
      <c r="G634" s="6">
        <f>IF(AND(E634="",F634=""),"",F634-E634)</f>
      </c>
      <c r="H634" s="4"/>
      <c r="I634" s="5"/>
    </row>
    <row r="635" ht="21" customHeight="1">
      <c r="A635" s="3">
        <v>46268</v>
      </c>
      <c r="B635" t="inlineStr" s="4">
        <is>
          <t>星期四</t>
        </is>
      </c>
      <c r="C635" t="inlineStr" s="4">
        <is>
          <t>餐饮</t>
        </is>
      </c>
      <c r="D635" t="inlineStr" s="5">
        <is>
          <t>晚餐</t>
        </is>
      </c>
      <c r="E635" s="6"/>
      <c r="F635" s="6"/>
      <c r="G635" s="6">
        <f>IF(AND(E635="",F635=""),"",F635-E635)</f>
      </c>
      <c r="H635" s="4"/>
      <c r="I635" s="5"/>
    </row>
    <row r="636" ht="21" customHeight="1">
      <c r="A636" s="3">
        <v>46268</v>
      </c>
      <c r="B636" t="inlineStr" s="4">
        <is>
          <t>星期四</t>
        </is>
      </c>
      <c r="C636" t="inlineStr" s="4">
        <is>
          <t>奶茶/咖啡</t>
        </is>
      </c>
      <c r="D636" t="inlineStr" s="5">
        <is>
          <t>奶茶/咖啡</t>
        </is>
      </c>
      <c r="E636" s="6"/>
      <c r="F636" s="6"/>
      <c r="G636" s="6">
        <f>IF(AND(E636="",F636=""),"",F636-E636)</f>
      </c>
      <c r="H636" s="4"/>
      <c r="I636" s="5"/>
    </row>
    <row r="637" ht="21" customHeight="1">
      <c r="A637" s="3">
        <v>46268</v>
      </c>
      <c r="B637" t="inlineStr" s="4">
        <is>
          <t>星期四</t>
        </is>
      </c>
      <c r="C637" t="inlineStr" s="4">
        <is>
          <t>其他</t>
        </is>
      </c>
      <c r="D637" t="inlineStr" s="5">
        <is>
          <t>其他</t>
        </is>
      </c>
      <c r="E637" s="6"/>
      <c r="F637" s="6"/>
      <c r="G637" s="6">
        <f>IF(AND(E637="",F637=""),"",F637-E637)</f>
      </c>
      <c r="H637" s="4"/>
      <c r="I637" s="5"/>
    </row>
    <row r="638" ht="21" customHeight="1">
      <c r="A638" s="3">
        <v>46268</v>
      </c>
      <c r="B638" t="inlineStr" s="4">
        <is>
          <t>星期四</t>
        </is>
      </c>
      <c r="C638" t="inlineStr" s="4">
        <is>
          <t>其他</t>
        </is>
      </c>
      <c r="D638" t="inlineStr" s="5">
        <is>
          <t>其他</t>
        </is>
      </c>
      <c r="E638" s="6"/>
      <c r="F638" s="6"/>
      <c r="G638" s="6">
        <f>IF(AND(E638="",F638=""),"",F638-E638)</f>
      </c>
      <c r="H638" s="4"/>
      <c r="I638" s="5"/>
    </row>
    <row r="639" ht="21" customHeight="1">
      <c r="A639" s="3">
        <v>46269</v>
      </c>
      <c r="B639" t="inlineStr" s="4">
        <is>
          <t>星期五</t>
        </is>
      </c>
      <c r="C639" t="inlineStr" s="4">
        <is>
          <t>餐饮</t>
        </is>
      </c>
      <c r="D639" t="inlineStr" s="5">
        <is>
          <t>早餐</t>
        </is>
      </c>
      <c r="E639" s="6"/>
      <c r="F639" s="6"/>
      <c r="G639" s="6">
        <f>IF(AND(E639="",F639=""),"",F639-E639)</f>
      </c>
      <c r="H639" s="4"/>
      <c r="I639" s="5"/>
    </row>
    <row r="640" ht="21" customHeight="1">
      <c r="A640" s="3">
        <v>46269</v>
      </c>
      <c r="B640" t="inlineStr" s="4">
        <is>
          <t>星期五</t>
        </is>
      </c>
      <c r="C640" t="inlineStr" s="4">
        <is>
          <t>餐饮</t>
        </is>
      </c>
      <c r="D640" t="inlineStr" s="5">
        <is>
          <t>中餐</t>
        </is>
      </c>
      <c r="E640" s="6"/>
      <c r="F640" s="6"/>
      <c r="G640" s="6">
        <f>IF(AND(E640="",F640=""),"",F640-E640)</f>
      </c>
      <c r="H640" s="4"/>
      <c r="I640" s="5"/>
    </row>
    <row r="641" ht="21" customHeight="1">
      <c r="A641" s="3">
        <v>46269</v>
      </c>
      <c r="B641" t="inlineStr" s="4">
        <is>
          <t>星期五</t>
        </is>
      </c>
      <c r="C641" t="inlineStr" s="4">
        <is>
          <t>餐饮</t>
        </is>
      </c>
      <c r="D641" t="inlineStr" s="5">
        <is>
          <t>晚餐</t>
        </is>
      </c>
      <c r="E641" s="6"/>
      <c r="F641" s="6"/>
      <c r="G641" s="6">
        <f>IF(AND(E641="",F641=""),"",F641-E641)</f>
      </c>
      <c r="H641" s="4"/>
      <c r="I641" s="5"/>
    </row>
    <row r="642" ht="21" customHeight="1">
      <c r="A642" s="3">
        <v>46269</v>
      </c>
      <c r="B642" t="inlineStr" s="4">
        <is>
          <t>星期五</t>
        </is>
      </c>
      <c r="C642" t="inlineStr" s="4">
        <is>
          <t>奶茶/咖啡</t>
        </is>
      </c>
      <c r="D642" t="inlineStr" s="5">
        <is>
          <t>奶茶/咖啡</t>
        </is>
      </c>
      <c r="E642" s="6"/>
      <c r="F642" s="6"/>
      <c r="G642" s="6">
        <f>IF(AND(E642="",F642=""),"",F642-E642)</f>
      </c>
      <c r="H642" s="4"/>
      <c r="I642" s="5"/>
    </row>
    <row r="643" ht="21" customHeight="1">
      <c r="A643" s="3">
        <v>46269</v>
      </c>
      <c r="B643" t="inlineStr" s="4">
        <is>
          <t>星期五</t>
        </is>
      </c>
      <c r="C643" t="inlineStr" s="4">
        <is>
          <t>其他</t>
        </is>
      </c>
      <c r="D643" t="inlineStr" s="5">
        <is>
          <t>其他</t>
        </is>
      </c>
      <c r="E643" s="6"/>
      <c r="F643" s="6"/>
      <c r="G643" s="6">
        <f>IF(AND(E643="",F643=""),"",F643-E643)</f>
      </c>
      <c r="H643" s="4"/>
      <c r="I643" s="5"/>
    </row>
    <row r="644" ht="21" customHeight="1">
      <c r="A644" s="3">
        <v>46269</v>
      </c>
      <c r="B644" t="inlineStr" s="4">
        <is>
          <t>星期五</t>
        </is>
      </c>
      <c r="C644" t="inlineStr" s="4">
        <is>
          <t>其他</t>
        </is>
      </c>
      <c r="D644" t="inlineStr" s="5">
        <is>
          <t>其他</t>
        </is>
      </c>
      <c r="E644" s="6"/>
      <c r="F644" s="6"/>
      <c r="G644" s="6">
        <f>IF(AND(E644="",F644=""),"",F644-E644)</f>
      </c>
      <c r="H644" s="4"/>
      <c r="I644" s="5"/>
    </row>
    <row r="645" ht="21" customHeight="1">
      <c r="A645" s="3">
        <v>46270</v>
      </c>
      <c r="B645" t="inlineStr" s="4">
        <is>
          <t>星期六</t>
        </is>
      </c>
      <c r="C645" t="inlineStr" s="4">
        <is>
          <t>餐饮</t>
        </is>
      </c>
      <c r="D645" t="inlineStr" s="5">
        <is>
          <t>早餐</t>
        </is>
      </c>
      <c r="E645" s="6"/>
      <c r="F645" s="6"/>
      <c r="G645" s="6">
        <f>IF(AND(E645="",F645=""),"",F645-E645)</f>
      </c>
      <c r="H645" s="4"/>
      <c r="I645" s="5"/>
    </row>
    <row r="646" ht="21" customHeight="1">
      <c r="A646" s="3">
        <v>46270</v>
      </c>
      <c r="B646" t="inlineStr" s="4">
        <is>
          <t>星期六</t>
        </is>
      </c>
      <c r="C646" t="inlineStr" s="4">
        <is>
          <t>餐饮</t>
        </is>
      </c>
      <c r="D646" t="inlineStr" s="5">
        <is>
          <t>中餐</t>
        </is>
      </c>
      <c r="E646" s="6"/>
      <c r="F646" s="6"/>
      <c r="G646" s="6">
        <f>IF(AND(E646="",F646=""),"",F646-E646)</f>
      </c>
      <c r="H646" s="4"/>
      <c r="I646" s="5"/>
    </row>
    <row r="647" ht="21" customHeight="1">
      <c r="A647" s="3">
        <v>46270</v>
      </c>
      <c r="B647" t="inlineStr" s="4">
        <is>
          <t>星期六</t>
        </is>
      </c>
      <c r="C647" t="inlineStr" s="4">
        <is>
          <t>餐饮</t>
        </is>
      </c>
      <c r="D647" t="inlineStr" s="5">
        <is>
          <t>晚餐</t>
        </is>
      </c>
      <c r="E647" s="6"/>
      <c r="F647" s="6"/>
      <c r="G647" s="6">
        <f>IF(AND(E647="",F647=""),"",F647-E647)</f>
      </c>
      <c r="H647" s="4"/>
      <c r="I647" s="5"/>
    </row>
    <row r="648" ht="21" customHeight="1">
      <c r="A648" s="3">
        <v>46270</v>
      </c>
      <c r="B648" t="inlineStr" s="4">
        <is>
          <t>星期六</t>
        </is>
      </c>
      <c r="C648" t="inlineStr" s="4">
        <is>
          <t>奶茶/咖啡</t>
        </is>
      </c>
      <c r="D648" t="inlineStr" s="5">
        <is>
          <t>奶茶/咖啡</t>
        </is>
      </c>
      <c r="E648" s="6"/>
      <c r="F648" s="6"/>
      <c r="G648" s="6">
        <f>IF(AND(E648="",F648=""),"",F648-E648)</f>
      </c>
      <c r="H648" s="4"/>
      <c r="I648" s="5"/>
    </row>
    <row r="649" ht="21" customHeight="1">
      <c r="A649" s="3">
        <v>46270</v>
      </c>
      <c r="B649" t="inlineStr" s="4">
        <is>
          <t>星期六</t>
        </is>
      </c>
      <c r="C649" t="inlineStr" s="4">
        <is>
          <t>其他</t>
        </is>
      </c>
      <c r="D649" t="inlineStr" s="5">
        <is>
          <t>其他</t>
        </is>
      </c>
      <c r="E649" s="6"/>
      <c r="F649" s="6"/>
      <c r="G649" s="6">
        <f>IF(AND(E649="",F649=""),"",F649-E649)</f>
      </c>
      <c r="H649" s="4"/>
      <c r="I649" s="5"/>
    </row>
    <row r="650" ht="21" customHeight="1">
      <c r="A650" s="3">
        <v>46270</v>
      </c>
      <c r="B650" t="inlineStr" s="4">
        <is>
          <t>星期六</t>
        </is>
      </c>
      <c r="C650" t="inlineStr" s="4">
        <is>
          <t>其他</t>
        </is>
      </c>
      <c r="D650" t="inlineStr" s="5">
        <is>
          <t>其他</t>
        </is>
      </c>
      <c r="E650" s="6"/>
      <c r="F650" s="6"/>
      <c r="G650" s="6">
        <f>IF(AND(E650="",F650=""),"",F650-E650)</f>
      </c>
      <c r="H650" s="4"/>
      <c r="I650" s="5"/>
    </row>
    <row r="651" ht="21" customHeight="1">
      <c r="A651" s="3">
        <v>46271</v>
      </c>
      <c r="B651" t="inlineStr" s="4">
        <is>
          <t>星期日</t>
        </is>
      </c>
      <c r="C651" t="inlineStr" s="4">
        <is>
          <t>餐饮</t>
        </is>
      </c>
      <c r="D651" t="inlineStr" s="5">
        <is>
          <t>早餐</t>
        </is>
      </c>
      <c r="E651" s="6"/>
      <c r="F651" s="6"/>
      <c r="G651" s="6">
        <f>IF(AND(E651="",F651=""),"",F651-E651)</f>
      </c>
      <c r="H651" s="4"/>
      <c r="I651" s="5"/>
    </row>
    <row r="652" ht="21" customHeight="1">
      <c r="A652" s="3">
        <v>46271</v>
      </c>
      <c r="B652" t="inlineStr" s="4">
        <is>
          <t>星期日</t>
        </is>
      </c>
      <c r="C652" t="inlineStr" s="4">
        <is>
          <t>餐饮</t>
        </is>
      </c>
      <c r="D652" t="inlineStr" s="5">
        <is>
          <t>中餐</t>
        </is>
      </c>
      <c r="E652" s="6"/>
      <c r="F652" s="6"/>
      <c r="G652" s="6">
        <f>IF(AND(E652="",F652=""),"",F652-E652)</f>
      </c>
      <c r="H652" s="4"/>
      <c r="I652" s="5"/>
    </row>
    <row r="653" ht="21" customHeight="1">
      <c r="A653" s="3">
        <v>46271</v>
      </c>
      <c r="B653" t="inlineStr" s="4">
        <is>
          <t>星期日</t>
        </is>
      </c>
      <c r="C653" t="inlineStr" s="4">
        <is>
          <t>餐饮</t>
        </is>
      </c>
      <c r="D653" t="inlineStr" s="5">
        <is>
          <t>晚餐</t>
        </is>
      </c>
      <c r="E653" s="6"/>
      <c r="F653" s="6"/>
      <c r="G653" s="6">
        <f>IF(AND(E653="",F653=""),"",F653-E653)</f>
      </c>
      <c r="H653" s="4"/>
      <c r="I653" s="5"/>
    </row>
    <row r="654" ht="21" customHeight="1">
      <c r="A654" s="3">
        <v>46271</v>
      </c>
      <c r="B654" t="inlineStr" s="4">
        <is>
          <t>星期日</t>
        </is>
      </c>
      <c r="C654" t="inlineStr" s="4">
        <is>
          <t>奶茶/咖啡</t>
        </is>
      </c>
      <c r="D654" t="inlineStr" s="5">
        <is>
          <t>奶茶/咖啡</t>
        </is>
      </c>
      <c r="E654" s="6"/>
      <c r="F654" s="6"/>
      <c r="G654" s="6">
        <f>IF(AND(E654="",F654=""),"",F654-E654)</f>
      </c>
      <c r="H654" s="4"/>
      <c r="I654" s="5"/>
    </row>
    <row r="655" ht="21" customHeight="1">
      <c r="A655" s="3">
        <v>46271</v>
      </c>
      <c r="B655" t="inlineStr" s="4">
        <is>
          <t>星期日</t>
        </is>
      </c>
      <c r="C655" t="inlineStr" s="4">
        <is>
          <t>其他</t>
        </is>
      </c>
      <c r="D655" t="inlineStr" s="5">
        <is>
          <t>其他</t>
        </is>
      </c>
      <c r="E655" s="6"/>
      <c r="F655" s="6"/>
      <c r="G655" s="6">
        <f>IF(AND(E655="",F655=""),"",F655-E655)</f>
      </c>
      <c r="H655" s="4"/>
      <c r="I655" s="5"/>
    </row>
    <row r="656" ht="21" customHeight="1">
      <c r="A656" s="3">
        <v>46271</v>
      </c>
      <c r="B656" t="inlineStr" s="4">
        <is>
          <t>星期日</t>
        </is>
      </c>
      <c r="C656" t="inlineStr" s="4">
        <is>
          <t>其他</t>
        </is>
      </c>
      <c r="D656" t="inlineStr" s="5">
        <is>
          <t>其他</t>
        </is>
      </c>
      <c r="E656" s="6"/>
      <c r="F656" s="6"/>
      <c r="G656" s="6">
        <f>IF(AND(E656="",F656=""),"",F656-E656)</f>
      </c>
      <c r="H656" s="4"/>
      <c r="I656" s="5"/>
    </row>
    <row r="657" ht="23" customHeight="1">
      <c r="A657" t="inlineStr" s="7">
        <is>
          <t>本周小计</t>
        </is>
      </c>
      <c r="B657" s="7"/>
      <c r="C657" s="7"/>
      <c r="D657" s="7"/>
      <c r="E657" s="8">
        <f>SUM(E615:E656)</f>
      </c>
      <c r="F657" s="8">
        <f>SUM(F615:F656)</f>
      </c>
      <c r="G657" s="8">
        <f>SUM(G615:G656)</f>
      </c>
      <c r="H657" s="7"/>
      <c r="I657" s="7"/>
    </row>
    <row r="658" ht="18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8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26" customHeight="1">
      <c r="A660" t="inlineStr" s="2">
        <is>
          <t>2026年9月｜第一周（9月7日 - 9月13日）</t>
        </is>
      </c>
      <c r="B660" s="2"/>
      <c r="C660" s="2"/>
      <c r="D660" s="2"/>
      <c r="E660" s="2"/>
      <c r="F660" s="2"/>
      <c r="G660" s="2"/>
      <c r="H660" s="2"/>
      <c r="I660" s="2"/>
    </row>
    <row r="661" ht="22" customHeight="1">
      <c r="A661" t="inlineStr" s="1">
        <is>
          <t>日期</t>
        </is>
      </c>
      <c r="B661" t="inlineStr" s="1">
        <is>
          <t>星期</t>
        </is>
      </c>
      <c r="C661" t="inlineStr" s="1">
        <is>
          <t>分类</t>
        </is>
      </c>
      <c r="D661" t="inlineStr" s="1">
        <is>
          <t>事项</t>
        </is>
      </c>
      <c r="E661" t="inlineStr" s="1">
        <is>
          <t>支出金额</t>
        </is>
      </c>
      <c r="F661" t="inlineStr" s="1">
        <is>
          <t>收入金额</t>
        </is>
      </c>
      <c r="G661" t="inlineStr" s="1">
        <is>
          <t>当笔净额</t>
        </is>
      </c>
      <c r="H661" t="inlineStr" s="1">
        <is>
          <t>支付方式</t>
        </is>
      </c>
      <c r="I661" t="inlineStr" s="1">
        <is>
          <t>备注</t>
        </is>
      </c>
    </row>
    <row r="662" ht="21" customHeight="1">
      <c r="A662" s="3">
        <v>46272</v>
      </c>
      <c r="B662" t="inlineStr" s="4">
        <is>
          <t>星期一</t>
        </is>
      </c>
      <c r="C662" t="inlineStr" s="4">
        <is>
          <t>餐饮</t>
        </is>
      </c>
      <c r="D662" t="inlineStr" s="5">
        <is>
          <t>早餐</t>
        </is>
      </c>
      <c r="E662" s="6"/>
      <c r="F662" s="6"/>
      <c r="G662" s="6">
        <f>IF(AND(E662="",F662=""),"",F662-E662)</f>
      </c>
      <c r="H662" s="4"/>
      <c r="I662" s="5"/>
    </row>
    <row r="663" ht="21" customHeight="1">
      <c r="A663" s="3">
        <v>46272</v>
      </c>
      <c r="B663" t="inlineStr" s="4">
        <is>
          <t>星期一</t>
        </is>
      </c>
      <c r="C663" t="inlineStr" s="4">
        <is>
          <t>餐饮</t>
        </is>
      </c>
      <c r="D663" t="inlineStr" s="5">
        <is>
          <t>中餐</t>
        </is>
      </c>
      <c r="E663" s="6"/>
      <c r="F663" s="6"/>
      <c r="G663" s="6">
        <f>IF(AND(E663="",F663=""),"",F663-E663)</f>
      </c>
      <c r="H663" s="4"/>
      <c r="I663" s="5"/>
    </row>
    <row r="664" ht="21" customHeight="1">
      <c r="A664" s="3">
        <v>46272</v>
      </c>
      <c r="B664" t="inlineStr" s="4">
        <is>
          <t>星期一</t>
        </is>
      </c>
      <c r="C664" t="inlineStr" s="4">
        <is>
          <t>餐饮</t>
        </is>
      </c>
      <c r="D664" t="inlineStr" s="5">
        <is>
          <t>晚餐</t>
        </is>
      </c>
      <c r="E664" s="6"/>
      <c r="F664" s="6"/>
      <c r="G664" s="6">
        <f>IF(AND(E664="",F664=""),"",F664-E664)</f>
      </c>
      <c r="H664" s="4"/>
      <c r="I664" s="5"/>
    </row>
    <row r="665" ht="21" customHeight="1">
      <c r="A665" s="3">
        <v>46272</v>
      </c>
      <c r="B665" t="inlineStr" s="4">
        <is>
          <t>星期一</t>
        </is>
      </c>
      <c r="C665" t="inlineStr" s="4">
        <is>
          <t>奶茶/咖啡</t>
        </is>
      </c>
      <c r="D665" t="inlineStr" s="5">
        <is>
          <t>奶茶/咖啡</t>
        </is>
      </c>
      <c r="E665" s="6"/>
      <c r="F665" s="6"/>
      <c r="G665" s="6">
        <f>IF(AND(E665="",F665=""),"",F665-E665)</f>
      </c>
      <c r="H665" s="4"/>
      <c r="I665" s="5"/>
    </row>
    <row r="666" ht="21" customHeight="1">
      <c r="A666" s="3">
        <v>46272</v>
      </c>
      <c r="B666" t="inlineStr" s="4">
        <is>
          <t>星期一</t>
        </is>
      </c>
      <c r="C666" t="inlineStr" s="4">
        <is>
          <t>其他</t>
        </is>
      </c>
      <c r="D666" t="inlineStr" s="5">
        <is>
          <t>其他</t>
        </is>
      </c>
      <c r="E666" s="6"/>
      <c r="F666" s="6"/>
      <c r="G666" s="6">
        <f>IF(AND(E666="",F666=""),"",F666-E666)</f>
      </c>
      <c r="H666" s="4"/>
      <c r="I666" s="5"/>
    </row>
    <row r="667" ht="21" customHeight="1">
      <c r="A667" s="3">
        <v>46272</v>
      </c>
      <c r="B667" t="inlineStr" s="4">
        <is>
          <t>星期一</t>
        </is>
      </c>
      <c r="C667" t="inlineStr" s="4">
        <is>
          <t>其他</t>
        </is>
      </c>
      <c r="D667" t="inlineStr" s="5">
        <is>
          <t>其他</t>
        </is>
      </c>
      <c r="E667" s="6"/>
      <c r="F667" s="6"/>
      <c r="G667" s="6">
        <f>IF(AND(E667="",F667=""),"",F667-E667)</f>
      </c>
      <c r="H667" s="4"/>
      <c r="I667" s="5"/>
    </row>
    <row r="668" ht="21" customHeight="1">
      <c r="A668" s="3">
        <v>46273</v>
      </c>
      <c r="B668" t="inlineStr" s="4">
        <is>
          <t>星期二</t>
        </is>
      </c>
      <c r="C668" t="inlineStr" s="4">
        <is>
          <t>餐饮</t>
        </is>
      </c>
      <c r="D668" t="inlineStr" s="5">
        <is>
          <t>早餐</t>
        </is>
      </c>
      <c r="E668" s="6"/>
      <c r="F668" s="6"/>
      <c r="G668" s="6">
        <f>IF(AND(E668="",F668=""),"",F668-E668)</f>
      </c>
      <c r="H668" s="4"/>
      <c r="I668" s="5"/>
    </row>
    <row r="669" ht="21" customHeight="1">
      <c r="A669" s="3">
        <v>46273</v>
      </c>
      <c r="B669" t="inlineStr" s="4">
        <is>
          <t>星期二</t>
        </is>
      </c>
      <c r="C669" t="inlineStr" s="4">
        <is>
          <t>餐饮</t>
        </is>
      </c>
      <c r="D669" t="inlineStr" s="5">
        <is>
          <t>中餐</t>
        </is>
      </c>
      <c r="E669" s="6"/>
      <c r="F669" s="6"/>
      <c r="G669" s="6">
        <f>IF(AND(E669="",F669=""),"",F669-E669)</f>
      </c>
      <c r="H669" s="4"/>
      <c r="I669" s="5"/>
    </row>
    <row r="670" ht="21" customHeight="1">
      <c r="A670" s="3">
        <v>46273</v>
      </c>
      <c r="B670" t="inlineStr" s="4">
        <is>
          <t>星期二</t>
        </is>
      </c>
      <c r="C670" t="inlineStr" s="4">
        <is>
          <t>餐饮</t>
        </is>
      </c>
      <c r="D670" t="inlineStr" s="5">
        <is>
          <t>晚餐</t>
        </is>
      </c>
      <c r="E670" s="6"/>
      <c r="F670" s="6"/>
      <c r="G670" s="6">
        <f>IF(AND(E670="",F670=""),"",F670-E670)</f>
      </c>
      <c r="H670" s="4"/>
      <c r="I670" s="5"/>
    </row>
    <row r="671" ht="21" customHeight="1">
      <c r="A671" s="3">
        <v>46273</v>
      </c>
      <c r="B671" t="inlineStr" s="4">
        <is>
          <t>星期二</t>
        </is>
      </c>
      <c r="C671" t="inlineStr" s="4">
        <is>
          <t>奶茶/咖啡</t>
        </is>
      </c>
      <c r="D671" t="inlineStr" s="5">
        <is>
          <t>奶茶/咖啡</t>
        </is>
      </c>
      <c r="E671" s="6"/>
      <c r="F671" s="6"/>
      <c r="G671" s="6">
        <f>IF(AND(E671="",F671=""),"",F671-E671)</f>
      </c>
      <c r="H671" s="4"/>
      <c r="I671" s="5"/>
    </row>
    <row r="672" ht="21" customHeight="1">
      <c r="A672" s="3">
        <v>46273</v>
      </c>
      <c r="B672" t="inlineStr" s="4">
        <is>
          <t>星期二</t>
        </is>
      </c>
      <c r="C672" t="inlineStr" s="4">
        <is>
          <t>其他</t>
        </is>
      </c>
      <c r="D672" t="inlineStr" s="5">
        <is>
          <t>其他</t>
        </is>
      </c>
      <c r="E672" s="6"/>
      <c r="F672" s="6"/>
      <c r="G672" s="6">
        <f>IF(AND(E672="",F672=""),"",F672-E672)</f>
      </c>
      <c r="H672" s="4"/>
      <c r="I672" s="5"/>
    </row>
    <row r="673" ht="21" customHeight="1">
      <c r="A673" s="3">
        <v>46273</v>
      </c>
      <c r="B673" t="inlineStr" s="4">
        <is>
          <t>星期二</t>
        </is>
      </c>
      <c r="C673" t="inlineStr" s="4">
        <is>
          <t>其他</t>
        </is>
      </c>
      <c r="D673" t="inlineStr" s="5">
        <is>
          <t>其他</t>
        </is>
      </c>
      <c r="E673" s="6"/>
      <c r="F673" s="6"/>
      <c r="G673" s="6">
        <f>IF(AND(E673="",F673=""),"",F673-E673)</f>
      </c>
      <c r="H673" s="4"/>
      <c r="I673" s="5"/>
    </row>
    <row r="674" ht="21" customHeight="1">
      <c r="A674" s="3">
        <v>46274</v>
      </c>
      <c r="B674" t="inlineStr" s="4">
        <is>
          <t>星期三</t>
        </is>
      </c>
      <c r="C674" t="inlineStr" s="4">
        <is>
          <t>餐饮</t>
        </is>
      </c>
      <c r="D674" t="inlineStr" s="5">
        <is>
          <t>早餐</t>
        </is>
      </c>
      <c r="E674" s="6"/>
      <c r="F674" s="6"/>
      <c r="G674" s="6">
        <f>IF(AND(E674="",F674=""),"",F674-E674)</f>
      </c>
      <c r="H674" s="4"/>
      <c r="I674" s="5"/>
    </row>
    <row r="675" ht="21" customHeight="1">
      <c r="A675" s="3">
        <v>46274</v>
      </c>
      <c r="B675" t="inlineStr" s="4">
        <is>
          <t>星期三</t>
        </is>
      </c>
      <c r="C675" t="inlineStr" s="4">
        <is>
          <t>餐饮</t>
        </is>
      </c>
      <c r="D675" t="inlineStr" s="5">
        <is>
          <t>中餐</t>
        </is>
      </c>
      <c r="E675" s="6"/>
      <c r="F675" s="6"/>
      <c r="G675" s="6">
        <f>IF(AND(E675="",F675=""),"",F675-E675)</f>
      </c>
      <c r="H675" s="4"/>
      <c r="I675" s="5"/>
    </row>
    <row r="676" ht="21" customHeight="1">
      <c r="A676" s="3">
        <v>46274</v>
      </c>
      <c r="B676" t="inlineStr" s="4">
        <is>
          <t>星期三</t>
        </is>
      </c>
      <c r="C676" t="inlineStr" s="4">
        <is>
          <t>餐饮</t>
        </is>
      </c>
      <c r="D676" t="inlineStr" s="5">
        <is>
          <t>晚餐</t>
        </is>
      </c>
      <c r="E676" s="6"/>
      <c r="F676" s="6"/>
      <c r="G676" s="6">
        <f>IF(AND(E676="",F676=""),"",F676-E676)</f>
      </c>
      <c r="H676" s="4"/>
      <c r="I676" s="5"/>
    </row>
    <row r="677" ht="21" customHeight="1">
      <c r="A677" s="3">
        <v>46274</v>
      </c>
      <c r="B677" t="inlineStr" s="4">
        <is>
          <t>星期三</t>
        </is>
      </c>
      <c r="C677" t="inlineStr" s="4">
        <is>
          <t>奶茶/咖啡</t>
        </is>
      </c>
      <c r="D677" t="inlineStr" s="5">
        <is>
          <t>奶茶/咖啡</t>
        </is>
      </c>
      <c r="E677" s="6"/>
      <c r="F677" s="6"/>
      <c r="G677" s="6">
        <f>IF(AND(E677="",F677=""),"",F677-E677)</f>
      </c>
      <c r="H677" s="4"/>
      <c r="I677" s="5"/>
    </row>
    <row r="678" ht="21" customHeight="1">
      <c r="A678" s="3">
        <v>46274</v>
      </c>
      <c r="B678" t="inlineStr" s="4">
        <is>
          <t>星期三</t>
        </is>
      </c>
      <c r="C678" t="inlineStr" s="4">
        <is>
          <t>其他</t>
        </is>
      </c>
      <c r="D678" t="inlineStr" s="5">
        <is>
          <t>其他</t>
        </is>
      </c>
      <c r="E678" s="6"/>
      <c r="F678" s="6"/>
      <c r="G678" s="6">
        <f>IF(AND(E678="",F678=""),"",F678-E678)</f>
      </c>
      <c r="H678" s="4"/>
      <c r="I678" s="5"/>
    </row>
    <row r="679" ht="21" customHeight="1">
      <c r="A679" s="3">
        <v>46274</v>
      </c>
      <c r="B679" t="inlineStr" s="4">
        <is>
          <t>星期三</t>
        </is>
      </c>
      <c r="C679" t="inlineStr" s="4">
        <is>
          <t>其他</t>
        </is>
      </c>
      <c r="D679" t="inlineStr" s="5">
        <is>
          <t>其他</t>
        </is>
      </c>
      <c r="E679" s="6"/>
      <c r="F679" s="6"/>
      <c r="G679" s="6">
        <f>IF(AND(E679="",F679=""),"",F679-E679)</f>
      </c>
      <c r="H679" s="4"/>
      <c r="I679" s="5"/>
    </row>
    <row r="680" ht="21" customHeight="1">
      <c r="A680" s="3">
        <v>46275</v>
      </c>
      <c r="B680" t="inlineStr" s="4">
        <is>
          <t>星期四</t>
        </is>
      </c>
      <c r="C680" t="inlineStr" s="4">
        <is>
          <t>餐饮</t>
        </is>
      </c>
      <c r="D680" t="inlineStr" s="5">
        <is>
          <t>早餐</t>
        </is>
      </c>
      <c r="E680" s="6"/>
      <c r="F680" s="6"/>
      <c r="G680" s="6">
        <f>IF(AND(E680="",F680=""),"",F680-E680)</f>
      </c>
      <c r="H680" s="4"/>
      <c r="I680" s="5"/>
    </row>
    <row r="681" ht="21" customHeight="1">
      <c r="A681" s="3">
        <v>46275</v>
      </c>
      <c r="B681" t="inlineStr" s="4">
        <is>
          <t>星期四</t>
        </is>
      </c>
      <c r="C681" t="inlineStr" s="4">
        <is>
          <t>餐饮</t>
        </is>
      </c>
      <c r="D681" t="inlineStr" s="5">
        <is>
          <t>中餐</t>
        </is>
      </c>
      <c r="E681" s="6"/>
      <c r="F681" s="6"/>
      <c r="G681" s="6">
        <f>IF(AND(E681="",F681=""),"",F681-E681)</f>
      </c>
      <c r="H681" s="4"/>
      <c r="I681" s="5"/>
    </row>
    <row r="682" ht="21" customHeight="1">
      <c r="A682" s="3">
        <v>46275</v>
      </c>
      <c r="B682" t="inlineStr" s="4">
        <is>
          <t>星期四</t>
        </is>
      </c>
      <c r="C682" t="inlineStr" s="4">
        <is>
          <t>餐饮</t>
        </is>
      </c>
      <c r="D682" t="inlineStr" s="5">
        <is>
          <t>晚餐</t>
        </is>
      </c>
      <c r="E682" s="6"/>
      <c r="F682" s="6"/>
      <c r="G682" s="6">
        <f>IF(AND(E682="",F682=""),"",F682-E682)</f>
      </c>
      <c r="H682" s="4"/>
      <c r="I682" s="5"/>
    </row>
    <row r="683" ht="21" customHeight="1">
      <c r="A683" s="3">
        <v>46275</v>
      </c>
      <c r="B683" t="inlineStr" s="4">
        <is>
          <t>星期四</t>
        </is>
      </c>
      <c r="C683" t="inlineStr" s="4">
        <is>
          <t>奶茶/咖啡</t>
        </is>
      </c>
      <c r="D683" t="inlineStr" s="5">
        <is>
          <t>奶茶/咖啡</t>
        </is>
      </c>
      <c r="E683" s="6"/>
      <c r="F683" s="6"/>
      <c r="G683" s="6">
        <f>IF(AND(E683="",F683=""),"",F683-E683)</f>
      </c>
      <c r="H683" s="4"/>
      <c r="I683" s="5"/>
    </row>
    <row r="684" ht="21" customHeight="1">
      <c r="A684" s="3">
        <v>46275</v>
      </c>
      <c r="B684" t="inlineStr" s="4">
        <is>
          <t>星期四</t>
        </is>
      </c>
      <c r="C684" t="inlineStr" s="4">
        <is>
          <t>其他</t>
        </is>
      </c>
      <c r="D684" t="inlineStr" s="5">
        <is>
          <t>其他</t>
        </is>
      </c>
      <c r="E684" s="6"/>
      <c r="F684" s="6"/>
      <c r="G684" s="6">
        <f>IF(AND(E684="",F684=""),"",F684-E684)</f>
      </c>
      <c r="H684" s="4"/>
      <c r="I684" s="5"/>
    </row>
    <row r="685" ht="21" customHeight="1">
      <c r="A685" s="3">
        <v>46275</v>
      </c>
      <c r="B685" t="inlineStr" s="4">
        <is>
          <t>星期四</t>
        </is>
      </c>
      <c r="C685" t="inlineStr" s="4">
        <is>
          <t>其他</t>
        </is>
      </c>
      <c r="D685" t="inlineStr" s="5">
        <is>
          <t>其他</t>
        </is>
      </c>
      <c r="E685" s="6"/>
      <c r="F685" s="6"/>
      <c r="G685" s="6">
        <f>IF(AND(E685="",F685=""),"",F685-E685)</f>
      </c>
      <c r="H685" s="4"/>
      <c r="I685" s="5"/>
    </row>
    <row r="686" ht="21" customHeight="1">
      <c r="A686" s="3">
        <v>46276</v>
      </c>
      <c r="B686" t="inlineStr" s="4">
        <is>
          <t>星期五</t>
        </is>
      </c>
      <c r="C686" t="inlineStr" s="4">
        <is>
          <t>餐饮</t>
        </is>
      </c>
      <c r="D686" t="inlineStr" s="5">
        <is>
          <t>早餐</t>
        </is>
      </c>
      <c r="E686" s="6"/>
      <c r="F686" s="6"/>
      <c r="G686" s="6">
        <f>IF(AND(E686="",F686=""),"",F686-E686)</f>
      </c>
      <c r="H686" s="4"/>
      <c r="I686" s="5"/>
    </row>
    <row r="687" ht="21" customHeight="1">
      <c r="A687" s="3">
        <v>46276</v>
      </c>
      <c r="B687" t="inlineStr" s="4">
        <is>
          <t>星期五</t>
        </is>
      </c>
      <c r="C687" t="inlineStr" s="4">
        <is>
          <t>餐饮</t>
        </is>
      </c>
      <c r="D687" t="inlineStr" s="5">
        <is>
          <t>中餐</t>
        </is>
      </c>
      <c r="E687" s="6"/>
      <c r="F687" s="6"/>
      <c r="G687" s="6">
        <f>IF(AND(E687="",F687=""),"",F687-E687)</f>
      </c>
      <c r="H687" s="4"/>
      <c r="I687" s="5"/>
    </row>
    <row r="688" ht="21" customHeight="1">
      <c r="A688" s="3">
        <v>46276</v>
      </c>
      <c r="B688" t="inlineStr" s="4">
        <is>
          <t>星期五</t>
        </is>
      </c>
      <c r="C688" t="inlineStr" s="4">
        <is>
          <t>餐饮</t>
        </is>
      </c>
      <c r="D688" t="inlineStr" s="5">
        <is>
          <t>晚餐</t>
        </is>
      </c>
      <c r="E688" s="6"/>
      <c r="F688" s="6"/>
      <c r="G688" s="6">
        <f>IF(AND(E688="",F688=""),"",F688-E688)</f>
      </c>
      <c r="H688" s="4"/>
      <c r="I688" s="5"/>
    </row>
    <row r="689" ht="21" customHeight="1">
      <c r="A689" s="3">
        <v>46276</v>
      </c>
      <c r="B689" t="inlineStr" s="4">
        <is>
          <t>星期五</t>
        </is>
      </c>
      <c r="C689" t="inlineStr" s="4">
        <is>
          <t>奶茶/咖啡</t>
        </is>
      </c>
      <c r="D689" t="inlineStr" s="5">
        <is>
          <t>奶茶/咖啡</t>
        </is>
      </c>
      <c r="E689" s="6"/>
      <c r="F689" s="6"/>
      <c r="G689" s="6">
        <f>IF(AND(E689="",F689=""),"",F689-E689)</f>
      </c>
      <c r="H689" s="4"/>
      <c r="I689" s="5"/>
    </row>
    <row r="690" ht="21" customHeight="1">
      <c r="A690" s="3">
        <v>46276</v>
      </c>
      <c r="B690" t="inlineStr" s="4">
        <is>
          <t>星期五</t>
        </is>
      </c>
      <c r="C690" t="inlineStr" s="4">
        <is>
          <t>其他</t>
        </is>
      </c>
      <c r="D690" t="inlineStr" s="5">
        <is>
          <t>其他</t>
        </is>
      </c>
      <c r="E690" s="6"/>
      <c r="F690" s="6"/>
      <c r="G690" s="6">
        <f>IF(AND(E690="",F690=""),"",F690-E690)</f>
      </c>
      <c r="H690" s="4"/>
      <c r="I690" s="5"/>
    </row>
    <row r="691" ht="21" customHeight="1">
      <c r="A691" s="3">
        <v>46276</v>
      </c>
      <c r="B691" t="inlineStr" s="4">
        <is>
          <t>星期五</t>
        </is>
      </c>
      <c r="C691" t="inlineStr" s="4">
        <is>
          <t>其他</t>
        </is>
      </c>
      <c r="D691" t="inlineStr" s="5">
        <is>
          <t>其他</t>
        </is>
      </c>
      <c r="E691" s="6"/>
      <c r="F691" s="6"/>
      <c r="G691" s="6">
        <f>IF(AND(E691="",F691=""),"",F691-E691)</f>
      </c>
      <c r="H691" s="4"/>
      <c r="I691" s="5"/>
    </row>
    <row r="692" ht="21" customHeight="1">
      <c r="A692" s="3">
        <v>46277</v>
      </c>
      <c r="B692" t="inlineStr" s="4">
        <is>
          <t>星期六</t>
        </is>
      </c>
      <c r="C692" t="inlineStr" s="4">
        <is>
          <t>餐饮</t>
        </is>
      </c>
      <c r="D692" t="inlineStr" s="5">
        <is>
          <t>早餐</t>
        </is>
      </c>
      <c r="E692" s="6"/>
      <c r="F692" s="6"/>
      <c r="G692" s="6">
        <f>IF(AND(E692="",F692=""),"",F692-E692)</f>
      </c>
      <c r="H692" s="4"/>
      <c r="I692" s="5"/>
    </row>
    <row r="693" ht="21" customHeight="1">
      <c r="A693" s="3">
        <v>46277</v>
      </c>
      <c r="B693" t="inlineStr" s="4">
        <is>
          <t>星期六</t>
        </is>
      </c>
      <c r="C693" t="inlineStr" s="4">
        <is>
          <t>餐饮</t>
        </is>
      </c>
      <c r="D693" t="inlineStr" s="5">
        <is>
          <t>中餐</t>
        </is>
      </c>
      <c r="E693" s="6"/>
      <c r="F693" s="6"/>
      <c r="G693" s="6">
        <f>IF(AND(E693="",F693=""),"",F693-E693)</f>
      </c>
      <c r="H693" s="4"/>
      <c r="I693" s="5"/>
    </row>
    <row r="694" ht="21" customHeight="1">
      <c r="A694" s="3">
        <v>46277</v>
      </c>
      <c r="B694" t="inlineStr" s="4">
        <is>
          <t>星期六</t>
        </is>
      </c>
      <c r="C694" t="inlineStr" s="4">
        <is>
          <t>餐饮</t>
        </is>
      </c>
      <c r="D694" t="inlineStr" s="5">
        <is>
          <t>晚餐</t>
        </is>
      </c>
      <c r="E694" s="6"/>
      <c r="F694" s="6"/>
      <c r="G694" s="6">
        <f>IF(AND(E694="",F694=""),"",F694-E694)</f>
      </c>
      <c r="H694" s="4"/>
      <c r="I694" s="5"/>
    </row>
    <row r="695" ht="21" customHeight="1">
      <c r="A695" s="3">
        <v>46277</v>
      </c>
      <c r="B695" t="inlineStr" s="4">
        <is>
          <t>星期六</t>
        </is>
      </c>
      <c r="C695" t="inlineStr" s="4">
        <is>
          <t>奶茶/咖啡</t>
        </is>
      </c>
      <c r="D695" t="inlineStr" s="5">
        <is>
          <t>奶茶/咖啡</t>
        </is>
      </c>
      <c r="E695" s="6"/>
      <c r="F695" s="6"/>
      <c r="G695" s="6">
        <f>IF(AND(E695="",F695=""),"",F695-E695)</f>
      </c>
      <c r="H695" s="4"/>
      <c r="I695" s="5"/>
    </row>
    <row r="696" ht="21" customHeight="1">
      <c r="A696" s="3">
        <v>46277</v>
      </c>
      <c r="B696" t="inlineStr" s="4">
        <is>
          <t>星期六</t>
        </is>
      </c>
      <c r="C696" t="inlineStr" s="4">
        <is>
          <t>其他</t>
        </is>
      </c>
      <c r="D696" t="inlineStr" s="5">
        <is>
          <t>其他</t>
        </is>
      </c>
      <c r="E696" s="6"/>
      <c r="F696" s="6"/>
      <c r="G696" s="6">
        <f>IF(AND(E696="",F696=""),"",F696-E696)</f>
      </c>
      <c r="H696" s="4"/>
      <c r="I696" s="5"/>
    </row>
    <row r="697" ht="21" customHeight="1">
      <c r="A697" s="3">
        <v>46277</v>
      </c>
      <c r="B697" t="inlineStr" s="4">
        <is>
          <t>星期六</t>
        </is>
      </c>
      <c r="C697" t="inlineStr" s="4">
        <is>
          <t>其他</t>
        </is>
      </c>
      <c r="D697" t="inlineStr" s="5">
        <is>
          <t>其他</t>
        </is>
      </c>
      <c r="E697" s="6"/>
      <c r="F697" s="6"/>
      <c r="G697" s="6">
        <f>IF(AND(E697="",F697=""),"",F697-E697)</f>
      </c>
      <c r="H697" s="4"/>
      <c r="I697" s="5"/>
    </row>
    <row r="698" ht="21" customHeight="1">
      <c r="A698" s="3">
        <v>46278</v>
      </c>
      <c r="B698" t="inlineStr" s="4">
        <is>
          <t>星期日</t>
        </is>
      </c>
      <c r="C698" t="inlineStr" s="4">
        <is>
          <t>餐饮</t>
        </is>
      </c>
      <c r="D698" t="inlineStr" s="5">
        <is>
          <t>早餐</t>
        </is>
      </c>
      <c r="E698" s="6"/>
      <c r="F698" s="6"/>
      <c r="G698" s="6">
        <f>IF(AND(E698="",F698=""),"",F698-E698)</f>
      </c>
      <c r="H698" s="4"/>
      <c r="I698" s="5"/>
    </row>
    <row r="699" ht="21" customHeight="1">
      <c r="A699" s="3">
        <v>46278</v>
      </c>
      <c r="B699" t="inlineStr" s="4">
        <is>
          <t>星期日</t>
        </is>
      </c>
      <c r="C699" t="inlineStr" s="4">
        <is>
          <t>餐饮</t>
        </is>
      </c>
      <c r="D699" t="inlineStr" s="5">
        <is>
          <t>中餐</t>
        </is>
      </c>
      <c r="E699" s="6"/>
      <c r="F699" s="6"/>
      <c r="G699" s="6">
        <f>IF(AND(E699="",F699=""),"",F699-E699)</f>
      </c>
      <c r="H699" s="4"/>
      <c r="I699" s="5"/>
    </row>
    <row r="700" ht="21" customHeight="1">
      <c r="A700" s="3">
        <v>46278</v>
      </c>
      <c r="B700" t="inlineStr" s="4">
        <is>
          <t>星期日</t>
        </is>
      </c>
      <c r="C700" t="inlineStr" s="4">
        <is>
          <t>餐饮</t>
        </is>
      </c>
      <c r="D700" t="inlineStr" s="5">
        <is>
          <t>晚餐</t>
        </is>
      </c>
      <c r="E700" s="6"/>
      <c r="F700" s="6"/>
      <c r="G700" s="6">
        <f>IF(AND(E700="",F700=""),"",F700-E700)</f>
      </c>
      <c r="H700" s="4"/>
      <c r="I700" s="5"/>
    </row>
    <row r="701" ht="21" customHeight="1">
      <c r="A701" s="3">
        <v>46278</v>
      </c>
      <c r="B701" t="inlineStr" s="4">
        <is>
          <t>星期日</t>
        </is>
      </c>
      <c r="C701" t="inlineStr" s="4">
        <is>
          <t>奶茶/咖啡</t>
        </is>
      </c>
      <c r="D701" t="inlineStr" s="5">
        <is>
          <t>奶茶/咖啡</t>
        </is>
      </c>
      <c r="E701" s="6"/>
      <c r="F701" s="6"/>
      <c r="G701" s="6">
        <f>IF(AND(E701="",F701=""),"",F701-E701)</f>
      </c>
      <c r="H701" s="4"/>
      <c r="I701" s="5"/>
    </row>
    <row r="702" ht="21" customHeight="1">
      <c r="A702" s="3">
        <v>46278</v>
      </c>
      <c r="B702" t="inlineStr" s="4">
        <is>
          <t>星期日</t>
        </is>
      </c>
      <c r="C702" t="inlineStr" s="4">
        <is>
          <t>其他</t>
        </is>
      </c>
      <c r="D702" t="inlineStr" s="5">
        <is>
          <t>其他</t>
        </is>
      </c>
      <c r="E702" s="6"/>
      <c r="F702" s="6"/>
      <c r="G702" s="6">
        <f>IF(AND(E702="",F702=""),"",F702-E702)</f>
      </c>
      <c r="H702" s="4"/>
      <c r="I702" s="5"/>
    </row>
    <row r="703" ht="21" customHeight="1">
      <c r="A703" s="3">
        <v>46278</v>
      </c>
      <c r="B703" t="inlineStr" s="4">
        <is>
          <t>星期日</t>
        </is>
      </c>
      <c r="C703" t="inlineStr" s="4">
        <is>
          <t>其他</t>
        </is>
      </c>
      <c r="D703" t="inlineStr" s="5">
        <is>
          <t>其他</t>
        </is>
      </c>
      <c r="E703" s="6"/>
      <c r="F703" s="6"/>
      <c r="G703" s="6">
        <f>IF(AND(E703="",F703=""),"",F703-E703)</f>
      </c>
      <c r="H703" s="4"/>
      <c r="I703" s="5"/>
    </row>
    <row r="704" ht="23" customHeight="1">
      <c r="A704" t="inlineStr" s="7">
        <is>
          <t>本周小计</t>
        </is>
      </c>
      <c r="B704" s="7"/>
      <c r="C704" s="7"/>
      <c r="D704" s="7"/>
      <c r="E704" s="8">
        <f>SUM(E662:E703)</f>
      </c>
      <c r="F704" s="8">
        <f>SUM(F662:F703)</f>
      </c>
      <c r="G704" s="8">
        <f>SUM(G662:G703)</f>
      </c>
      <c r="H704" s="7"/>
      <c r="I704" s="7"/>
    </row>
    <row r="705" ht="18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8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26" customHeight="1">
      <c r="A707" t="inlineStr" s="2">
        <is>
          <t>2026年9月｜第二周（9月14日 - 9月20日）</t>
        </is>
      </c>
      <c r="B707" s="2"/>
      <c r="C707" s="2"/>
      <c r="D707" s="2"/>
      <c r="E707" s="2"/>
      <c r="F707" s="2"/>
      <c r="G707" s="2"/>
      <c r="H707" s="2"/>
      <c r="I707" s="2"/>
    </row>
    <row r="708" ht="22" customHeight="1">
      <c r="A708" t="inlineStr" s="1">
        <is>
          <t>日期</t>
        </is>
      </c>
      <c r="B708" t="inlineStr" s="1">
        <is>
          <t>星期</t>
        </is>
      </c>
      <c r="C708" t="inlineStr" s="1">
        <is>
          <t>分类</t>
        </is>
      </c>
      <c r="D708" t="inlineStr" s="1">
        <is>
          <t>事项</t>
        </is>
      </c>
      <c r="E708" t="inlineStr" s="1">
        <is>
          <t>支出金额</t>
        </is>
      </c>
      <c r="F708" t="inlineStr" s="1">
        <is>
          <t>收入金额</t>
        </is>
      </c>
      <c r="G708" t="inlineStr" s="1">
        <is>
          <t>当笔净额</t>
        </is>
      </c>
      <c r="H708" t="inlineStr" s="1">
        <is>
          <t>支付方式</t>
        </is>
      </c>
      <c r="I708" t="inlineStr" s="1">
        <is>
          <t>备注</t>
        </is>
      </c>
    </row>
    <row r="709" ht="21" customHeight="1">
      <c r="A709" s="3">
        <v>46279</v>
      </c>
      <c r="B709" t="inlineStr" s="4">
        <is>
          <t>星期一</t>
        </is>
      </c>
      <c r="C709" t="inlineStr" s="4">
        <is>
          <t>餐饮</t>
        </is>
      </c>
      <c r="D709" t="inlineStr" s="5">
        <is>
          <t>早餐</t>
        </is>
      </c>
      <c r="E709" s="6"/>
      <c r="F709" s="6"/>
      <c r="G709" s="6">
        <f>IF(AND(E709="",F709=""),"",F709-E709)</f>
      </c>
      <c r="H709" s="4"/>
      <c r="I709" s="5"/>
    </row>
    <row r="710" ht="21" customHeight="1">
      <c r="A710" s="3">
        <v>46279</v>
      </c>
      <c r="B710" t="inlineStr" s="4">
        <is>
          <t>星期一</t>
        </is>
      </c>
      <c r="C710" t="inlineStr" s="4">
        <is>
          <t>餐饮</t>
        </is>
      </c>
      <c r="D710" t="inlineStr" s="5">
        <is>
          <t>中餐</t>
        </is>
      </c>
      <c r="E710" s="6"/>
      <c r="F710" s="6"/>
      <c r="G710" s="6">
        <f>IF(AND(E710="",F710=""),"",F710-E710)</f>
      </c>
      <c r="H710" s="4"/>
      <c r="I710" s="5"/>
    </row>
    <row r="711" ht="21" customHeight="1">
      <c r="A711" s="3">
        <v>46279</v>
      </c>
      <c r="B711" t="inlineStr" s="4">
        <is>
          <t>星期一</t>
        </is>
      </c>
      <c r="C711" t="inlineStr" s="4">
        <is>
          <t>餐饮</t>
        </is>
      </c>
      <c r="D711" t="inlineStr" s="5">
        <is>
          <t>晚餐</t>
        </is>
      </c>
      <c r="E711" s="6"/>
      <c r="F711" s="6"/>
      <c r="G711" s="6">
        <f>IF(AND(E711="",F711=""),"",F711-E711)</f>
      </c>
      <c r="H711" s="4"/>
      <c r="I711" s="5"/>
    </row>
    <row r="712" ht="21" customHeight="1">
      <c r="A712" s="3">
        <v>46279</v>
      </c>
      <c r="B712" t="inlineStr" s="4">
        <is>
          <t>星期一</t>
        </is>
      </c>
      <c r="C712" t="inlineStr" s="4">
        <is>
          <t>奶茶/咖啡</t>
        </is>
      </c>
      <c r="D712" t="inlineStr" s="5">
        <is>
          <t>奶茶/咖啡</t>
        </is>
      </c>
      <c r="E712" s="6"/>
      <c r="F712" s="6"/>
      <c r="G712" s="6">
        <f>IF(AND(E712="",F712=""),"",F712-E712)</f>
      </c>
      <c r="H712" s="4"/>
      <c r="I712" s="5"/>
    </row>
    <row r="713" ht="21" customHeight="1">
      <c r="A713" s="3">
        <v>46279</v>
      </c>
      <c r="B713" t="inlineStr" s="4">
        <is>
          <t>星期一</t>
        </is>
      </c>
      <c r="C713" t="inlineStr" s="4">
        <is>
          <t>其他</t>
        </is>
      </c>
      <c r="D713" t="inlineStr" s="5">
        <is>
          <t>其他</t>
        </is>
      </c>
      <c r="E713" s="6"/>
      <c r="F713" s="6"/>
      <c r="G713" s="6">
        <f>IF(AND(E713="",F713=""),"",F713-E713)</f>
      </c>
      <c r="H713" s="4"/>
      <c r="I713" s="5"/>
    </row>
    <row r="714" ht="21" customHeight="1">
      <c r="A714" s="3">
        <v>46279</v>
      </c>
      <c r="B714" t="inlineStr" s="4">
        <is>
          <t>星期一</t>
        </is>
      </c>
      <c r="C714" t="inlineStr" s="4">
        <is>
          <t>其他</t>
        </is>
      </c>
      <c r="D714" t="inlineStr" s="5">
        <is>
          <t>其他</t>
        </is>
      </c>
      <c r="E714" s="6"/>
      <c r="F714" s="6"/>
      <c r="G714" s="6">
        <f>IF(AND(E714="",F714=""),"",F714-E714)</f>
      </c>
      <c r="H714" s="4"/>
      <c r="I714" s="5"/>
    </row>
    <row r="715" ht="21" customHeight="1">
      <c r="A715" s="3">
        <v>46280</v>
      </c>
      <c r="B715" t="inlineStr" s="4">
        <is>
          <t>星期二</t>
        </is>
      </c>
      <c r="C715" t="inlineStr" s="4">
        <is>
          <t>餐饮</t>
        </is>
      </c>
      <c r="D715" t="inlineStr" s="5">
        <is>
          <t>早餐</t>
        </is>
      </c>
      <c r="E715" s="6"/>
      <c r="F715" s="6"/>
      <c r="G715" s="6">
        <f>IF(AND(E715="",F715=""),"",F715-E715)</f>
      </c>
      <c r="H715" s="4"/>
      <c r="I715" s="5"/>
    </row>
    <row r="716" ht="21" customHeight="1">
      <c r="A716" s="3">
        <v>46280</v>
      </c>
      <c r="B716" t="inlineStr" s="4">
        <is>
          <t>星期二</t>
        </is>
      </c>
      <c r="C716" t="inlineStr" s="4">
        <is>
          <t>餐饮</t>
        </is>
      </c>
      <c r="D716" t="inlineStr" s="5">
        <is>
          <t>中餐</t>
        </is>
      </c>
      <c r="E716" s="6"/>
      <c r="F716" s="6"/>
      <c r="G716" s="6">
        <f>IF(AND(E716="",F716=""),"",F716-E716)</f>
      </c>
      <c r="H716" s="4"/>
      <c r="I716" s="5"/>
    </row>
    <row r="717" ht="21" customHeight="1">
      <c r="A717" s="3">
        <v>46280</v>
      </c>
      <c r="B717" t="inlineStr" s="4">
        <is>
          <t>星期二</t>
        </is>
      </c>
      <c r="C717" t="inlineStr" s="4">
        <is>
          <t>餐饮</t>
        </is>
      </c>
      <c r="D717" t="inlineStr" s="5">
        <is>
          <t>晚餐</t>
        </is>
      </c>
      <c r="E717" s="6"/>
      <c r="F717" s="6"/>
      <c r="G717" s="6">
        <f>IF(AND(E717="",F717=""),"",F717-E717)</f>
      </c>
      <c r="H717" s="4"/>
      <c r="I717" s="5"/>
    </row>
    <row r="718" ht="21" customHeight="1">
      <c r="A718" s="3">
        <v>46280</v>
      </c>
      <c r="B718" t="inlineStr" s="4">
        <is>
          <t>星期二</t>
        </is>
      </c>
      <c r="C718" t="inlineStr" s="4">
        <is>
          <t>奶茶/咖啡</t>
        </is>
      </c>
      <c r="D718" t="inlineStr" s="5">
        <is>
          <t>奶茶/咖啡</t>
        </is>
      </c>
      <c r="E718" s="6"/>
      <c r="F718" s="6"/>
      <c r="G718" s="6">
        <f>IF(AND(E718="",F718=""),"",F718-E718)</f>
      </c>
      <c r="H718" s="4"/>
      <c r="I718" s="5"/>
    </row>
    <row r="719" ht="21" customHeight="1">
      <c r="A719" s="3">
        <v>46280</v>
      </c>
      <c r="B719" t="inlineStr" s="4">
        <is>
          <t>星期二</t>
        </is>
      </c>
      <c r="C719" t="inlineStr" s="4">
        <is>
          <t>其他</t>
        </is>
      </c>
      <c r="D719" t="inlineStr" s="5">
        <is>
          <t>其他</t>
        </is>
      </c>
      <c r="E719" s="6"/>
      <c r="F719" s="6"/>
      <c r="G719" s="6">
        <f>IF(AND(E719="",F719=""),"",F719-E719)</f>
      </c>
      <c r="H719" s="4"/>
      <c r="I719" s="5"/>
    </row>
    <row r="720" ht="21" customHeight="1">
      <c r="A720" s="3">
        <v>46280</v>
      </c>
      <c r="B720" t="inlineStr" s="4">
        <is>
          <t>星期二</t>
        </is>
      </c>
      <c r="C720" t="inlineStr" s="4">
        <is>
          <t>其他</t>
        </is>
      </c>
      <c r="D720" t="inlineStr" s="5">
        <is>
          <t>其他</t>
        </is>
      </c>
      <c r="E720" s="6"/>
      <c r="F720" s="6"/>
      <c r="G720" s="6">
        <f>IF(AND(E720="",F720=""),"",F720-E720)</f>
      </c>
      <c r="H720" s="4"/>
      <c r="I720" s="5"/>
    </row>
    <row r="721" ht="21" customHeight="1">
      <c r="A721" s="3">
        <v>46281</v>
      </c>
      <c r="B721" t="inlineStr" s="4">
        <is>
          <t>星期三</t>
        </is>
      </c>
      <c r="C721" t="inlineStr" s="4">
        <is>
          <t>餐饮</t>
        </is>
      </c>
      <c r="D721" t="inlineStr" s="5">
        <is>
          <t>早餐</t>
        </is>
      </c>
      <c r="E721" s="6"/>
      <c r="F721" s="6"/>
      <c r="G721" s="6">
        <f>IF(AND(E721="",F721=""),"",F721-E721)</f>
      </c>
      <c r="H721" s="4"/>
      <c r="I721" s="5"/>
    </row>
    <row r="722" ht="21" customHeight="1">
      <c r="A722" s="3">
        <v>46281</v>
      </c>
      <c r="B722" t="inlineStr" s="4">
        <is>
          <t>星期三</t>
        </is>
      </c>
      <c r="C722" t="inlineStr" s="4">
        <is>
          <t>餐饮</t>
        </is>
      </c>
      <c r="D722" t="inlineStr" s="5">
        <is>
          <t>中餐</t>
        </is>
      </c>
      <c r="E722" s="6"/>
      <c r="F722" s="6"/>
      <c r="G722" s="6">
        <f>IF(AND(E722="",F722=""),"",F722-E722)</f>
      </c>
      <c r="H722" s="4"/>
      <c r="I722" s="5"/>
    </row>
    <row r="723" ht="21" customHeight="1">
      <c r="A723" s="3">
        <v>46281</v>
      </c>
      <c r="B723" t="inlineStr" s="4">
        <is>
          <t>星期三</t>
        </is>
      </c>
      <c r="C723" t="inlineStr" s="4">
        <is>
          <t>餐饮</t>
        </is>
      </c>
      <c r="D723" t="inlineStr" s="5">
        <is>
          <t>晚餐</t>
        </is>
      </c>
      <c r="E723" s="6"/>
      <c r="F723" s="6"/>
      <c r="G723" s="6">
        <f>IF(AND(E723="",F723=""),"",F723-E723)</f>
      </c>
      <c r="H723" s="4"/>
      <c r="I723" s="5"/>
    </row>
    <row r="724" ht="21" customHeight="1">
      <c r="A724" s="3">
        <v>46281</v>
      </c>
      <c r="B724" t="inlineStr" s="4">
        <is>
          <t>星期三</t>
        </is>
      </c>
      <c r="C724" t="inlineStr" s="4">
        <is>
          <t>奶茶/咖啡</t>
        </is>
      </c>
      <c r="D724" t="inlineStr" s="5">
        <is>
          <t>奶茶/咖啡</t>
        </is>
      </c>
      <c r="E724" s="6"/>
      <c r="F724" s="6"/>
      <c r="G724" s="6">
        <f>IF(AND(E724="",F724=""),"",F724-E724)</f>
      </c>
      <c r="H724" s="4"/>
      <c r="I724" s="5"/>
    </row>
    <row r="725" ht="21" customHeight="1">
      <c r="A725" s="3">
        <v>46281</v>
      </c>
      <c r="B725" t="inlineStr" s="4">
        <is>
          <t>星期三</t>
        </is>
      </c>
      <c r="C725" t="inlineStr" s="4">
        <is>
          <t>其他</t>
        </is>
      </c>
      <c r="D725" t="inlineStr" s="5">
        <is>
          <t>其他</t>
        </is>
      </c>
      <c r="E725" s="6"/>
      <c r="F725" s="6"/>
      <c r="G725" s="6">
        <f>IF(AND(E725="",F725=""),"",F725-E725)</f>
      </c>
      <c r="H725" s="4"/>
      <c r="I725" s="5"/>
    </row>
    <row r="726" ht="21" customHeight="1">
      <c r="A726" s="3">
        <v>46281</v>
      </c>
      <c r="B726" t="inlineStr" s="4">
        <is>
          <t>星期三</t>
        </is>
      </c>
      <c r="C726" t="inlineStr" s="4">
        <is>
          <t>其他</t>
        </is>
      </c>
      <c r="D726" t="inlineStr" s="5">
        <is>
          <t>其他</t>
        </is>
      </c>
      <c r="E726" s="6"/>
      <c r="F726" s="6"/>
      <c r="G726" s="6">
        <f>IF(AND(E726="",F726=""),"",F726-E726)</f>
      </c>
      <c r="H726" s="4"/>
      <c r="I726" s="5"/>
    </row>
    <row r="727" ht="21" customHeight="1">
      <c r="A727" s="3">
        <v>46282</v>
      </c>
      <c r="B727" t="inlineStr" s="4">
        <is>
          <t>星期四</t>
        </is>
      </c>
      <c r="C727" t="inlineStr" s="4">
        <is>
          <t>餐饮</t>
        </is>
      </c>
      <c r="D727" t="inlineStr" s="5">
        <is>
          <t>早餐</t>
        </is>
      </c>
      <c r="E727" s="6"/>
      <c r="F727" s="6"/>
      <c r="G727" s="6">
        <f>IF(AND(E727="",F727=""),"",F727-E727)</f>
      </c>
      <c r="H727" s="4"/>
      <c r="I727" s="5"/>
    </row>
    <row r="728" ht="21" customHeight="1">
      <c r="A728" s="3">
        <v>46282</v>
      </c>
      <c r="B728" t="inlineStr" s="4">
        <is>
          <t>星期四</t>
        </is>
      </c>
      <c r="C728" t="inlineStr" s="4">
        <is>
          <t>餐饮</t>
        </is>
      </c>
      <c r="D728" t="inlineStr" s="5">
        <is>
          <t>中餐</t>
        </is>
      </c>
      <c r="E728" s="6"/>
      <c r="F728" s="6"/>
      <c r="G728" s="6">
        <f>IF(AND(E728="",F728=""),"",F728-E728)</f>
      </c>
      <c r="H728" s="4"/>
      <c r="I728" s="5"/>
    </row>
    <row r="729" ht="21" customHeight="1">
      <c r="A729" s="3">
        <v>46282</v>
      </c>
      <c r="B729" t="inlineStr" s="4">
        <is>
          <t>星期四</t>
        </is>
      </c>
      <c r="C729" t="inlineStr" s="4">
        <is>
          <t>餐饮</t>
        </is>
      </c>
      <c r="D729" t="inlineStr" s="5">
        <is>
          <t>晚餐</t>
        </is>
      </c>
      <c r="E729" s="6"/>
      <c r="F729" s="6"/>
      <c r="G729" s="6">
        <f>IF(AND(E729="",F729=""),"",F729-E729)</f>
      </c>
      <c r="H729" s="4"/>
      <c r="I729" s="5"/>
    </row>
    <row r="730" ht="21" customHeight="1">
      <c r="A730" s="3">
        <v>46282</v>
      </c>
      <c r="B730" t="inlineStr" s="4">
        <is>
          <t>星期四</t>
        </is>
      </c>
      <c r="C730" t="inlineStr" s="4">
        <is>
          <t>奶茶/咖啡</t>
        </is>
      </c>
      <c r="D730" t="inlineStr" s="5">
        <is>
          <t>奶茶/咖啡</t>
        </is>
      </c>
      <c r="E730" s="6"/>
      <c r="F730" s="6"/>
      <c r="G730" s="6">
        <f>IF(AND(E730="",F730=""),"",F730-E730)</f>
      </c>
      <c r="H730" s="4"/>
      <c r="I730" s="5"/>
    </row>
    <row r="731" ht="21" customHeight="1">
      <c r="A731" s="3">
        <v>46282</v>
      </c>
      <c r="B731" t="inlineStr" s="4">
        <is>
          <t>星期四</t>
        </is>
      </c>
      <c r="C731" t="inlineStr" s="4">
        <is>
          <t>其他</t>
        </is>
      </c>
      <c r="D731" t="inlineStr" s="5">
        <is>
          <t>其他</t>
        </is>
      </c>
      <c r="E731" s="6"/>
      <c r="F731" s="6"/>
      <c r="G731" s="6">
        <f>IF(AND(E731="",F731=""),"",F731-E731)</f>
      </c>
      <c r="H731" s="4"/>
      <c r="I731" s="5"/>
    </row>
    <row r="732" ht="21" customHeight="1">
      <c r="A732" s="3">
        <v>46282</v>
      </c>
      <c r="B732" t="inlineStr" s="4">
        <is>
          <t>星期四</t>
        </is>
      </c>
      <c r="C732" t="inlineStr" s="4">
        <is>
          <t>其他</t>
        </is>
      </c>
      <c r="D732" t="inlineStr" s="5">
        <is>
          <t>其他</t>
        </is>
      </c>
      <c r="E732" s="6"/>
      <c r="F732" s="6"/>
      <c r="G732" s="6">
        <f>IF(AND(E732="",F732=""),"",F732-E732)</f>
      </c>
      <c r="H732" s="4"/>
      <c r="I732" s="5"/>
    </row>
    <row r="733" ht="21" customHeight="1">
      <c r="A733" s="3">
        <v>46283</v>
      </c>
      <c r="B733" t="inlineStr" s="4">
        <is>
          <t>星期五</t>
        </is>
      </c>
      <c r="C733" t="inlineStr" s="4">
        <is>
          <t>餐饮</t>
        </is>
      </c>
      <c r="D733" t="inlineStr" s="5">
        <is>
          <t>早餐</t>
        </is>
      </c>
      <c r="E733" s="6"/>
      <c r="F733" s="6"/>
      <c r="G733" s="6">
        <f>IF(AND(E733="",F733=""),"",F733-E733)</f>
      </c>
      <c r="H733" s="4"/>
      <c r="I733" s="5"/>
    </row>
    <row r="734" ht="21" customHeight="1">
      <c r="A734" s="3">
        <v>46283</v>
      </c>
      <c r="B734" t="inlineStr" s="4">
        <is>
          <t>星期五</t>
        </is>
      </c>
      <c r="C734" t="inlineStr" s="4">
        <is>
          <t>餐饮</t>
        </is>
      </c>
      <c r="D734" t="inlineStr" s="5">
        <is>
          <t>中餐</t>
        </is>
      </c>
      <c r="E734" s="6"/>
      <c r="F734" s="6"/>
      <c r="G734" s="6">
        <f>IF(AND(E734="",F734=""),"",F734-E734)</f>
      </c>
      <c r="H734" s="4"/>
      <c r="I734" s="5"/>
    </row>
    <row r="735" ht="21" customHeight="1">
      <c r="A735" s="3">
        <v>46283</v>
      </c>
      <c r="B735" t="inlineStr" s="4">
        <is>
          <t>星期五</t>
        </is>
      </c>
      <c r="C735" t="inlineStr" s="4">
        <is>
          <t>餐饮</t>
        </is>
      </c>
      <c r="D735" t="inlineStr" s="5">
        <is>
          <t>晚餐</t>
        </is>
      </c>
      <c r="E735" s="6"/>
      <c r="F735" s="6"/>
      <c r="G735" s="6">
        <f>IF(AND(E735="",F735=""),"",F735-E735)</f>
      </c>
      <c r="H735" s="4"/>
      <c r="I735" s="5"/>
    </row>
    <row r="736" ht="21" customHeight="1">
      <c r="A736" s="3">
        <v>46283</v>
      </c>
      <c r="B736" t="inlineStr" s="4">
        <is>
          <t>星期五</t>
        </is>
      </c>
      <c r="C736" t="inlineStr" s="4">
        <is>
          <t>奶茶/咖啡</t>
        </is>
      </c>
      <c r="D736" t="inlineStr" s="5">
        <is>
          <t>奶茶/咖啡</t>
        </is>
      </c>
      <c r="E736" s="6"/>
      <c r="F736" s="6"/>
      <c r="G736" s="6">
        <f>IF(AND(E736="",F736=""),"",F736-E736)</f>
      </c>
      <c r="H736" s="4"/>
      <c r="I736" s="5"/>
    </row>
    <row r="737" ht="21" customHeight="1">
      <c r="A737" s="3">
        <v>46283</v>
      </c>
      <c r="B737" t="inlineStr" s="4">
        <is>
          <t>星期五</t>
        </is>
      </c>
      <c r="C737" t="inlineStr" s="4">
        <is>
          <t>其他</t>
        </is>
      </c>
      <c r="D737" t="inlineStr" s="5">
        <is>
          <t>其他</t>
        </is>
      </c>
      <c r="E737" s="6"/>
      <c r="F737" s="6"/>
      <c r="G737" s="6">
        <f>IF(AND(E737="",F737=""),"",F737-E737)</f>
      </c>
      <c r="H737" s="4"/>
      <c r="I737" s="5"/>
    </row>
    <row r="738" ht="21" customHeight="1">
      <c r="A738" s="3">
        <v>46283</v>
      </c>
      <c r="B738" t="inlineStr" s="4">
        <is>
          <t>星期五</t>
        </is>
      </c>
      <c r="C738" t="inlineStr" s="4">
        <is>
          <t>其他</t>
        </is>
      </c>
      <c r="D738" t="inlineStr" s="5">
        <is>
          <t>其他</t>
        </is>
      </c>
      <c r="E738" s="6"/>
      <c r="F738" s="6"/>
      <c r="G738" s="6">
        <f>IF(AND(E738="",F738=""),"",F738-E738)</f>
      </c>
      <c r="H738" s="4"/>
      <c r="I738" s="5"/>
    </row>
    <row r="739" ht="21" customHeight="1">
      <c r="A739" s="3">
        <v>46284</v>
      </c>
      <c r="B739" t="inlineStr" s="4">
        <is>
          <t>星期六</t>
        </is>
      </c>
      <c r="C739" t="inlineStr" s="4">
        <is>
          <t>餐饮</t>
        </is>
      </c>
      <c r="D739" t="inlineStr" s="5">
        <is>
          <t>早餐</t>
        </is>
      </c>
      <c r="E739" s="6"/>
      <c r="F739" s="6"/>
      <c r="G739" s="6">
        <f>IF(AND(E739="",F739=""),"",F739-E739)</f>
      </c>
      <c r="H739" s="4"/>
      <c r="I739" s="5"/>
    </row>
    <row r="740" ht="21" customHeight="1">
      <c r="A740" s="3">
        <v>46284</v>
      </c>
      <c r="B740" t="inlineStr" s="4">
        <is>
          <t>星期六</t>
        </is>
      </c>
      <c r="C740" t="inlineStr" s="4">
        <is>
          <t>餐饮</t>
        </is>
      </c>
      <c r="D740" t="inlineStr" s="5">
        <is>
          <t>中餐</t>
        </is>
      </c>
      <c r="E740" s="6"/>
      <c r="F740" s="6"/>
      <c r="G740" s="6">
        <f>IF(AND(E740="",F740=""),"",F740-E740)</f>
      </c>
      <c r="H740" s="4"/>
      <c r="I740" s="5"/>
    </row>
    <row r="741" ht="21" customHeight="1">
      <c r="A741" s="3">
        <v>46284</v>
      </c>
      <c r="B741" t="inlineStr" s="4">
        <is>
          <t>星期六</t>
        </is>
      </c>
      <c r="C741" t="inlineStr" s="4">
        <is>
          <t>餐饮</t>
        </is>
      </c>
      <c r="D741" t="inlineStr" s="5">
        <is>
          <t>晚餐</t>
        </is>
      </c>
      <c r="E741" s="6"/>
      <c r="F741" s="6"/>
      <c r="G741" s="6">
        <f>IF(AND(E741="",F741=""),"",F741-E741)</f>
      </c>
      <c r="H741" s="4"/>
      <c r="I741" s="5"/>
    </row>
    <row r="742" ht="21" customHeight="1">
      <c r="A742" s="3">
        <v>46284</v>
      </c>
      <c r="B742" t="inlineStr" s="4">
        <is>
          <t>星期六</t>
        </is>
      </c>
      <c r="C742" t="inlineStr" s="4">
        <is>
          <t>奶茶/咖啡</t>
        </is>
      </c>
      <c r="D742" t="inlineStr" s="5">
        <is>
          <t>奶茶/咖啡</t>
        </is>
      </c>
      <c r="E742" s="6"/>
      <c r="F742" s="6"/>
      <c r="G742" s="6">
        <f>IF(AND(E742="",F742=""),"",F742-E742)</f>
      </c>
      <c r="H742" s="4"/>
      <c r="I742" s="5"/>
    </row>
    <row r="743" ht="21" customHeight="1">
      <c r="A743" s="3">
        <v>46284</v>
      </c>
      <c r="B743" t="inlineStr" s="4">
        <is>
          <t>星期六</t>
        </is>
      </c>
      <c r="C743" t="inlineStr" s="4">
        <is>
          <t>其他</t>
        </is>
      </c>
      <c r="D743" t="inlineStr" s="5">
        <is>
          <t>其他</t>
        </is>
      </c>
      <c r="E743" s="6"/>
      <c r="F743" s="6"/>
      <c r="G743" s="6">
        <f>IF(AND(E743="",F743=""),"",F743-E743)</f>
      </c>
      <c r="H743" s="4"/>
      <c r="I743" s="5"/>
    </row>
    <row r="744" ht="21" customHeight="1">
      <c r="A744" s="3">
        <v>46284</v>
      </c>
      <c r="B744" t="inlineStr" s="4">
        <is>
          <t>星期六</t>
        </is>
      </c>
      <c r="C744" t="inlineStr" s="4">
        <is>
          <t>其他</t>
        </is>
      </c>
      <c r="D744" t="inlineStr" s="5">
        <is>
          <t>其他</t>
        </is>
      </c>
      <c r="E744" s="6"/>
      <c r="F744" s="6"/>
      <c r="G744" s="6">
        <f>IF(AND(E744="",F744=""),"",F744-E744)</f>
      </c>
      <c r="H744" s="4"/>
      <c r="I744" s="5"/>
    </row>
    <row r="745" ht="21" customHeight="1">
      <c r="A745" s="3">
        <v>46285</v>
      </c>
      <c r="B745" t="inlineStr" s="4">
        <is>
          <t>星期日</t>
        </is>
      </c>
      <c r="C745" t="inlineStr" s="4">
        <is>
          <t>餐饮</t>
        </is>
      </c>
      <c r="D745" t="inlineStr" s="5">
        <is>
          <t>早餐</t>
        </is>
      </c>
      <c r="E745" s="6"/>
      <c r="F745" s="6"/>
      <c r="G745" s="6">
        <f>IF(AND(E745="",F745=""),"",F745-E745)</f>
      </c>
      <c r="H745" s="4"/>
      <c r="I745" s="5"/>
    </row>
    <row r="746" ht="21" customHeight="1">
      <c r="A746" s="3">
        <v>46285</v>
      </c>
      <c r="B746" t="inlineStr" s="4">
        <is>
          <t>星期日</t>
        </is>
      </c>
      <c r="C746" t="inlineStr" s="4">
        <is>
          <t>餐饮</t>
        </is>
      </c>
      <c r="D746" t="inlineStr" s="5">
        <is>
          <t>中餐</t>
        </is>
      </c>
      <c r="E746" s="6"/>
      <c r="F746" s="6"/>
      <c r="G746" s="6">
        <f>IF(AND(E746="",F746=""),"",F746-E746)</f>
      </c>
      <c r="H746" s="4"/>
      <c r="I746" s="5"/>
    </row>
    <row r="747" ht="21" customHeight="1">
      <c r="A747" s="3">
        <v>46285</v>
      </c>
      <c r="B747" t="inlineStr" s="4">
        <is>
          <t>星期日</t>
        </is>
      </c>
      <c r="C747" t="inlineStr" s="4">
        <is>
          <t>餐饮</t>
        </is>
      </c>
      <c r="D747" t="inlineStr" s="5">
        <is>
          <t>晚餐</t>
        </is>
      </c>
      <c r="E747" s="6"/>
      <c r="F747" s="6"/>
      <c r="G747" s="6">
        <f>IF(AND(E747="",F747=""),"",F747-E747)</f>
      </c>
      <c r="H747" s="4"/>
      <c r="I747" s="5"/>
    </row>
    <row r="748" ht="21" customHeight="1">
      <c r="A748" s="3">
        <v>46285</v>
      </c>
      <c r="B748" t="inlineStr" s="4">
        <is>
          <t>星期日</t>
        </is>
      </c>
      <c r="C748" t="inlineStr" s="4">
        <is>
          <t>奶茶/咖啡</t>
        </is>
      </c>
      <c r="D748" t="inlineStr" s="5">
        <is>
          <t>奶茶/咖啡</t>
        </is>
      </c>
      <c r="E748" s="6"/>
      <c r="F748" s="6"/>
      <c r="G748" s="6">
        <f>IF(AND(E748="",F748=""),"",F748-E748)</f>
      </c>
      <c r="H748" s="4"/>
      <c r="I748" s="5"/>
    </row>
    <row r="749" ht="21" customHeight="1">
      <c r="A749" s="3">
        <v>46285</v>
      </c>
      <c r="B749" t="inlineStr" s="4">
        <is>
          <t>星期日</t>
        </is>
      </c>
      <c r="C749" t="inlineStr" s="4">
        <is>
          <t>其他</t>
        </is>
      </c>
      <c r="D749" t="inlineStr" s="5">
        <is>
          <t>其他</t>
        </is>
      </c>
      <c r="E749" s="6"/>
      <c r="F749" s="6"/>
      <c r="G749" s="6">
        <f>IF(AND(E749="",F749=""),"",F749-E749)</f>
      </c>
      <c r="H749" s="4"/>
      <c r="I749" s="5"/>
    </row>
    <row r="750" ht="21" customHeight="1">
      <c r="A750" s="3">
        <v>46285</v>
      </c>
      <c r="B750" t="inlineStr" s="4">
        <is>
          <t>星期日</t>
        </is>
      </c>
      <c r="C750" t="inlineStr" s="4">
        <is>
          <t>其他</t>
        </is>
      </c>
      <c r="D750" t="inlineStr" s="5">
        <is>
          <t>其他</t>
        </is>
      </c>
      <c r="E750" s="6"/>
      <c r="F750" s="6"/>
      <c r="G750" s="6">
        <f>IF(AND(E750="",F750=""),"",F750-E750)</f>
      </c>
      <c r="H750" s="4"/>
      <c r="I750" s="5"/>
    </row>
    <row r="751" ht="23" customHeight="1">
      <c r="A751" t="inlineStr" s="7">
        <is>
          <t>本周小计</t>
        </is>
      </c>
      <c r="B751" s="7"/>
      <c r="C751" s="7"/>
      <c r="D751" s="7"/>
      <c r="E751" s="8">
        <f>SUM(E709:E750)</f>
      </c>
      <c r="F751" s="8">
        <f>SUM(F709:F750)</f>
      </c>
      <c r="G751" s="8">
        <f>SUM(G709:G750)</f>
      </c>
      <c r="H751" s="7"/>
      <c r="I751" s="7"/>
    </row>
    <row r="752" ht="18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8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26" customHeight="1">
      <c r="A754" t="inlineStr" s="2">
        <is>
          <t>2026年9月｜第三周（9月21日 - 9月27日）</t>
        </is>
      </c>
      <c r="B754" s="2"/>
      <c r="C754" s="2"/>
      <c r="D754" s="2"/>
      <c r="E754" s="2"/>
      <c r="F754" s="2"/>
      <c r="G754" s="2"/>
      <c r="H754" s="2"/>
      <c r="I754" s="2"/>
    </row>
    <row r="755" ht="22" customHeight="1">
      <c r="A755" t="inlineStr" s="1">
        <is>
          <t>日期</t>
        </is>
      </c>
      <c r="B755" t="inlineStr" s="1">
        <is>
          <t>星期</t>
        </is>
      </c>
      <c r="C755" t="inlineStr" s="1">
        <is>
          <t>分类</t>
        </is>
      </c>
      <c r="D755" t="inlineStr" s="1">
        <is>
          <t>事项</t>
        </is>
      </c>
      <c r="E755" t="inlineStr" s="1">
        <is>
          <t>支出金额</t>
        </is>
      </c>
      <c r="F755" t="inlineStr" s="1">
        <is>
          <t>收入金额</t>
        </is>
      </c>
      <c r="G755" t="inlineStr" s="1">
        <is>
          <t>当笔净额</t>
        </is>
      </c>
      <c r="H755" t="inlineStr" s="1">
        <is>
          <t>支付方式</t>
        </is>
      </c>
      <c r="I755" t="inlineStr" s="1">
        <is>
          <t>备注</t>
        </is>
      </c>
    </row>
    <row r="756" ht="21" customHeight="1">
      <c r="A756" s="3">
        <v>46286</v>
      </c>
      <c r="B756" t="inlineStr" s="4">
        <is>
          <t>星期一</t>
        </is>
      </c>
      <c r="C756" t="inlineStr" s="4">
        <is>
          <t>餐饮</t>
        </is>
      </c>
      <c r="D756" t="inlineStr" s="5">
        <is>
          <t>早餐</t>
        </is>
      </c>
      <c r="E756" s="6"/>
      <c r="F756" s="6"/>
      <c r="G756" s="6">
        <f>IF(AND(E756="",F756=""),"",F756-E756)</f>
      </c>
      <c r="H756" s="4"/>
      <c r="I756" s="5"/>
    </row>
    <row r="757" ht="21" customHeight="1">
      <c r="A757" s="3">
        <v>46286</v>
      </c>
      <c r="B757" t="inlineStr" s="4">
        <is>
          <t>星期一</t>
        </is>
      </c>
      <c r="C757" t="inlineStr" s="4">
        <is>
          <t>餐饮</t>
        </is>
      </c>
      <c r="D757" t="inlineStr" s="5">
        <is>
          <t>中餐</t>
        </is>
      </c>
      <c r="E757" s="6"/>
      <c r="F757" s="6"/>
      <c r="G757" s="6">
        <f>IF(AND(E757="",F757=""),"",F757-E757)</f>
      </c>
      <c r="H757" s="4"/>
      <c r="I757" s="5"/>
    </row>
    <row r="758" ht="21" customHeight="1">
      <c r="A758" s="3">
        <v>46286</v>
      </c>
      <c r="B758" t="inlineStr" s="4">
        <is>
          <t>星期一</t>
        </is>
      </c>
      <c r="C758" t="inlineStr" s="4">
        <is>
          <t>餐饮</t>
        </is>
      </c>
      <c r="D758" t="inlineStr" s="5">
        <is>
          <t>晚餐</t>
        </is>
      </c>
      <c r="E758" s="6"/>
      <c r="F758" s="6"/>
      <c r="G758" s="6">
        <f>IF(AND(E758="",F758=""),"",F758-E758)</f>
      </c>
      <c r="H758" s="4"/>
      <c r="I758" s="5"/>
    </row>
    <row r="759" ht="21" customHeight="1">
      <c r="A759" s="3">
        <v>46286</v>
      </c>
      <c r="B759" t="inlineStr" s="4">
        <is>
          <t>星期一</t>
        </is>
      </c>
      <c r="C759" t="inlineStr" s="4">
        <is>
          <t>奶茶/咖啡</t>
        </is>
      </c>
      <c r="D759" t="inlineStr" s="5">
        <is>
          <t>奶茶/咖啡</t>
        </is>
      </c>
      <c r="E759" s="6"/>
      <c r="F759" s="6"/>
      <c r="G759" s="6">
        <f>IF(AND(E759="",F759=""),"",F759-E759)</f>
      </c>
      <c r="H759" s="4"/>
      <c r="I759" s="5"/>
    </row>
    <row r="760" ht="21" customHeight="1">
      <c r="A760" s="3">
        <v>46286</v>
      </c>
      <c r="B760" t="inlineStr" s="4">
        <is>
          <t>星期一</t>
        </is>
      </c>
      <c r="C760" t="inlineStr" s="4">
        <is>
          <t>其他</t>
        </is>
      </c>
      <c r="D760" t="inlineStr" s="5">
        <is>
          <t>其他</t>
        </is>
      </c>
      <c r="E760" s="6"/>
      <c r="F760" s="6"/>
      <c r="G760" s="6">
        <f>IF(AND(E760="",F760=""),"",F760-E760)</f>
      </c>
      <c r="H760" s="4"/>
      <c r="I760" s="5"/>
    </row>
    <row r="761" ht="21" customHeight="1">
      <c r="A761" s="3">
        <v>46286</v>
      </c>
      <c r="B761" t="inlineStr" s="4">
        <is>
          <t>星期一</t>
        </is>
      </c>
      <c r="C761" t="inlineStr" s="4">
        <is>
          <t>其他</t>
        </is>
      </c>
      <c r="D761" t="inlineStr" s="5">
        <is>
          <t>其他</t>
        </is>
      </c>
      <c r="E761" s="6"/>
      <c r="F761" s="6"/>
      <c r="G761" s="6">
        <f>IF(AND(E761="",F761=""),"",F761-E761)</f>
      </c>
      <c r="H761" s="4"/>
      <c r="I761" s="5"/>
    </row>
    <row r="762" ht="21" customHeight="1">
      <c r="A762" s="3">
        <v>46287</v>
      </c>
      <c r="B762" t="inlineStr" s="4">
        <is>
          <t>星期二</t>
        </is>
      </c>
      <c r="C762" t="inlineStr" s="4">
        <is>
          <t>餐饮</t>
        </is>
      </c>
      <c r="D762" t="inlineStr" s="5">
        <is>
          <t>早餐</t>
        </is>
      </c>
      <c r="E762" s="6"/>
      <c r="F762" s="6"/>
      <c r="G762" s="6">
        <f>IF(AND(E762="",F762=""),"",F762-E762)</f>
      </c>
      <c r="H762" s="4"/>
      <c r="I762" s="5"/>
    </row>
    <row r="763" ht="21" customHeight="1">
      <c r="A763" s="3">
        <v>46287</v>
      </c>
      <c r="B763" t="inlineStr" s="4">
        <is>
          <t>星期二</t>
        </is>
      </c>
      <c r="C763" t="inlineStr" s="4">
        <is>
          <t>餐饮</t>
        </is>
      </c>
      <c r="D763" t="inlineStr" s="5">
        <is>
          <t>中餐</t>
        </is>
      </c>
      <c r="E763" s="6"/>
      <c r="F763" s="6"/>
      <c r="G763" s="6">
        <f>IF(AND(E763="",F763=""),"",F763-E763)</f>
      </c>
      <c r="H763" s="4"/>
      <c r="I763" s="5"/>
    </row>
    <row r="764" ht="21" customHeight="1">
      <c r="A764" s="3">
        <v>46287</v>
      </c>
      <c r="B764" t="inlineStr" s="4">
        <is>
          <t>星期二</t>
        </is>
      </c>
      <c r="C764" t="inlineStr" s="4">
        <is>
          <t>餐饮</t>
        </is>
      </c>
      <c r="D764" t="inlineStr" s="5">
        <is>
          <t>晚餐</t>
        </is>
      </c>
      <c r="E764" s="6"/>
      <c r="F764" s="6"/>
      <c r="G764" s="6">
        <f>IF(AND(E764="",F764=""),"",F764-E764)</f>
      </c>
      <c r="H764" s="4"/>
      <c r="I764" s="5"/>
    </row>
    <row r="765" ht="21" customHeight="1">
      <c r="A765" s="3">
        <v>46287</v>
      </c>
      <c r="B765" t="inlineStr" s="4">
        <is>
          <t>星期二</t>
        </is>
      </c>
      <c r="C765" t="inlineStr" s="4">
        <is>
          <t>奶茶/咖啡</t>
        </is>
      </c>
      <c r="D765" t="inlineStr" s="5">
        <is>
          <t>奶茶/咖啡</t>
        </is>
      </c>
      <c r="E765" s="6"/>
      <c r="F765" s="6"/>
      <c r="G765" s="6">
        <f>IF(AND(E765="",F765=""),"",F765-E765)</f>
      </c>
      <c r="H765" s="4"/>
      <c r="I765" s="5"/>
    </row>
    <row r="766" ht="21" customHeight="1">
      <c r="A766" s="3">
        <v>46287</v>
      </c>
      <c r="B766" t="inlineStr" s="4">
        <is>
          <t>星期二</t>
        </is>
      </c>
      <c r="C766" t="inlineStr" s="4">
        <is>
          <t>其他</t>
        </is>
      </c>
      <c r="D766" t="inlineStr" s="5">
        <is>
          <t>其他</t>
        </is>
      </c>
      <c r="E766" s="6"/>
      <c r="F766" s="6"/>
      <c r="G766" s="6">
        <f>IF(AND(E766="",F766=""),"",F766-E766)</f>
      </c>
      <c r="H766" s="4"/>
      <c r="I766" s="5"/>
    </row>
    <row r="767" ht="21" customHeight="1">
      <c r="A767" s="3">
        <v>46287</v>
      </c>
      <c r="B767" t="inlineStr" s="4">
        <is>
          <t>星期二</t>
        </is>
      </c>
      <c r="C767" t="inlineStr" s="4">
        <is>
          <t>其他</t>
        </is>
      </c>
      <c r="D767" t="inlineStr" s="5">
        <is>
          <t>其他</t>
        </is>
      </c>
      <c r="E767" s="6"/>
      <c r="F767" s="6"/>
      <c r="G767" s="6">
        <f>IF(AND(E767="",F767=""),"",F767-E767)</f>
      </c>
      <c r="H767" s="4"/>
      <c r="I767" s="5"/>
    </row>
    <row r="768" ht="21" customHeight="1">
      <c r="A768" s="3">
        <v>46288</v>
      </c>
      <c r="B768" t="inlineStr" s="4">
        <is>
          <t>星期三</t>
        </is>
      </c>
      <c r="C768" t="inlineStr" s="4">
        <is>
          <t>餐饮</t>
        </is>
      </c>
      <c r="D768" t="inlineStr" s="5">
        <is>
          <t>早餐</t>
        </is>
      </c>
      <c r="E768" s="6"/>
      <c r="F768" s="6"/>
      <c r="G768" s="6">
        <f>IF(AND(E768="",F768=""),"",F768-E768)</f>
      </c>
      <c r="H768" s="4"/>
      <c r="I768" s="5"/>
    </row>
    <row r="769" ht="21" customHeight="1">
      <c r="A769" s="3">
        <v>46288</v>
      </c>
      <c r="B769" t="inlineStr" s="4">
        <is>
          <t>星期三</t>
        </is>
      </c>
      <c r="C769" t="inlineStr" s="4">
        <is>
          <t>餐饮</t>
        </is>
      </c>
      <c r="D769" t="inlineStr" s="5">
        <is>
          <t>中餐</t>
        </is>
      </c>
      <c r="E769" s="6"/>
      <c r="F769" s="6"/>
      <c r="G769" s="6">
        <f>IF(AND(E769="",F769=""),"",F769-E769)</f>
      </c>
      <c r="H769" s="4"/>
      <c r="I769" s="5"/>
    </row>
    <row r="770" ht="21" customHeight="1">
      <c r="A770" s="3">
        <v>46288</v>
      </c>
      <c r="B770" t="inlineStr" s="4">
        <is>
          <t>星期三</t>
        </is>
      </c>
      <c r="C770" t="inlineStr" s="4">
        <is>
          <t>餐饮</t>
        </is>
      </c>
      <c r="D770" t="inlineStr" s="5">
        <is>
          <t>晚餐</t>
        </is>
      </c>
      <c r="E770" s="6"/>
      <c r="F770" s="6"/>
      <c r="G770" s="6">
        <f>IF(AND(E770="",F770=""),"",F770-E770)</f>
      </c>
      <c r="H770" s="4"/>
      <c r="I770" s="5"/>
    </row>
    <row r="771" ht="21" customHeight="1">
      <c r="A771" s="3">
        <v>46288</v>
      </c>
      <c r="B771" t="inlineStr" s="4">
        <is>
          <t>星期三</t>
        </is>
      </c>
      <c r="C771" t="inlineStr" s="4">
        <is>
          <t>奶茶/咖啡</t>
        </is>
      </c>
      <c r="D771" t="inlineStr" s="5">
        <is>
          <t>奶茶/咖啡</t>
        </is>
      </c>
      <c r="E771" s="6"/>
      <c r="F771" s="6"/>
      <c r="G771" s="6">
        <f>IF(AND(E771="",F771=""),"",F771-E771)</f>
      </c>
      <c r="H771" s="4"/>
      <c r="I771" s="5"/>
    </row>
    <row r="772" ht="21" customHeight="1">
      <c r="A772" s="3">
        <v>46288</v>
      </c>
      <c r="B772" t="inlineStr" s="4">
        <is>
          <t>星期三</t>
        </is>
      </c>
      <c r="C772" t="inlineStr" s="4">
        <is>
          <t>其他</t>
        </is>
      </c>
      <c r="D772" t="inlineStr" s="5">
        <is>
          <t>其他</t>
        </is>
      </c>
      <c r="E772" s="6"/>
      <c r="F772" s="6"/>
      <c r="G772" s="6">
        <f>IF(AND(E772="",F772=""),"",F772-E772)</f>
      </c>
      <c r="H772" s="4"/>
      <c r="I772" s="5"/>
    </row>
    <row r="773" ht="21" customHeight="1">
      <c r="A773" s="3">
        <v>46288</v>
      </c>
      <c r="B773" t="inlineStr" s="4">
        <is>
          <t>星期三</t>
        </is>
      </c>
      <c r="C773" t="inlineStr" s="4">
        <is>
          <t>其他</t>
        </is>
      </c>
      <c r="D773" t="inlineStr" s="5">
        <is>
          <t>其他</t>
        </is>
      </c>
      <c r="E773" s="6"/>
      <c r="F773" s="6"/>
      <c r="G773" s="6">
        <f>IF(AND(E773="",F773=""),"",F773-E773)</f>
      </c>
      <c r="H773" s="4"/>
      <c r="I773" s="5"/>
    </row>
    <row r="774" ht="21" customHeight="1">
      <c r="A774" s="3">
        <v>46289</v>
      </c>
      <c r="B774" t="inlineStr" s="4">
        <is>
          <t>星期四</t>
        </is>
      </c>
      <c r="C774" t="inlineStr" s="4">
        <is>
          <t>餐饮</t>
        </is>
      </c>
      <c r="D774" t="inlineStr" s="5">
        <is>
          <t>早餐</t>
        </is>
      </c>
      <c r="E774" s="6"/>
      <c r="F774" s="6"/>
      <c r="G774" s="6">
        <f>IF(AND(E774="",F774=""),"",F774-E774)</f>
      </c>
      <c r="H774" s="4"/>
      <c r="I774" s="5"/>
    </row>
    <row r="775" ht="21" customHeight="1">
      <c r="A775" s="3">
        <v>46289</v>
      </c>
      <c r="B775" t="inlineStr" s="4">
        <is>
          <t>星期四</t>
        </is>
      </c>
      <c r="C775" t="inlineStr" s="4">
        <is>
          <t>餐饮</t>
        </is>
      </c>
      <c r="D775" t="inlineStr" s="5">
        <is>
          <t>中餐</t>
        </is>
      </c>
      <c r="E775" s="6"/>
      <c r="F775" s="6"/>
      <c r="G775" s="6">
        <f>IF(AND(E775="",F775=""),"",F775-E775)</f>
      </c>
      <c r="H775" s="4"/>
      <c r="I775" s="5"/>
    </row>
    <row r="776" ht="21" customHeight="1">
      <c r="A776" s="3">
        <v>46289</v>
      </c>
      <c r="B776" t="inlineStr" s="4">
        <is>
          <t>星期四</t>
        </is>
      </c>
      <c r="C776" t="inlineStr" s="4">
        <is>
          <t>餐饮</t>
        </is>
      </c>
      <c r="D776" t="inlineStr" s="5">
        <is>
          <t>晚餐</t>
        </is>
      </c>
      <c r="E776" s="6"/>
      <c r="F776" s="6"/>
      <c r="G776" s="6">
        <f>IF(AND(E776="",F776=""),"",F776-E776)</f>
      </c>
      <c r="H776" s="4"/>
      <c r="I776" s="5"/>
    </row>
    <row r="777" ht="21" customHeight="1">
      <c r="A777" s="3">
        <v>46289</v>
      </c>
      <c r="B777" t="inlineStr" s="4">
        <is>
          <t>星期四</t>
        </is>
      </c>
      <c r="C777" t="inlineStr" s="4">
        <is>
          <t>奶茶/咖啡</t>
        </is>
      </c>
      <c r="D777" t="inlineStr" s="5">
        <is>
          <t>奶茶/咖啡</t>
        </is>
      </c>
      <c r="E777" s="6"/>
      <c r="F777" s="6"/>
      <c r="G777" s="6">
        <f>IF(AND(E777="",F777=""),"",F777-E777)</f>
      </c>
      <c r="H777" s="4"/>
      <c r="I777" s="5"/>
    </row>
    <row r="778" ht="21" customHeight="1">
      <c r="A778" s="3">
        <v>46289</v>
      </c>
      <c r="B778" t="inlineStr" s="4">
        <is>
          <t>星期四</t>
        </is>
      </c>
      <c r="C778" t="inlineStr" s="4">
        <is>
          <t>其他</t>
        </is>
      </c>
      <c r="D778" t="inlineStr" s="5">
        <is>
          <t>其他</t>
        </is>
      </c>
      <c r="E778" s="6"/>
      <c r="F778" s="6"/>
      <c r="G778" s="6">
        <f>IF(AND(E778="",F778=""),"",F778-E778)</f>
      </c>
      <c r="H778" s="4"/>
      <c r="I778" s="5"/>
    </row>
    <row r="779" ht="21" customHeight="1">
      <c r="A779" s="3">
        <v>46289</v>
      </c>
      <c r="B779" t="inlineStr" s="4">
        <is>
          <t>星期四</t>
        </is>
      </c>
      <c r="C779" t="inlineStr" s="4">
        <is>
          <t>其他</t>
        </is>
      </c>
      <c r="D779" t="inlineStr" s="5">
        <is>
          <t>其他</t>
        </is>
      </c>
      <c r="E779" s="6"/>
      <c r="F779" s="6"/>
      <c r="G779" s="6">
        <f>IF(AND(E779="",F779=""),"",F779-E779)</f>
      </c>
      <c r="H779" s="4"/>
      <c r="I779" s="5"/>
    </row>
    <row r="780" ht="21" customHeight="1">
      <c r="A780" s="3">
        <v>46290</v>
      </c>
      <c r="B780" t="inlineStr" s="4">
        <is>
          <t>星期五</t>
        </is>
      </c>
      <c r="C780" t="inlineStr" s="4">
        <is>
          <t>餐饮</t>
        </is>
      </c>
      <c r="D780" t="inlineStr" s="5">
        <is>
          <t>早餐</t>
        </is>
      </c>
      <c r="E780" s="6"/>
      <c r="F780" s="6"/>
      <c r="G780" s="6">
        <f>IF(AND(E780="",F780=""),"",F780-E780)</f>
      </c>
      <c r="H780" s="4"/>
      <c r="I780" s="5"/>
    </row>
    <row r="781" ht="21" customHeight="1">
      <c r="A781" s="3">
        <v>46290</v>
      </c>
      <c r="B781" t="inlineStr" s="4">
        <is>
          <t>星期五</t>
        </is>
      </c>
      <c r="C781" t="inlineStr" s="4">
        <is>
          <t>餐饮</t>
        </is>
      </c>
      <c r="D781" t="inlineStr" s="5">
        <is>
          <t>中餐</t>
        </is>
      </c>
      <c r="E781" s="6"/>
      <c r="F781" s="6"/>
      <c r="G781" s="6">
        <f>IF(AND(E781="",F781=""),"",F781-E781)</f>
      </c>
      <c r="H781" s="4"/>
      <c r="I781" s="5"/>
    </row>
    <row r="782" ht="21" customHeight="1">
      <c r="A782" s="3">
        <v>46290</v>
      </c>
      <c r="B782" t="inlineStr" s="4">
        <is>
          <t>星期五</t>
        </is>
      </c>
      <c r="C782" t="inlineStr" s="4">
        <is>
          <t>餐饮</t>
        </is>
      </c>
      <c r="D782" t="inlineStr" s="5">
        <is>
          <t>晚餐</t>
        </is>
      </c>
      <c r="E782" s="6"/>
      <c r="F782" s="6"/>
      <c r="G782" s="6">
        <f>IF(AND(E782="",F782=""),"",F782-E782)</f>
      </c>
      <c r="H782" s="4"/>
      <c r="I782" s="5"/>
    </row>
    <row r="783" ht="21" customHeight="1">
      <c r="A783" s="3">
        <v>46290</v>
      </c>
      <c r="B783" t="inlineStr" s="4">
        <is>
          <t>星期五</t>
        </is>
      </c>
      <c r="C783" t="inlineStr" s="4">
        <is>
          <t>奶茶/咖啡</t>
        </is>
      </c>
      <c r="D783" t="inlineStr" s="5">
        <is>
          <t>奶茶/咖啡</t>
        </is>
      </c>
      <c r="E783" s="6"/>
      <c r="F783" s="6"/>
      <c r="G783" s="6">
        <f>IF(AND(E783="",F783=""),"",F783-E783)</f>
      </c>
      <c r="H783" s="4"/>
      <c r="I783" s="5"/>
    </row>
    <row r="784" ht="21" customHeight="1">
      <c r="A784" s="3">
        <v>46290</v>
      </c>
      <c r="B784" t="inlineStr" s="4">
        <is>
          <t>星期五</t>
        </is>
      </c>
      <c r="C784" t="inlineStr" s="4">
        <is>
          <t>其他</t>
        </is>
      </c>
      <c r="D784" t="inlineStr" s="5">
        <is>
          <t>其他</t>
        </is>
      </c>
      <c r="E784" s="6"/>
      <c r="F784" s="6"/>
      <c r="G784" s="6">
        <f>IF(AND(E784="",F784=""),"",F784-E784)</f>
      </c>
      <c r="H784" s="4"/>
      <c r="I784" s="5"/>
    </row>
    <row r="785" ht="21" customHeight="1">
      <c r="A785" s="3">
        <v>46290</v>
      </c>
      <c r="B785" t="inlineStr" s="4">
        <is>
          <t>星期五</t>
        </is>
      </c>
      <c r="C785" t="inlineStr" s="4">
        <is>
          <t>其他</t>
        </is>
      </c>
      <c r="D785" t="inlineStr" s="5">
        <is>
          <t>其他</t>
        </is>
      </c>
      <c r="E785" s="6"/>
      <c r="F785" s="6"/>
      <c r="G785" s="6">
        <f>IF(AND(E785="",F785=""),"",F785-E785)</f>
      </c>
      <c r="H785" s="4"/>
      <c r="I785" s="5"/>
    </row>
    <row r="786" ht="21" customHeight="1">
      <c r="A786" s="3">
        <v>46291</v>
      </c>
      <c r="B786" t="inlineStr" s="4">
        <is>
          <t>星期六</t>
        </is>
      </c>
      <c r="C786" t="inlineStr" s="4">
        <is>
          <t>餐饮</t>
        </is>
      </c>
      <c r="D786" t="inlineStr" s="5">
        <is>
          <t>早餐</t>
        </is>
      </c>
      <c r="E786" s="6"/>
      <c r="F786" s="6"/>
      <c r="G786" s="6">
        <f>IF(AND(E786="",F786=""),"",F786-E786)</f>
      </c>
      <c r="H786" s="4"/>
      <c r="I786" s="5"/>
    </row>
    <row r="787" ht="21" customHeight="1">
      <c r="A787" s="3">
        <v>46291</v>
      </c>
      <c r="B787" t="inlineStr" s="4">
        <is>
          <t>星期六</t>
        </is>
      </c>
      <c r="C787" t="inlineStr" s="4">
        <is>
          <t>餐饮</t>
        </is>
      </c>
      <c r="D787" t="inlineStr" s="5">
        <is>
          <t>中餐</t>
        </is>
      </c>
      <c r="E787" s="6"/>
      <c r="F787" s="6"/>
      <c r="G787" s="6">
        <f>IF(AND(E787="",F787=""),"",F787-E787)</f>
      </c>
      <c r="H787" s="4"/>
      <c r="I787" s="5"/>
    </row>
    <row r="788" ht="21" customHeight="1">
      <c r="A788" s="3">
        <v>46291</v>
      </c>
      <c r="B788" t="inlineStr" s="4">
        <is>
          <t>星期六</t>
        </is>
      </c>
      <c r="C788" t="inlineStr" s="4">
        <is>
          <t>餐饮</t>
        </is>
      </c>
      <c r="D788" t="inlineStr" s="5">
        <is>
          <t>晚餐</t>
        </is>
      </c>
      <c r="E788" s="6"/>
      <c r="F788" s="6"/>
      <c r="G788" s="6">
        <f>IF(AND(E788="",F788=""),"",F788-E788)</f>
      </c>
      <c r="H788" s="4"/>
      <c r="I788" s="5"/>
    </row>
    <row r="789" ht="21" customHeight="1">
      <c r="A789" s="3">
        <v>46291</v>
      </c>
      <c r="B789" t="inlineStr" s="4">
        <is>
          <t>星期六</t>
        </is>
      </c>
      <c r="C789" t="inlineStr" s="4">
        <is>
          <t>奶茶/咖啡</t>
        </is>
      </c>
      <c r="D789" t="inlineStr" s="5">
        <is>
          <t>奶茶/咖啡</t>
        </is>
      </c>
      <c r="E789" s="6"/>
      <c r="F789" s="6"/>
      <c r="G789" s="6">
        <f>IF(AND(E789="",F789=""),"",F789-E789)</f>
      </c>
      <c r="H789" s="4"/>
      <c r="I789" s="5"/>
    </row>
    <row r="790" ht="21" customHeight="1">
      <c r="A790" s="3">
        <v>46291</v>
      </c>
      <c r="B790" t="inlineStr" s="4">
        <is>
          <t>星期六</t>
        </is>
      </c>
      <c r="C790" t="inlineStr" s="4">
        <is>
          <t>其他</t>
        </is>
      </c>
      <c r="D790" t="inlineStr" s="5">
        <is>
          <t>其他</t>
        </is>
      </c>
      <c r="E790" s="6"/>
      <c r="F790" s="6"/>
      <c r="G790" s="6">
        <f>IF(AND(E790="",F790=""),"",F790-E790)</f>
      </c>
      <c r="H790" s="4"/>
      <c r="I790" s="5"/>
    </row>
    <row r="791" ht="21" customHeight="1">
      <c r="A791" s="3">
        <v>46291</v>
      </c>
      <c r="B791" t="inlineStr" s="4">
        <is>
          <t>星期六</t>
        </is>
      </c>
      <c r="C791" t="inlineStr" s="4">
        <is>
          <t>其他</t>
        </is>
      </c>
      <c r="D791" t="inlineStr" s="5">
        <is>
          <t>其他</t>
        </is>
      </c>
      <c r="E791" s="6"/>
      <c r="F791" s="6"/>
      <c r="G791" s="6">
        <f>IF(AND(E791="",F791=""),"",F791-E791)</f>
      </c>
      <c r="H791" s="4"/>
      <c r="I791" s="5"/>
    </row>
    <row r="792" ht="21" customHeight="1">
      <c r="A792" s="3">
        <v>46292</v>
      </c>
      <c r="B792" t="inlineStr" s="4">
        <is>
          <t>星期日</t>
        </is>
      </c>
      <c r="C792" t="inlineStr" s="4">
        <is>
          <t>餐饮</t>
        </is>
      </c>
      <c r="D792" t="inlineStr" s="5">
        <is>
          <t>早餐</t>
        </is>
      </c>
      <c r="E792" s="6"/>
      <c r="F792" s="6"/>
      <c r="G792" s="6">
        <f>IF(AND(E792="",F792=""),"",F792-E792)</f>
      </c>
      <c r="H792" s="4"/>
      <c r="I792" s="5"/>
    </row>
    <row r="793" ht="21" customHeight="1">
      <c r="A793" s="3">
        <v>46292</v>
      </c>
      <c r="B793" t="inlineStr" s="4">
        <is>
          <t>星期日</t>
        </is>
      </c>
      <c r="C793" t="inlineStr" s="4">
        <is>
          <t>餐饮</t>
        </is>
      </c>
      <c r="D793" t="inlineStr" s="5">
        <is>
          <t>中餐</t>
        </is>
      </c>
      <c r="E793" s="6"/>
      <c r="F793" s="6"/>
      <c r="G793" s="6">
        <f>IF(AND(E793="",F793=""),"",F793-E793)</f>
      </c>
      <c r="H793" s="4"/>
      <c r="I793" s="5"/>
    </row>
    <row r="794" ht="21" customHeight="1">
      <c r="A794" s="3">
        <v>46292</v>
      </c>
      <c r="B794" t="inlineStr" s="4">
        <is>
          <t>星期日</t>
        </is>
      </c>
      <c r="C794" t="inlineStr" s="4">
        <is>
          <t>餐饮</t>
        </is>
      </c>
      <c r="D794" t="inlineStr" s="5">
        <is>
          <t>晚餐</t>
        </is>
      </c>
      <c r="E794" s="6"/>
      <c r="F794" s="6"/>
      <c r="G794" s="6">
        <f>IF(AND(E794="",F794=""),"",F794-E794)</f>
      </c>
      <c r="H794" s="4"/>
      <c r="I794" s="5"/>
    </row>
    <row r="795" ht="21" customHeight="1">
      <c r="A795" s="3">
        <v>46292</v>
      </c>
      <c r="B795" t="inlineStr" s="4">
        <is>
          <t>星期日</t>
        </is>
      </c>
      <c r="C795" t="inlineStr" s="4">
        <is>
          <t>奶茶/咖啡</t>
        </is>
      </c>
      <c r="D795" t="inlineStr" s="5">
        <is>
          <t>奶茶/咖啡</t>
        </is>
      </c>
      <c r="E795" s="6"/>
      <c r="F795" s="6"/>
      <c r="G795" s="6">
        <f>IF(AND(E795="",F795=""),"",F795-E795)</f>
      </c>
      <c r="H795" s="4"/>
      <c r="I795" s="5"/>
    </row>
    <row r="796" ht="21" customHeight="1">
      <c r="A796" s="3">
        <v>46292</v>
      </c>
      <c r="B796" t="inlineStr" s="4">
        <is>
          <t>星期日</t>
        </is>
      </c>
      <c r="C796" t="inlineStr" s="4">
        <is>
          <t>其他</t>
        </is>
      </c>
      <c r="D796" t="inlineStr" s="5">
        <is>
          <t>其他</t>
        </is>
      </c>
      <c r="E796" s="6"/>
      <c r="F796" s="6"/>
      <c r="G796" s="6">
        <f>IF(AND(E796="",F796=""),"",F796-E796)</f>
      </c>
      <c r="H796" s="4"/>
      <c r="I796" s="5"/>
    </row>
    <row r="797" ht="21" customHeight="1">
      <c r="A797" s="3">
        <v>46292</v>
      </c>
      <c r="B797" t="inlineStr" s="4">
        <is>
          <t>星期日</t>
        </is>
      </c>
      <c r="C797" t="inlineStr" s="4">
        <is>
          <t>其他</t>
        </is>
      </c>
      <c r="D797" t="inlineStr" s="5">
        <is>
          <t>其他</t>
        </is>
      </c>
      <c r="E797" s="6"/>
      <c r="F797" s="6"/>
      <c r="G797" s="6">
        <f>IF(AND(E797="",F797=""),"",F797-E797)</f>
      </c>
      <c r="H797" s="4"/>
      <c r="I797" s="5"/>
    </row>
    <row r="798" ht="23" customHeight="1">
      <c r="A798" t="inlineStr" s="7">
        <is>
          <t>本周小计</t>
        </is>
      </c>
      <c r="B798" s="7"/>
      <c r="C798" s="7"/>
      <c r="D798" s="7"/>
      <c r="E798" s="8">
        <f>SUM(E756:E797)</f>
      </c>
      <c r="F798" s="8">
        <f>SUM(F756:F797)</f>
      </c>
      <c r="G798" s="8">
        <f>SUM(G756:G797)</f>
      </c>
      <c r="H798" s="7"/>
      <c r="I798" s="7"/>
    </row>
    <row r="799" ht="18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8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26" customHeight="1">
      <c r="A801" t="inlineStr" s="2">
        <is>
          <t>2026年9月-10月｜第四周（9月28日 - 10月4日）</t>
        </is>
      </c>
      <c r="B801" s="2"/>
      <c r="C801" s="2"/>
      <c r="D801" s="2"/>
      <c r="E801" s="2"/>
      <c r="F801" s="2"/>
      <c r="G801" s="2"/>
      <c r="H801" s="2"/>
      <c r="I801" s="2"/>
    </row>
    <row r="802" ht="22" customHeight="1">
      <c r="A802" t="inlineStr" s="1">
        <is>
          <t>日期</t>
        </is>
      </c>
      <c r="B802" t="inlineStr" s="1">
        <is>
          <t>星期</t>
        </is>
      </c>
      <c r="C802" t="inlineStr" s="1">
        <is>
          <t>分类</t>
        </is>
      </c>
      <c r="D802" t="inlineStr" s="1">
        <is>
          <t>事项</t>
        </is>
      </c>
      <c r="E802" t="inlineStr" s="1">
        <is>
          <t>支出金额</t>
        </is>
      </c>
      <c r="F802" t="inlineStr" s="1">
        <is>
          <t>收入金额</t>
        </is>
      </c>
      <c r="G802" t="inlineStr" s="1">
        <is>
          <t>当笔净额</t>
        </is>
      </c>
      <c r="H802" t="inlineStr" s="1">
        <is>
          <t>支付方式</t>
        </is>
      </c>
      <c r="I802" t="inlineStr" s="1">
        <is>
          <t>备注</t>
        </is>
      </c>
    </row>
    <row r="803" ht="21" customHeight="1">
      <c r="A803" s="3">
        <v>46293</v>
      </c>
      <c r="B803" t="inlineStr" s="4">
        <is>
          <t>星期一</t>
        </is>
      </c>
      <c r="C803" t="inlineStr" s="4">
        <is>
          <t>餐饮</t>
        </is>
      </c>
      <c r="D803" t="inlineStr" s="5">
        <is>
          <t>早餐</t>
        </is>
      </c>
      <c r="E803" s="6"/>
      <c r="F803" s="6"/>
      <c r="G803" s="6">
        <f>IF(AND(E803="",F803=""),"",F803-E803)</f>
      </c>
      <c r="H803" s="4"/>
      <c r="I803" s="5"/>
    </row>
    <row r="804" ht="21" customHeight="1">
      <c r="A804" s="3">
        <v>46293</v>
      </c>
      <c r="B804" t="inlineStr" s="4">
        <is>
          <t>星期一</t>
        </is>
      </c>
      <c r="C804" t="inlineStr" s="4">
        <is>
          <t>餐饮</t>
        </is>
      </c>
      <c r="D804" t="inlineStr" s="5">
        <is>
          <t>中餐</t>
        </is>
      </c>
      <c r="E804" s="6"/>
      <c r="F804" s="6"/>
      <c r="G804" s="6">
        <f>IF(AND(E804="",F804=""),"",F804-E804)</f>
      </c>
      <c r="H804" s="4"/>
      <c r="I804" s="5"/>
    </row>
    <row r="805" ht="21" customHeight="1">
      <c r="A805" s="3">
        <v>46293</v>
      </c>
      <c r="B805" t="inlineStr" s="4">
        <is>
          <t>星期一</t>
        </is>
      </c>
      <c r="C805" t="inlineStr" s="4">
        <is>
          <t>餐饮</t>
        </is>
      </c>
      <c r="D805" t="inlineStr" s="5">
        <is>
          <t>晚餐</t>
        </is>
      </c>
      <c r="E805" s="6"/>
      <c r="F805" s="6"/>
      <c r="G805" s="6">
        <f>IF(AND(E805="",F805=""),"",F805-E805)</f>
      </c>
      <c r="H805" s="4"/>
      <c r="I805" s="5"/>
    </row>
    <row r="806" ht="21" customHeight="1">
      <c r="A806" s="3">
        <v>46293</v>
      </c>
      <c r="B806" t="inlineStr" s="4">
        <is>
          <t>星期一</t>
        </is>
      </c>
      <c r="C806" t="inlineStr" s="4">
        <is>
          <t>奶茶/咖啡</t>
        </is>
      </c>
      <c r="D806" t="inlineStr" s="5">
        <is>
          <t>奶茶/咖啡</t>
        </is>
      </c>
      <c r="E806" s="6"/>
      <c r="F806" s="6"/>
      <c r="G806" s="6">
        <f>IF(AND(E806="",F806=""),"",F806-E806)</f>
      </c>
      <c r="H806" s="4"/>
      <c r="I806" s="5"/>
    </row>
    <row r="807" ht="21" customHeight="1">
      <c r="A807" s="3">
        <v>46293</v>
      </c>
      <c r="B807" t="inlineStr" s="4">
        <is>
          <t>星期一</t>
        </is>
      </c>
      <c r="C807" t="inlineStr" s="4">
        <is>
          <t>其他</t>
        </is>
      </c>
      <c r="D807" t="inlineStr" s="5">
        <is>
          <t>其他</t>
        </is>
      </c>
      <c r="E807" s="6"/>
      <c r="F807" s="6"/>
      <c r="G807" s="6">
        <f>IF(AND(E807="",F807=""),"",F807-E807)</f>
      </c>
      <c r="H807" s="4"/>
      <c r="I807" s="5"/>
    </row>
    <row r="808" ht="21" customHeight="1">
      <c r="A808" s="3">
        <v>46293</v>
      </c>
      <c r="B808" t="inlineStr" s="4">
        <is>
          <t>星期一</t>
        </is>
      </c>
      <c r="C808" t="inlineStr" s="4">
        <is>
          <t>其他</t>
        </is>
      </c>
      <c r="D808" t="inlineStr" s="5">
        <is>
          <t>其他</t>
        </is>
      </c>
      <c r="E808" s="6"/>
      <c r="F808" s="6"/>
      <c r="G808" s="6">
        <f>IF(AND(E808="",F808=""),"",F808-E808)</f>
      </c>
      <c r="H808" s="4"/>
      <c r="I808" s="5"/>
    </row>
    <row r="809" ht="21" customHeight="1">
      <c r="A809" s="3">
        <v>46294</v>
      </c>
      <c r="B809" t="inlineStr" s="4">
        <is>
          <t>星期二</t>
        </is>
      </c>
      <c r="C809" t="inlineStr" s="4">
        <is>
          <t>餐饮</t>
        </is>
      </c>
      <c r="D809" t="inlineStr" s="5">
        <is>
          <t>早餐</t>
        </is>
      </c>
      <c r="E809" s="6"/>
      <c r="F809" s="6"/>
      <c r="G809" s="6">
        <f>IF(AND(E809="",F809=""),"",F809-E809)</f>
      </c>
      <c r="H809" s="4"/>
      <c r="I809" s="5"/>
    </row>
    <row r="810" ht="21" customHeight="1">
      <c r="A810" s="3">
        <v>46294</v>
      </c>
      <c r="B810" t="inlineStr" s="4">
        <is>
          <t>星期二</t>
        </is>
      </c>
      <c r="C810" t="inlineStr" s="4">
        <is>
          <t>餐饮</t>
        </is>
      </c>
      <c r="D810" t="inlineStr" s="5">
        <is>
          <t>中餐</t>
        </is>
      </c>
      <c r="E810" s="6"/>
      <c r="F810" s="6"/>
      <c r="G810" s="6">
        <f>IF(AND(E810="",F810=""),"",F810-E810)</f>
      </c>
      <c r="H810" s="4"/>
      <c r="I810" s="5"/>
    </row>
    <row r="811" ht="21" customHeight="1">
      <c r="A811" s="3">
        <v>46294</v>
      </c>
      <c r="B811" t="inlineStr" s="4">
        <is>
          <t>星期二</t>
        </is>
      </c>
      <c r="C811" t="inlineStr" s="4">
        <is>
          <t>餐饮</t>
        </is>
      </c>
      <c r="D811" t="inlineStr" s="5">
        <is>
          <t>晚餐</t>
        </is>
      </c>
      <c r="E811" s="6"/>
      <c r="F811" s="6"/>
      <c r="G811" s="6">
        <f>IF(AND(E811="",F811=""),"",F811-E811)</f>
      </c>
      <c r="H811" s="4"/>
      <c r="I811" s="5"/>
    </row>
    <row r="812" ht="21" customHeight="1">
      <c r="A812" s="3">
        <v>46294</v>
      </c>
      <c r="B812" t="inlineStr" s="4">
        <is>
          <t>星期二</t>
        </is>
      </c>
      <c r="C812" t="inlineStr" s="4">
        <is>
          <t>奶茶/咖啡</t>
        </is>
      </c>
      <c r="D812" t="inlineStr" s="5">
        <is>
          <t>奶茶/咖啡</t>
        </is>
      </c>
      <c r="E812" s="6"/>
      <c r="F812" s="6"/>
      <c r="G812" s="6">
        <f>IF(AND(E812="",F812=""),"",F812-E812)</f>
      </c>
      <c r="H812" s="4"/>
      <c r="I812" s="5"/>
    </row>
    <row r="813" ht="21" customHeight="1">
      <c r="A813" s="3">
        <v>46294</v>
      </c>
      <c r="B813" t="inlineStr" s="4">
        <is>
          <t>星期二</t>
        </is>
      </c>
      <c r="C813" t="inlineStr" s="4">
        <is>
          <t>其他</t>
        </is>
      </c>
      <c r="D813" t="inlineStr" s="5">
        <is>
          <t>其他</t>
        </is>
      </c>
      <c r="E813" s="6"/>
      <c r="F813" s="6"/>
      <c r="G813" s="6">
        <f>IF(AND(E813="",F813=""),"",F813-E813)</f>
      </c>
      <c r="H813" s="4"/>
      <c r="I813" s="5"/>
    </row>
    <row r="814" ht="21" customHeight="1">
      <c r="A814" s="3">
        <v>46294</v>
      </c>
      <c r="B814" t="inlineStr" s="4">
        <is>
          <t>星期二</t>
        </is>
      </c>
      <c r="C814" t="inlineStr" s="4">
        <is>
          <t>其他</t>
        </is>
      </c>
      <c r="D814" t="inlineStr" s="5">
        <is>
          <t>其他</t>
        </is>
      </c>
      <c r="E814" s="6"/>
      <c r="F814" s="6"/>
      <c r="G814" s="6">
        <f>IF(AND(E814="",F814=""),"",F814-E814)</f>
      </c>
      <c r="H814" s="4"/>
      <c r="I814" s="5"/>
    </row>
    <row r="815" ht="21" customHeight="1">
      <c r="A815" s="3">
        <v>46295</v>
      </c>
      <c r="B815" t="inlineStr" s="4">
        <is>
          <t>星期三</t>
        </is>
      </c>
      <c r="C815" t="inlineStr" s="4">
        <is>
          <t>餐饮</t>
        </is>
      </c>
      <c r="D815" t="inlineStr" s="5">
        <is>
          <t>早餐</t>
        </is>
      </c>
      <c r="E815" s="6"/>
      <c r="F815" s="6"/>
      <c r="G815" s="6">
        <f>IF(AND(E815="",F815=""),"",F815-E815)</f>
      </c>
      <c r="H815" s="4"/>
      <c r="I815" s="5"/>
    </row>
    <row r="816" ht="21" customHeight="1">
      <c r="A816" s="3">
        <v>46295</v>
      </c>
      <c r="B816" t="inlineStr" s="4">
        <is>
          <t>星期三</t>
        </is>
      </c>
      <c r="C816" t="inlineStr" s="4">
        <is>
          <t>餐饮</t>
        </is>
      </c>
      <c r="D816" t="inlineStr" s="5">
        <is>
          <t>中餐</t>
        </is>
      </c>
      <c r="E816" s="6"/>
      <c r="F816" s="6"/>
      <c r="G816" s="6">
        <f>IF(AND(E816="",F816=""),"",F816-E816)</f>
      </c>
      <c r="H816" s="4"/>
      <c r="I816" s="5"/>
    </row>
    <row r="817" ht="21" customHeight="1">
      <c r="A817" s="3">
        <v>46295</v>
      </c>
      <c r="B817" t="inlineStr" s="4">
        <is>
          <t>星期三</t>
        </is>
      </c>
      <c r="C817" t="inlineStr" s="4">
        <is>
          <t>餐饮</t>
        </is>
      </c>
      <c r="D817" t="inlineStr" s="5">
        <is>
          <t>晚餐</t>
        </is>
      </c>
      <c r="E817" s="6"/>
      <c r="F817" s="6"/>
      <c r="G817" s="6">
        <f>IF(AND(E817="",F817=""),"",F817-E817)</f>
      </c>
      <c r="H817" s="4"/>
      <c r="I817" s="5"/>
    </row>
    <row r="818" ht="21" customHeight="1">
      <c r="A818" s="3">
        <v>46295</v>
      </c>
      <c r="B818" t="inlineStr" s="4">
        <is>
          <t>星期三</t>
        </is>
      </c>
      <c r="C818" t="inlineStr" s="4">
        <is>
          <t>奶茶/咖啡</t>
        </is>
      </c>
      <c r="D818" t="inlineStr" s="5">
        <is>
          <t>奶茶/咖啡</t>
        </is>
      </c>
      <c r="E818" s="6"/>
      <c r="F818" s="6"/>
      <c r="G818" s="6">
        <f>IF(AND(E818="",F818=""),"",F818-E818)</f>
      </c>
      <c r="H818" s="4"/>
      <c r="I818" s="5"/>
    </row>
    <row r="819" ht="21" customHeight="1">
      <c r="A819" s="3">
        <v>46295</v>
      </c>
      <c r="B819" t="inlineStr" s="4">
        <is>
          <t>星期三</t>
        </is>
      </c>
      <c r="C819" t="inlineStr" s="4">
        <is>
          <t>其他</t>
        </is>
      </c>
      <c r="D819" t="inlineStr" s="5">
        <is>
          <t>其他</t>
        </is>
      </c>
      <c r="E819" s="6"/>
      <c r="F819" s="6"/>
      <c r="G819" s="6">
        <f>IF(AND(E819="",F819=""),"",F819-E819)</f>
      </c>
      <c r="H819" s="4"/>
      <c r="I819" s="5"/>
    </row>
    <row r="820" ht="21" customHeight="1">
      <c r="A820" s="3">
        <v>46295</v>
      </c>
      <c r="B820" t="inlineStr" s="4">
        <is>
          <t>星期三</t>
        </is>
      </c>
      <c r="C820" t="inlineStr" s="4">
        <is>
          <t>其他</t>
        </is>
      </c>
      <c r="D820" t="inlineStr" s="5">
        <is>
          <t>其他</t>
        </is>
      </c>
      <c r="E820" s="6"/>
      <c r="F820" s="6"/>
      <c r="G820" s="6">
        <f>IF(AND(E820="",F820=""),"",F820-E820)</f>
      </c>
      <c r="H820" s="4"/>
      <c r="I820" s="5"/>
    </row>
    <row r="821" ht="21" customHeight="1">
      <c r="A821" s="3">
        <v>46296</v>
      </c>
      <c r="B821" t="inlineStr" s="4">
        <is>
          <t>星期四</t>
        </is>
      </c>
      <c r="C821" t="inlineStr" s="4">
        <is>
          <t>餐饮</t>
        </is>
      </c>
      <c r="D821" t="inlineStr" s="5">
        <is>
          <t>早餐</t>
        </is>
      </c>
      <c r="E821" s="6"/>
      <c r="F821" s="6"/>
      <c r="G821" s="6">
        <f>IF(AND(E821="",F821=""),"",F821-E821)</f>
      </c>
      <c r="H821" s="4"/>
      <c r="I821" s="5"/>
    </row>
    <row r="822" ht="21" customHeight="1">
      <c r="A822" s="3">
        <v>46296</v>
      </c>
      <c r="B822" t="inlineStr" s="4">
        <is>
          <t>星期四</t>
        </is>
      </c>
      <c r="C822" t="inlineStr" s="4">
        <is>
          <t>餐饮</t>
        </is>
      </c>
      <c r="D822" t="inlineStr" s="5">
        <is>
          <t>中餐</t>
        </is>
      </c>
      <c r="E822" s="6"/>
      <c r="F822" s="6"/>
      <c r="G822" s="6">
        <f>IF(AND(E822="",F822=""),"",F822-E822)</f>
      </c>
      <c r="H822" s="4"/>
      <c r="I822" s="5"/>
    </row>
    <row r="823" ht="21" customHeight="1">
      <c r="A823" s="3">
        <v>46296</v>
      </c>
      <c r="B823" t="inlineStr" s="4">
        <is>
          <t>星期四</t>
        </is>
      </c>
      <c r="C823" t="inlineStr" s="4">
        <is>
          <t>餐饮</t>
        </is>
      </c>
      <c r="D823" t="inlineStr" s="5">
        <is>
          <t>晚餐</t>
        </is>
      </c>
      <c r="E823" s="6"/>
      <c r="F823" s="6"/>
      <c r="G823" s="6">
        <f>IF(AND(E823="",F823=""),"",F823-E823)</f>
      </c>
      <c r="H823" s="4"/>
      <c r="I823" s="5"/>
    </row>
    <row r="824" ht="21" customHeight="1">
      <c r="A824" s="3">
        <v>46296</v>
      </c>
      <c r="B824" t="inlineStr" s="4">
        <is>
          <t>星期四</t>
        </is>
      </c>
      <c r="C824" t="inlineStr" s="4">
        <is>
          <t>奶茶/咖啡</t>
        </is>
      </c>
      <c r="D824" t="inlineStr" s="5">
        <is>
          <t>奶茶/咖啡</t>
        </is>
      </c>
      <c r="E824" s="6"/>
      <c r="F824" s="6"/>
      <c r="G824" s="6">
        <f>IF(AND(E824="",F824=""),"",F824-E824)</f>
      </c>
      <c r="H824" s="4"/>
      <c r="I824" s="5"/>
    </row>
    <row r="825" ht="21" customHeight="1">
      <c r="A825" s="3">
        <v>46296</v>
      </c>
      <c r="B825" t="inlineStr" s="4">
        <is>
          <t>星期四</t>
        </is>
      </c>
      <c r="C825" t="inlineStr" s="4">
        <is>
          <t>其他</t>
        </is>
      </c>
      <c r="D825" t="inlineStr" s="5">
        <is>
          <t>其他</t>
        </is>
      </c>
      <c r="E825" s="6"/>
      <c r="F825" s="6"/>
      <c r="G825" s="6">
        <f>IF(AND(E825="",F825=""),"",F825-E825)</f>
      </c>
      <c r="H825" s="4"/>
      <c r="I825" s="5"/>
    </row>
    <row r="826" ht="21" customHeight="1">
      <c r="A826" s="3">
        <v>46296</v>
      </c>
      <c r="B826" t="inlineStr" s="4">
        <is>
          <t>星期四</t>
        </is>
      </c>
      <c r="C826" t="inlineStr" s="4">
        <is>
          <t>其他</t>
        </is>
      </c>
      <c r="D826" t="inlineStr" s="5">
        <is>
          <t>其他</t>
        </is>
      </c>
      <c r="E826" s="6"/>
      <c r="F826" s="6"/>
      <c r="G826" s="6">
        <f>IF(AND(E826="",F826=""),"",F826-E826)</f>
      </c>
      <c r="H826" s="4"/>
      <c r="I826" s="5"/>
    </row>
    <row r="827" ht="21" customHeight="1">
      <c r="A827" s="3">
        <v>46297</v>
      </c>
      <c r="B827" t="inlineStr" s="4">
        <is>
          <t>星期五</t>
        </is>
      </c>
      <c r="C827" t="inlineStr" s="4">
        <is>
          <t>餐饮</t>
        </is>
      </c>
      <c r="D827" t="inlineStr" s="5">
        <is>
          <t>早餐</t>
        </is>
      </c>
      <c r="E827" s="6"/>
      <c r="F827" s="6"/>
      <c r="G827" s="6">
        <f>IF(AND(E827="",F827=""),"",F827-E827)</f>
      </c>
      <c r="H827" s="4"/>
      <c r="I827" s="5"/>
    </row>
    <row r="828" ht="21" customHeight="1">
      <c r="A828" s="3">
        <v>46297</v>
      </c>
      <c r="B828" t="inlineStr" s="4">
        <is>
          <t>星期五</t>
        </is>
      </c>
      <c r="C828" t="inlineStr" s="4">
        <is>
          <t>餐饮</t>
        </is>
      </c>
      <c r="D828" t="inlineStr" s="5">
        <is>
          <t>中餐</t>
        </is>
      </c>
      <c r="E828" s="6"/>
      <c r="F828" s="6"/>
      <c r="G828" s="6">
        <f>IF(AND(E828="",F828=""),"",F828-E828)</f>
      </c>
      <c r="H828" s="4"/>
      <c r="I828" s="5"/>
    </row>
    <row r="829" ht="21" customHeight="1">
      <c r="A829" s="3">
        <v>46297</v>
      </c>
      <c r="B829" t="inlineStr" s="4">
        <is>
          <t>星期五</t>
        </is>
      </c>
      <c r="C829" t="inlineStr" s="4">
        <is>
          <t>餐饮</t>
        </is>
      </c>
      <c r="D829" t="inlineStr" s="5">
        <is>
          <t>晚餐</t>
        </is>
      </c>
      <c r="E829" s="6"/>
      <c r="F829" s="6"/>
      <c r="G829" s="6">
        <f>IF(AND(E829="",F829=""),"",F829-E829)</f>
      </c>
      <c r="H829" s="4"/>
      <c r="I829" s="5"/>
    </row>
    <row r="830" ht="21" customHeight="1">
      <c r="A830" s="3">
        <v>46297</v>
      </c>
      <c r="B830" t="inlineStr" s="4">
        <is>
          <t>星期五</t>
        </is>
      </c>
      <c r="C830" t="inlineStr" s="4">
        <is>
          <t>奶茶/咖啡</t>
        </is>
      </c>
      <c r="D830" t="inlineStr" s="5">
        <is>
          <t>奶茶/咖啡</t>
        </is>
      </c>
      <c r="E830" s="6"/>
      <c r="F830" s="6"/>
      <c r="G830" s="6">
        <f>IF(AND(E830="",F830=""),"",F830-E830)</f>
      </c>
      <c r="H830" s="4"/>
      <c r="I830" s="5"/>
    </row>
    <row r="831" ht="21" customHeight="1">
      <c r="A831" s="3">
        <v>46297</v>
      </c>
      <c r="B831" t="inlineStr" s="4">
        <is>
          <t>星期五</t>
        </is>
      </c>
      <c r="C831" t="inlineStr" s="4">
        <is>
          <t>其他</t>
        </is>
      </c>
      <c r="D831" t="inlineStr" s="5">
        <is>
          <t>其他</t>
        </is>
      </c>
      <c r="E831" s="6"/>
      <c r="F831" s="6"/>
      <c r="G831" s="6">
        <f>IF(AND(E831="",F831=""),"",F831-E831)</f>
      </c>
      <c r="H831" s="4"/>
      <c r="I831" s="5"/>
    </row>
    <row r="832" ht="21" customHeight="1">
      <c r="A832" s="3">
        <v>46297</v>
      </c>
      <c r="B832" t="inlineStr" s="4">
        <is>
          <t>星期五</t>
        </is>
      </c>
      <c r="C832" t="inlineStr" s="4">
        <is>
          <t>其他</t>
        </is>
      </c>
      <c r="D832" t="inlineStr" s="5">
        <is>
          <t>其他</t>
        </is>
      </c>
      <c r="E832" s="6"/>
      <c r="F832" s="6"/>
      <c r="G832" s="6">
        <f>IF(AND(E832="",F832=""),"",F832-E832)</f>
      </c>
      <c r="H832" s="4"/>
      <c r="I832" s="5"/>
    </row>
    <row r="833" ht="21" customHeight="1">
      <c r="A833" s="3">
        <v>46298</v>
      </c>
      <c r="B833" t="inlineStr" s="4">
        <is>
          <t>星期六</t>
        </is>
      </c>
      <c r="C833" t="inlineStr" s="4">
        <is>
          <t>餐饮</t>
        </is>
      </c>
      <c r="D833" t="inlineStr" s="5">
        <is>
          <t>早餐</t>
        </is>
      </c>
      <c r="E833" s="6"/>
      <c r="F833" s="6"/>
      <c r="G833" s="6">
        <f>IF(AND(E833="",F833=""),"",F833-E833)</f>
      </c>
      <c r="H833" s="4"/>
      <c r="I833" s="5"/>
    </row>
    <row r="834" ht="21" customHeight="1">
      <c r="A834" s="3">
        <v>46298</v>
      </c>
      <c r="B834" t="inlineStr" s="4">
        <is>
          <t>星期六</t>
        </is>
      </c>
      <c r="C834" t="inlineStr" s="4">
        <is>
          <t>餐饮</t>
        </is>
      </c>
      <c r="D834" t="inlineStr" s="5">
        <is>
          <t>中餐</t>
        </is>
      </c>
      <c r="E834" s="6"/>
      <c r="F834" s="6"/>
      <c r="G834" s="6">
        <f>IF(AND(E834="",F834=""),"",F834-E834)</f>
      </c>
      <c r="H834" s="4"/>
      <c r="I834" s="5"/>
    </row>
    <row r="835" ht="21" customHeight="1">
      <c r="A835" s="3">
        <v>46298</v>
      </c>
      <c r="B835" t="inlineStr" s="4">
        <is>
          <t>星期六</t>
        </is>
      </c>
      <c r="C835" t="inlineStr" s="4">
        <is>
          <t>餐饮</t>
        </is>
      </c>
      <c r="D835" t="inlineStr" s="5">
        <is>
          <t>晚餐</t>
        </is>
      </c>
      <c r="E835" s="6"/>
      <c r="F835" s="6"/>
      <c r="G835" s="6">
        <f>IF(AND(E835="",F835=""),"",F835-E835)</f>
      </c>
      <c r="H835" s="4"/>
      <c r="I835" s="5"/>
    </row>
    <row r="836" ht="21" customHeight="1">
      <c r="A836" s="3">
        <v>46298</v>
      </c>
      <c r="B836" t="inlineStr" s="4">
        <is>
          <t>星期六</t>
        </is>
      </c>
      <c r="C836" t="inlineStr" s="4">
        <is>
          <t>奶茶/咖啡</t>
        </is>
      </c>
      <c r="D836" t="inlineStr" s="5">
        <is>
          <t>奶茶/咖啡</t>
        </is>
      </c>
      <c r="E836" s="6"/>
      <c r="F836" s="6"/>
      <c r="G836" s="6">
        <f>IF(AND(E836="",F836=""),"",F836-E836)</f>
      </c>
      <c r="H836" s="4"/>
      <c r="I836" s="5"/>
    </row>
    <row r="837" ht="21" customHeight="1">
      <c r="A837" s="3">
        <v>46298</v>
      </c>
      <c r="B837" t="inlineStr" s="4">
        <is>
          <t>星期六</t>
        </is>
      </c>
      <c r="C837" t="inlineStr" s="4">
        <is>
          <t>其他</t>
        </is>
      </c>
      <c r="D837" t="inlineStr" s="5">
        <is>
          <t>其他</t>
        </is>
      </c>
      <c r="E837" s="6"/>
      <c r="F837" s="6"/>
      <c r="G837" s="6">
        <f>IF(AND(E837="",F837=""),"",F837-E837)</f>
      </c>
      <c r="H837" s="4"/>
      <c r="I837" s="5"/>
    </row>
    <row r="838" ht="21" customHeight="1">
      <c r="A838" s="3">
        <v>46298</v>
      </c>
      <c r="B838" t="inlineStr" s="4">
        <is>
          <t>星期六</t>
        </is>
      </c>
      <c r="C838" t="inlineStr" s="4">
        <is>
          <t>其他</t>
        </is>
      </c>
      <c r="D838" t="inlineStr" s="5">
        <is>
          <t>其他</t>
        </is>
      </c>
      <c r="E838" s="6"/>
      <c r="F838" s="6"/>
      <c r="G838" s="6">
        <f>IF(AND(E838="",F838=""),"",F838-E838)</f>
      </c>
      <c r="H838" s="4"/>
      <c r="I838" s="5"/>
    </row>
    <row r="839" ht="21" customHeight="1">
      <c r="A839" s="3">
        <v>46299</v>
      </c>
      <c r="B839" t="inlineStr" s="4">
        <is>
          <t>星期日</t>
        </is>
      </c>
      <c r="C839" t="inlineStr" s="4">
        <is>
          <t>餐饮</t>
        </is>
      </c>
      <c r="D839" t="inlineStr" s="5">
        <is>
          <t>早餐</t>
        </is>
      </c>
      <c r="E839" s="6"/>
      <c r="F839" s="6"/>
      <c r="G839" s="6">
        <f>IF(AND(E839="",F839=""),"",F839-E839)</f>
      </c>
      <c r="H839" s="4"/>
      <c r="I839" s="5"/>
    </row>
    <row r="840" ht="21" customHeight="1">
      <c r="A840" s="3">
        <v>46299</v>
      </c>
      <c r="B840" t="inlineStr" s="4">
        <is>
          <t>星期日</t>
        </is>
      </c>
      <c r="C840" t="inlineStr" s="4">
        <is>
          <t>餐饮</t>
        </is>
      </c>
      <c r="D840" t="inlineStr" s="5">
        <is>
          <t>中餐</t>
        </is>
      </c>
      <c r="E840" s="6"/>
      <c r="F840" s="6"/>
      <c r="G840" s="6">
        <f>IF(AND(E840="",F840=""),"",F840-E840)</f>
      </c>
      <c r="H840" s="4"/>
      <c r="I840" s="5"/>
    </row>
    <row r="841" ht="21" customHeight="1">
      <c r="A841" s="3">
        <v>46299</v>
      </c>
      <c r="B841" t="inlineStr" s="4">
        <is>
          <t>星期日</t>
        </is>
      </c>
      <c r="C841" t="inlineStr" s="4">
        <is>
          <t>餐饮</t>
        </is>
      </c>
      <c r="D841" t="inlineStr" s="5">
        <is>
          <t>晚餐</t>
        </is>
      </c>
      <c r="E841" s="6"/>
      <c r="F841" s="6"/>
      <c r="G841" s="6">
        <f>IF(AND(E841="",F841=""),"",F841-E841)</f>
      </c>
      <c r="H841" s="4"/>
      <c r="I841" s="5"/>
    </row>
    <row r="842" ht="21" customHeight="1">
      <c r="A842" s="3">
        <v>46299</v>
      </c>
      <c r="B842" t="inlineStr" s="4">
        <is>
          <t>星期日</t>
        </is>
      </c>
      <c r="C842" t="inlineStr" s="4">
        <is>
          <t>奶茶/咖啡</t>
        </is>
      </c>
      <c r="D842" t="inlineStr" s="5">
        <is>
          <t>奶茶/咖啡</t>
        </is>
      </c>
      <c r="E842" s="6"/>
      <c r="F842" s="6"/>
      <c r="G842" s="6">
        <f>IF(AND(E842="",F842=""),"",F842-E842)</f>
      </c>
      <c r="H842" s="4"/>
      <c r="I842" s="5"/>
    </row>
    <row r="843" ht="21" customHeight="1">
      <c r="A843" s="3">
        <v>46299</v>
      </c>
      <c r="B843" t="inlineStr" s="4">
        <is>
          <t>星期日</t>
        </is>
      </c>
      <c r="C843" t="inlineStr" s="4">
        <is>
          <t>其他</t>
        </is>
      </c>
      <c r="D843" t="inlineStr" s="5">
        <is>
          <t>其他</t>
        </is>
      </c>
      <c r="E843" s="6"/>
      <c r="F843" s="6"/>
      <c r="G843" s="6">
        <f>IF(AND(E843="",F843=""),"",F843-E843)</f>
      </c>
      <c r="H843" s="4"/>
      <c r="I843" s="5"/>
    </row>
    <row r="844" ht="21" customHeight="1">
      <c r="A844" s="3">
        <v>46299</v>
      </c>
      <c r="B844" t="inlineStr" s="4">
        <is>
          <t>星期日</t>
        </is>
      </c>
      <c r="C844" t="inlineStr" s="4">
        <is>
          <t>其他</t>
        </is>
      </c>
      <c r="D844" t="inlineStr" s="5">
        <is>
          <t>其他</t>
        </is>
      </c>
      <c r="E844" s="6"/>
      <c r="F844" s="6"/>
      <c r="G844" s="6">
        <f>IF(AND(E844="",F844=""),"",F844-E844)</f>
      </c>
      <c r="H844" s="4"/>
      <c r="I844" s="5"/>
    </row>
    <row r="845" ht="23" customHeight="1">
      <c r="A845" t="inlineStr" s="7">
        <is>
          <t>本周小计</t>
        </is>
      </c>
      <c r="B845" s="7"/>
      <c r="C845" s="7"/>
      <c r="D845" s="7"/>
      <c r="E845" s="8">
        <f>SUM(E803:E844)</f>
      </c>
      <c r="F845" s="8">
        <f>SUM(F803:F844)</f>
      </c>
      <c r="G845" s="8">
        <f>SUM(G803:G844)</f>
      </c>
      <c r="H845" s="7"/>
      <c r="I845" s="7"/>
    </row>
    <row r="846" ht="18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8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26" customHeight="1">
      <c r="A848" t="inlineStr" s="2">
        <is>
          <t>2026年10月｜第一周（10月5日 - 10月11日）</t>
        </is>
      </c>
      <c r="B848" s="2"/>
      <c r="C848" s="2"/>
      <c r="D848" s="2"/>
      <c r="E848" s="2"/>
      <c r="F848" s="2"/>
      <c r="G848" s="2"/>
      <c r="H848" s="2"/>
      <c r="I848" s="2"/>
    </row>
    <row r="849" ht="22" customHeight="1">
      <c r="A849" t="inlineStr" s="1">
        <is>
          <t>日期</t>
        </is>
      </c>
      <c r="B849" t="inlineStr" s="1">
        <is>
          <t>星期</t>
        </is>
      </c>
      <c r="C849" t="inlineStr" s="1">
        <is>
          <t>分类</t>
        </is>
      </c>
      <c r="D849" t="inlineStr" s="1">
        <is>
          <t>事项</t>
        </is>
      </c>
      <c r="E849" t="inlineStr" s="1">
        <is>
          <t>支出金额</t>
        </is>
      </c>
      <c r="F849" t="inlineStr" s="1">
        <is>
          <t>收入金额</t>
        </is>
      </c>
      <c r="G849" t="inlineStr" s="1">
        <is>
          <t>当笔净额</t>
        </is>
      </c>
      <c r="H849" t="inlineStr" s="1">
        <is>
          <t>支付方式</t>
        </is>
      </c>
      <c r="I849" t="inlineStr" s="1">
        <is>
          <t>备注</t>
        </is>
      </c>
    </row>
    <row r="850" ht="21" customHeight="1">
      <c r="A850" s="3">
        <v>46300</v>
      </c>
      <c r="B850" t="inlineStr" s="4">
        <is>
          <t>星期一</t>
        </is>
      </c>
      <c r="C850" t="inlineStr" s="4">
        <is>
          <t>餐饮</t>
        </is>
      </c>
      <c r="D850" t="inlineStr" s="5">
        <is>
          <t>早餐</t>
        </is>
      </c>
      <c r="E850" s="6"/>
      <c r="F850" s="6"/>
      <c r="G850" s="6">
        <f>IF(AND(E850="",F850=""),"",F850-E850)</f>
      </c>
      <c r="H850" s="4"/>
      <c r="I850" s="5"/>
    </row>
    <row r="851" ht="21" customHeight="1">
      <c r="A851" s="3">
        <v>46300</v>
      </c>
      <c r="B851" t="inlineStr" s="4">
        <is>
          <t>星期一</t>
        </is>
      </c>
      <c r="C851" t="inlineStr" s="4">
        <is>
          <t>餐饮</t>
        </is>
      </c>
      <c r="D851" t="inlineStr" s="5">
        <is>
          <t>中餐</t>
        </is>
      </c>
      <c r="E851" s="6"/>
      <c r="F851" s="6"/>
      <c r="G851" s="6">
        <f>IF(AND(E851="",F851=""),"",F851-E851)</f>
      </c>
      <c r="H851" s="4"/>
      <c r="I851" s="5"/>
    </row>
    <row r="852" ht="21" customHeight="1">
      <c r="A852" s="3">
        <v>46300</v>
      </c>
      <c r="B852" t="inlineStr" s="4">
        <is>
          <t>星期一</t>
        </is>
      </c>
      <c r="C852" t="inlineStr" s="4">
        <is>
          <t>餐饮</t>
        </is>
      </c>
      <c r="D852" t="inlineStr" s="5">
        <is>
          <t>晚餐</t>
        </is>
      </c>
      <c r="E852" s="6"/>
      <c r="F852" s="6"/>
      <c r="G852" s="6">
        <f>IF(AND(E852="",F852=""),"",F852-E852)</f>
      </c>
      <c r="H852" s="4"/>
      <c r="I852" s="5"/>
    </row>
    <row r="853" ht="21" customHeight="1">
      <c r="A853" s="3">
        <v>46300</v>
      </c>
      <c r="B853" t="inlineStr" s="4">
        <is>
          <t>星期一</t>
        </is>
      </c>
      <c r="C853" t="inlineStr" s="4">
        <is>
          <t>奶茶/咖啡</t>
        </is>
      </c>
      <c r="D853" t="inlineStr" s="5">
        <is>
          <t>奶茶/咖啡</t>
        </is>
      </c>
      <c r="E853" s="6"/>
      <c r="F853" s="6"/>
      <c r="G853" s="6">
        <f>IF(AND(E853="",F853=""),"",F853-E853)</f>
      </c>
      <c r="H853" s="4"/>
      <c r="I853" s="5"/>
    </row>
    <row r="854" ht="21" customHeight="1">
      <c r="A854" s="3">
        <v>46300</v>
      </c>
      <c r="B854" t="inlineStr" s="4">
        <is>
          <t>星期一</t>
        </is>
      </c>
      <c r="C854" t="inlineStr" s="4">
        <is>
          <t>其他</t>
        </is>
      </c>
      <c r="D854" t="inlineStr" s="5">
        <is>
          <t>其他</t>
        </is>
      </c>
      <c r="E854" s="6"/>
      <c r="F854" s="6"/>
      <c r="G854" s="6">
        <f>IF(AND(E854="",F854=""),"",F854-E854)</f>
      </c>
      <c r="H854" s="4"/>
      <c r="I854" s="5"/>
    </row>
    <row r="855" ht="21" customHeight="1">
      <c r="A855" s="3">
        <v>46300</v>
      </c>
      <c r="B855" t="inlineStr" s="4">
        <is>
          <t>星期一</t>
        </is>
      </c>
      <c r="C855" t="inlineStr" s="4">
        <is>
          <t>其他</t>
        </is>
      </c>
      <c r="D855" t="inlineStr" s="5">
        <is>
          <t>其他</t>
        </is>
      </c>
      <c r="E855" s="6"/>
      <c r="F855" s="6"/>
      <c r="G855" s="6">
        <f>IF(AND(E855="",F855=""),"",F855-E855)</f>
      </c>
      <c r="H855" s="4"/>
      <c r="I855" s="5"/>
    </row>
    <row r="856" ht="21" customHeight="1">
      <c r="A856" s="3">
        <v>46301</v>
      </c>
      <c r="B856" t="inlineStr" s="4">
        <is>
          <t>星期二</t>
        </is>
      </c>
      <c r="C856" t="inlineStr" s="4">
        <is>
          <t>餐饮</t>
        </is>
      </c>
      <c r="D856" t="inlineStr" s="5">
        <is>
          <t>早餐</t>
        </is>
      </c>
      <c r="E856" s="6"/>
      <c r="F856" s="6"/>
      <c r="G856" s="6">
        <f>IF(AND(E856="",F856=""),"",F856-E856)</f>
      </c>
      <c r="H856" s="4"/>
      <c r="I856" s="5"/>
    </row>
    <row r="857" ht="21" customHeight="1">
      <c r="A857" s="3">
        <v>46301</v>
      </c>
      <c r="B857" t="inlineStr" s="4">
        <is>
          <t>星期二</t>
        </is>
      </c>
      <c r="C857" t="inlineStr" s="4">
        <is>
          <t>餐饮</t>
        </is>
      </c>
      <c r="D857" t="inlineStr" s="5">
        <is>
          <t>中餐</t>
        </is>
      </c>
      <c r="E857" s="6"/>
      <c r="F857" s="6"/>
      <c r="G857" s="6">
        <f>IF(AND(E857="",F857=""),"",F857-E857)</f>
      </c>
      <c r="H857" s="4"/>
      <c r="I857" s="5"/>
    </row>
    <row r="858" ht="21" customHeight="1">
      <c r="A858" s="3">
        <v>46301</v>
      </c>
      <c r="B858" t="inlineStr" s="4">
        <is>
          <t>星期二</t>
        </is>
      </c>
      <c r="C858" t="inlineStr" s="4">
        <is>
          <t>餐饮</t>
        </is>
      </c>
      <c r="D858" t="inlineStr" s="5">
        <is>
          <t>晚餐</t>
        </is>
      </c>
      <c r="E858" s="6"/>
      <c r="F858" s="6"/>
      <c r="G858" s="6">
        <f>IF(AND(E858="",F858=""),"",F858-E858)</f>
      </c>
      <c r="H858" s="4"/>
      <c r="I858" s="5"/>
    </row>
    <row r="859" ht="21" customHeight="1">
      <c r="A859" s="3">
        <v>46301</v>
      </c>
      <c r="B859" t="inlineStr" s="4">
        <is>
          <t>星期二</t>
        </is>
      </c>
      <c r="C859" t="inlineStr" s="4">
        <is>
          <t>奶茶/咖啡</t>
        </is>
      </c>
      <c r="D859" t="inlineStr" s="5">
        <is>
          <t>奶茶/咖啡</t>
        </is>
      </c>
      <c r="E859" s="6"/>
      <c r="F859" s="6"/>
      <c r="G859" s="6">
        <f>IF(AND(E859="",F859=""),"",F859-E859)</f>
      </c>
      <c r="H859" s="4"/>
      <c r="I859" s="5"/>
    </row>
    <row r="860" ht="21" customHeight="1">
      <c r="A860" s="3">
        <v>46301</v>
      </c>
      <c r="B860" t="inlineStr" s="4">
        <is>
          <t>星期二</t>
        </is>
      </c>
      <c r="C860" t="inlineStr" s="4">
        <is>
          <t>其他</t>
        </is>
      </c>
      <c r="D860" t="inlineStr" s="5">
        <is>
          <t>其他</t>
        </is>
      </c>
      <c r="E860" s="6"/>
      <c r="F860" s="6"/>
      <c r="G860" s="6">
        <f>IF(AND(E860="",F860=""),"",F860-E860)</f>
      </c>
      <c r="H860" s="4"/>
      <c r="I860" s="5"/>
    </row>
    <row r="861" ht="21" customHeight="1">
      <c r="A861" s="3">
        <v>46301</v>
      </c>
      <c r="B861" t="inlineStr" s="4">
        <is>
          <t>星期二</t>
        </is>
      </c>
      <c r="C861" t="inlineStr" s="4">
        <is>
          <t>其他</t>
        </is>
      </c>
      <c r="D861" t="inlineStr" s="5">
        <is>
          <t>其他</t>
        </is>
      </c>
      <c r="E861" s="6"/>
      <c r="F861" s="6"/>
      <c r="G861" s="6">
        <f>IF(AND(E861="",F861=""),"",F861-E861)</f>
      </c>
      <c r="H861" s="4"/>
      <c r="I861" s="5"/>
    </row>
    <row r="862" ht="21" customHeight="1">
      <c r="A862" s="3">
        <v>46302</v>
      </c>
      <c r="B862" t="inlineStr" s="4">
        <is>
          <t>星期三</t>
        </is>
      </c>
      <c r="C862" t="inlineStr" s="4">
        <is>
          <t>餐饮</t>
        </is>
      </c>
      <c r="D862" t="inlineStr" s="5">
        <is>
          <t>早餐</t>
        </is>
      </c>
      <c r="E862" s="6"/>
      <c r="F862" s="6"/>
      <c r="G862" s="6">
        <f>IF(AND(E862="",F862=""),"",F862-E862)</f>
      </c>
      <c r="H862" s="4"/>
      <c r="I862" s="5"/>
    </row>
    <row r="863" ht="21" customHeight="1">
      <c r="A863" s="3">
        <v>46302</v>
      </c>
      <c r="B863" t="inlineStr" s="4">
        <is>
          <t>星期三</t>
        </is>
      </c>
      <c r="C863" t="inlineStr" s="4">
        <is>
          <t>餐饮</t>
        </is>
      </c>
      <c r="D863" t="inlineStr" s="5">
        <is>
          <t>中餐</t>
        </is>
      </c>
      <c r="E863" s="6"/>
      <c r="F863" s="6"/>
      <c r="G863" s="6">
        <f>IF(AND(E863="",F863=""),"",F863-E863)</f>
      </c>
      <c r="H863" s="4"/>
      <c r="I863" s="5"/>
    </row>
    <row r="864" ht="21" customHeight="1">
      <c r="A864" s="3">
        <v>46302</v>
      </c>
      <c r="B864" t="inlineStr" s="4">
        <is>
          <t>星期三</t>
        </is>
      </c>
      <c r="C864" t="inlineStr" s="4">
        <is>
          <t>餐饮</t>
        </is>
      </c>
      <c r="D864" t="inlineStr" s="5">
        <is>
          <t>晚餐</t>
        </is>
      </c>
      <c r="E864" s="6"/>
      <c r="F864" s="6"/>
      <c r="G864" s="6">
        <f>IF(AND(E864="",F864=""),"",F864-E864)</f>
      </c>
      <c r="H864" s="4"/>
      <c r="I864" s="5"/>
    </row>
    <row r="865" ht="21" customHeight="1">
      <c r="A865" s="3">
        <v>46302</v>
      </c>
      <c r="B865" t="inlineStr" s="4">
        <is>
          <t>星期三</t>
        </is>
      </c>
      <c r="C865" t="inlineStr" s="4">
        <is>
          <t>奶茶/咖啡</t>
        </is>
      </c>
      <c r="D865" t="inlineStr" s="5">
        <is>
          <t>奶茶/咖啡</t>
        </is>
      </c>
      <c r="E865" s="6"/>
      <c r="F865" s="6"/>
      <c r="G865" s="6">
        <f>IF(AND(E865="",F865=""),"",F865-E865)</f>
      </c>
      <c r="H865" s="4"/>
      <c r="I865" s="5"/>
    </row>
    <row r="866" ht="21" customHeight="1">
      <c r="A866" s="3">
        <v>46302</v>
      </c>
      <c r="B866" t="inlineStr" s="4">
        <is>
          <t>星期三</t>
        </is>
      </c>
      <c r="C866" t="inlineStr" s="4">
        <is>
          <t>其他</t>
        </is>
      </c>
      <c r="D866" t="inlineStr" s="5">
        <is>
          <t>其他</t>
        </is>
      </c>
      <c r="E866" s="6"/>
      <c r="F866" s="6"/>
      <c r="G866" s="6">
        <f>IF(AND(E866="",F866=""),"",F866-E866)</f>
      </c>
      <c r="H866" s="4"/>
      <c r="I866" s="5"/>
    </row>
    <row r="867" ht="21" customHeight="1">
      <c r="A867" s="3">
        <v>46302</v>
      </c>
      <c r="B867" t="inlineStr" s="4">
        <is>
          <t>星期三</t>
        </is>
      </c>
      <c r="C867" t="inlineStr" s="4">
        <is>
          <t>其他</t>
        </is>
      </c>
      <c r="D867" t="inlineStr" s="5">
        <is>
          <t>其他</t>
        </is>
      </c>
      <c r="E867" s="6"/>
      <c r="F867" s="6"/>
      <c r="G867" s="6">
        <f>IF(AND(E867="",F867=""),"",F867-E867)</f>
      </c>
      <c r="H867" s="4"/>
      <c r="I867" s="5"/>
    </row>
    <row r="868" ht="21" customHeight="1">
      <c r="A868" s="3">
        <v>46303</v>
      </c>
      <c r="B868" t="inlineStr" s="4">
        <is>
          <t>星期四</t>
        </is>
      </c>
      <c r="C868" t="inlineStr" s="4">
        <is>
          <t>餐饮</t>
        </is>
      </c>
      <c r="D868" t="inlineStr" s="5">
        <is>
          <t>早餐</t>
        </is>
      </c>
      <c r="E868" s="6"/>
      <c r="F868" s="6"/>
      <c r="G868" s="6">
        <f>IF(AND(E868="",F868=""),"",F868-E868)</f>
      </c>
      <c r="H868" s="4"/>
      <c r="I868" s="5"/>
    </row>
    <row r="869" ht="21" customHeight="1">
      <c r="A869" s="3">
        <v>46303</v>
      </c>
      <c r="B869" t="inlineStr" s="4">
        <is>
          <t>星期四</t>
        </is>
      </c>
      <c r="C869" t="inlineStr" s="4">
        <is>
          <t>餐饮</t>
        </is>
      </c>
      <c r="D869" t="inlineStr" s="5">
        <is>
          <t>中餐</t>
        </is>
      </c>
      <c r="E869" s="6"/>
      <c r="F869" s="6"/>
      <c r="G869" s="6">
        <f>IF(AND(E869="",F869=""),"",F869-E869)</f>
      </c>
      <c r="H869" s="4"/>
      <c r="I869" s="5"/>
    </row>
    <row r="870" ht="21" customHeight="1">
      <c r="A870" s="3">
        <v>46303</v>
      </c>
      <c r="B870" t="inlineStr" s="4">
        <is>
          <t>星期四</t>
        </is>
      </c>
      <c r="C870" t="inlineStr" s="4">
        <is>
          <t>餐饮</t>
        </is>
      </c>
      <c r="D870" t="inlineStr" s="5">
        <is>
          <t>晚餐</t>
        </is>
      </c>
      <c r="E870" s="6"/>
      <c r="F870" s="6"/>
      <c r="G870" s="6">
        <f>IF(AND(E870="",F870=""),"",F870-E870)</f>
      </c>
      <c r="H870" s="4"/>
      <c r="I870" s="5"/>
    </row>
    <row r="871" ht="21" customHeight="1">
      <c r="A871" s="3">
        <v>46303</v>
      </c>
      <c r="B871" t="inlineStr" s="4">
        <is>
          <t>星期四</t>
        </is>
      </c>
      <c r="C871" t="inlineStr" s="4">
        <is>
          <t>奶茶/咖啡</t>
        </is>
      </c>
      <c r="D871" t="inlineStr" s="5">
        <is>
          <t>奶茶/咖啡</t>
        </is>
      </c>
      <c r="E871" s="6"/>
      <c r="F871" s="6"/>
      <c r="G871" s="6">
        <f>IF(AND(E871="",F871=""),"",F871-E871)</f>
      </c>
      <c r="H871" s="4"/>
      <c r="I871" s="5"/>
    </row>
    <row r="872" ht="21" customHeight="1">
      <c r="A872" s="3">
        <v>46303</v>
      </c>
      <c r="B872" t="inlineStr" s="4">
        <is>
          <t>星期四</t>
        </is>
      </c>
      <c r="C872" t="inlineStr" s="4">
        <is>
          <t>其他</t>
        </is>
      </c>
      <c r="D872" t="inlineStr" s="5">
        <is>
          <t>其他</t>
        </is>
      </c>
      <c r="E872" s="6"/>
      <c r="F872" s="6"/>
      <c r="G872" s="6">
        <f>IF(AND(E872="",F872=""),"",F872-E872)</f>
      </c>
      <c r="H872" s="4"/>
      <c r="I872" s="5"/>
    </row>
    <row r="873" ht="21" customHeight="1">
      <c r="A873" s="3">
        <v>46303</v>
      </c>
      <c r="B873" t="inlineStr" s="4">
        <is>
          <t>星期四</t>
        </is>
      </c>
      <c r="C873" t="inlineStr" s="4">
        <is>
          <t>其他</t>
        </is>
      </c>
      <c r="D873" t="inlineStr" s="5">
        <is>
          <t>其他</t>
        </is>
      </c>
      <c r="E873" s="6"/>
      <c r="F873" s="6"/>
      <c r="G873" s="6">
        <f>IF(AND(E873="",F873=""),"",F873-E873)</f>
      </c>
      <c r="H873" s="4"/>
      <c r="I873" s="5"/>
    </row>
    <row r="874" ht="21" customHeight="1">
      <c r="A874" s="3">
        <v>46304</v>
      </c>
      <c r="B874" t="inlineStr" s="4">
        <is>
          <t>星期五</t>
        </is>
      </c>
      <c r="C874" t="inlineStr" s="4">
        <is>
          <t>餐饮</t>
        </is>
      </c>
      <c r="D874" t="inlineStr" s="5">
        <is>
          <t>早餐</t>
        </is>
      </c>
      <c r="E874" s="6"/>
      <c r="F874" s="6"/>
      <c r="G874" s="6">
        <f>IF(AND(E874="",F874=""),"",F874-E874)</f>
      </c>
      <c r="H874" s="4"/>
      <c r="I874" s="5"/>
    </row>
    <row r="875" ht="21" customHeight="1">
      <c r="A875" s="3">
        <v>46304</v>
      </c>
      <c r="B875" t="inlineStr" s="4">
        <is>
          <t>星期五</t>
        </is>
      </c>
      <c r="C875" t="inlineStr" s="4">
        <is>
          <t>餐饮</t>
        </is>
      </c>
      <c r="D875" t="inlineStr" s="5">
        <is>
          <t>中餐</t>
        </is>
      </c>
      <c r="E875" s="6"/>
      <c r="F875" s="6"/>
      <c r="G875" s="6">
        <f>IF(AND(E875="",F875=""),"",F875-E875)</f>
      </c>
      <c r="H875" s="4"/>
      <c r="I875" s="5"/>
    </row>
    <row r="876" ht="21" customHeight="1">
      <c r="A876" s="3">
        <v>46304</v>
      </c>
      <c r="B876" t="inlineStr" s="4">
        <is>
          <t>星期五</t>
        </is>
      </c>
      <c r="C876" t="inlineStr" s="4">
        <is>
          <t>餐饮</t>
        </is>
      </c>
      <c r="D876" t="inlineStr" s="5">
        <is>
          <t>晚餐</t>
        </is>
      </c>
      <c r="E876" s="6"/>
      <c r="F876" s="6"/>
      <c r="G876" s="6">
        <f>IF(AND(E876="",F876=""),"",F876-E876)</f>
      </c>
      <c r="H876" s="4"/>
      <c r="I876" s="5"/>
    </row>
    <row r="877" ht="21" customHeight="1">
      <c r="A877" s="3">
        <v>46304</v>
      </c>
      <c r="B877" t="inlineStr" s="4">
        <is>
          <t>星期五</t>
        </is>
      </c>
      <c r="C877" t="inlineStr" s="4">
        <is>
          <t>奶茶/咖啡</t>
        </is>
      </c>
      <c r="D877" t="inlineStr" s="5">
        <is>
          <t>奶茶/咖啡</t>
        </is>
      </c>
      <c r="E877" s="6"/>
      <c r="F877" s="6"/>
      <c r="G877" s="6">
        <f>IF(AND(E877="",F877=""),"",F877-E877)</f>
      </c>
      <c r="H877" s="4"/>
      <c r="I877" s="5"/>
    </row>
    <row r="878" ht="21" customHeight="1">
      <c r="A878" s="3">
        <v>46304</v>
      </c>
      <c r="B878" t="inlineStr" s="4">
        <is>
          <t>星期五</t>
        </is>
      </c>
      <c r="C878" t="inlineStr" s="4">
        <is>
          <t>其他</t>
        </is>
      </c>
      <c r="D878" t="inlineStr" s="5">
        <is>
          <t>其他</t>
        </is>
      </c>
      <c r="E878" s="6"/>
      <c r="F878" s="6"/>
      <c r="G878" s="6">
        <f>IF(AND(E878="",F878=""),"",F878-E878)</f>
      </c>
      <c r="H878" s="4"/>
      <c r="I878" s="5"/>
    </row>
    <row r="879" ht="21" customHeight="1">
      <c r="A879" s="3">
        <v>46304</v>
      </c>
      <c r="B879" t="inlineStr" s="4">
        <is>
          <t>星期五</t>
        </is>
      </c>
      <c r="C879" t="inlineStr" s="4">
        <is>
          <t>其他</t>
        </is>
      </c>
      <c r="D879" t="inlineStr" s="5">
        <is>
          <t>其他</t>
        </is>
      </c>
      <c r="E879" s="6"/>
      <c r="F879" s="6"/>
      <c r="G879" s="6">
        <f>IF(AND(E879="",F879=""),"",F879-E879)</f>
      </c>
      <c r="H879" s="4"/>
      <c r="I879" s="5"/>
    </row>
    <row r="880" ht="21" customHeight="1">
      <c r="A880" s="3">
        <v>46305</v>
      </c>
      <c r="B880" t="inlineStr" s="4">
        <is>
          <t>星期六</t>
        </is>
      </c>
      <c r="C880" t="inlineStr" s="4">
        <is>
          <t>餐饮</t>
        </is>
      </c>
      <c r="D880" t="inlineStr" s="5">
        <is>
          <t>早餐</t>
        </is>
      </c>
      <c r="E880" s="6"/>
      <c r="F880" s="6"/>
      <c r="G880" s="6">
        <f>IF(AND(E880="",F880=""),"",F880-E880)</f>
      </c>
      <c r="H880" s="4"/>
      <c r="I880" s="5"/>
    </row>
    <row r="881" ht="21" customHeight="1">
      <c r="A881" s="3">
        <v>46305</v>
      </c>
      <c r="B881" t="inlineStr" s="4">
        <is>
          <t>星期六</t>
        </is>
      </c>
      <c r="C881" t="inlineStr" s="4">
        <is>
          <t>餐饮</t>
        </is>
      </c>
      <c r="D881" t="inlineStr" s="5">
        <is>
          <t>中餐</t>
        </is>
      </c>
      <c r="E881" s="6"/>
      <c r="F881" s="6"/>
      <c r="G881" s="6">
        <f>IF(AND(E881="",F881=""),"",F881-E881)</f>
      </c>
      <c r="H881" s="4"/>
      <c r="I881" s="5"/>
    </row>
    <row r="882" ht="21" customHeight="1">
      <c r="A882" s="3">
        <v>46305</v>
      </c>
      <c r="B882" t="inlineStr" s="4">
        <is>
          <t>星期六</t>
        </is>
      </c>
      <c r="C882" t="inlineStr" s="4">
        <is>
          <t>餐饮</t>
        </is>
      </c>
      <c r="D882" t="inlineStr" s="5">
        <is>
          <t>晚餐</t>
        </is>
      </c>
      <c r="E882" s="6"/>
      <c r="F882" s="6"/>
      <c r="G882" s="6">
        <f>IF(AND(E882="",F882=""),"",F882-E882)</f>
      </c>
      <c r="H882" s="4"/>
      <c r="I882" s="5"/>
    </row>
    <row r="883" ht="21" customHeight="1">
      <c r="A883" s="3">
        <v>46305</v>
      </c>
      <c r="B883" t="inlineStr" s="4">
        <is>
          <t>星期六</t>
        </is>
      </c>
      <c r="C883" t="inlineStr" s="4">
        <is>
          <t>奶茶/咖啡</t>
        </is>
      </c>
      <c r="D883" t="inlineStr" s="5">
        <is>
          <t>奶茶/咖啡</t>
        </is>
      </c>
      <c r="E883" s="6"/>
      <c r="F883" s="6"/>
      <c r="G883" s="6">
        <f>IF(AND(E883="",F883=""),"",F883-E883)</f>
      </c>
      <c r="H883" s="4"/>
      <c r="I883" s="5"/>
    </row>
    <row r="884" ht="21" customHeight="1">
      <c r="A884" s="3">
        <v>46305</v>
      </c>
      <c r="B884" t="inlineStr" s="4">
        <is>
          <t>星期六</t>
        </is>
      </c>
      <c r="C884" t="inlineStr" s="4">
        <is>
          <t>其他</t>
        </is>
      </c>
      <c r="D884" t="inlineStr" s="5">
        <is>
          <t>其他</t>
        </is>
      </c>
      <c r="E884" s="6"/>
      <c r="F884" s="6"/>
      <c r="G884" s="6">
        <f>IF(AND(E884="",F884=""),"",F884-E884)</f>
      </c>
      <c r="H884" s="4"/>
      <c r="I884" s="5"/>
    </row>
    <row r="885" ht="21" customHeight="1">
      <c r="A885" s="3">
        <v>46305</v>
      </c>
      <c r="B885" t="inlineStr" s="4">
        <is>
          <t>星期六</t>
        </is>
      </c>
      <c r="C885" t="inlineStr" s="4">
        <is>
          <t>其他</t>
        </is>
      </c>
      <c r="D885" t="inlineStr" s="5">
        <is>
          <t>其他</t>
        </is>
      </c>
      <c r="E885" s="6"/>
      <c r="F885" s="6"/>
      <c r="G885" s="6">
        <f>IF(AND(E885="",F885=""),"",F885-E885)</f>
      </c>
      <c r="H885" s="4"/>
      <c r="I885" s="5"/>
    </row>
    <row r="886" ht="21" customHeight="1">
      <c r="A886" s="3">
        <v>46306</v>
      </c>
      <c r="B886" t="inlineStr" s="4">
        <is>
          <t>星期日</t>
        </is>
      </c>
      <c r="C886" t="inlineStr" s="4">
        <is>
          <t>餐饮</t>
        </is>
      </c>
      <c r="D886" t="inlineStr" s="5">
        <is>
          <t>早餐</t>
        </is>
      </c>
      <c r="E886" s="6"/>
      <c r="F886" s="6"/>
      <c r="G886" s="6">
        <f>IF(AND(E886="",F886=""),"",F886-E886)</f>
      </c>
      <c r="H886" s="4"/>
      <c r="I886" s="5"/>
    </row>
    <row r="887" ht="21" customHeight="1">
      <c r="A887" s="3">
        <v>46306</v>
      </c>
      <c r="B887" t="inlineStr" s="4">
        <is>
          <t>星期日</t>
        </is>
      </c>
      <c r="C887" t="inlineStr" s="4">
        <is>
          <t>餐饮</t>
        </is>
      </c>
      <c r="D887" t="inlineStr" s="5">
        <is>
          <t>中餐</t>
        </is>
      </c>
      <c r="E887" s="6"/>
      <c r="F887" s="6"/>
      <c r="G887" s="6">
        <f>IF(AND(E887="",F887=""),"",F887-E887)</f>
      </c>
      <c r="H887" s="4"/>
      <c r="I887" s="5"/>
    </row>
    <row r="888" ht="21" customHeight="1">
      <c r="A888" s="3">
        <v>46306</v>
      </c>
      <c r="B888" t="inlineStr" s="4">
        <is>
          <t>星期日</t>
        </is>
      </c>
      <c r="C888" t="inlineStr" s="4">
        <is>
          <t>餐饮</t>
        </is>
      </c>
      <c r="D888" t="inlineStr" s="5">
        <is>
          <t>晚餐</t>
        </is>
      </c>
      <c r="E888" s="6"/>
      <c r="F888" s="6"/>
      <c r="G888" s="6">
        <f>IF(AND(E888="",F888=""),"",F888-E888)</f>
      </c>
      <c r="H888" s="4"/>
      <c r="I888" s="5"/>
    </row>
    <row r="889" ht="21" customHeight="1">
      <c r="A889" s="3">
        <v>46306</v>
      </c>
      <c r="B889" t="inlineStr" s="4">
        <is>
          <t>星期日</t>
        </is>
      </c>
      <c r="C889" t="inlineStr" s="4">
        <is>
          <t>奶茶/咖啡</t>
        </is>
      </c>
      <c r="D889" t="inlineStr" s="5">
        <is>
          <t>奶茶/咖啡</t>
        </is>
      </c>
      <c r="E889" s="6"/>
      <c r="F889" s="6"/>
      <c r="G889" s="6">
        <f>IF(AND(E889="",F889=""),"",F889-E889)</f>
      </c>
      <c r="H889" s="4"/>
      <c r="I889" s="5"/>
    </row>
    <row r="890" ht="21" customHeight="1">
      <c r="A890" s="3">
        <v>46306</v>
      </c>
      <c r="B890" t="inlineStr" s="4">
        <is>
          <t>星期日</t>
        </is>
      </c>
      <c r="C890" t="inlineStr" s="4">
        <is>
          <t>其他</t>
        </is>
      </c>
      <c r="D890" t="inlineStr" s="5">
        <is>
          <t>其他</t>
        </is>
      </c>
      <c r="E890" s="6"/>
      <c r="F890" s="6"/>
      <c r="G890" s="6">
        <f>IF(AND(E890="",F890=""),"",F890-E890)</f>
      </c>
      <c r="H890" s="4"/>
      <c r="I890" s="5"/>
    </row>
    <row r="891" ht="21" customHeight="1">
      <c r="A891" s="3">
        <v>46306</v>
      </c>
      <c r="B891" t="inlineStr" s="4">
        <is>
          <t>星期日</t>
        </is>
      </c>
      <c r="C891" t="inlineStr" s="4">
        <is>
          <t>其他</t>
        </is>
      </c>
      <c r="D891" t="inlineStr" s="5">
        <is>
          <t>其他</t>
        </is>
      </c>
      <c r="E891" s="6"/>
      <c r="F891" s="6"/>
      <c r="G891" s="6">
        <f>IF(AND(E891="",F891=""),"",F891-E891)</f>
      </c>
      <c r="H891" s="4"/>
      <c r="I891" s="5"/>
    </row>
    <row r="892" ht="23" customHeight="1">
      <c r="A892" t="inlineStr" s="7">
        <is>
          <t>本周小计</t>
        </is>
      </c>
      <c r="B892" s="7"/>
      <c r="C892" s="7"/>
      <c r="D892" s="7"/>
      <c r="E892" s="8">
        <f>SUM(E850:E891)</f>
      </c>
      <c r="F892" s="8">
        <f>SUM(F850:F891)</f>
      </c>
      <c r="G892" s="8">
        <f>SUM(G850:G891)</f>
      </c>
      <c r="H892" s="7"/>
      <c r="I892" s="7"/>
    </row>
    <row r="893" ht="18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8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26" customHeight="1">
      <c r="A895" t="inlineStr" s="2">
        <is>
          <t>2026年10月｜第二周（10月12日 - 10月18日）</t>
        </is>
      </c>
      <c r="B895" s="2"/>
      <c r="C895" s="2"/>
      <c r="D895" s="2"/>
      <c r="E895" s="2"/>
      <c r="F895" s="2"/>
      <c r="G895" s="2"/>
      <c r="H895" s="2"/>
      <c r="I895" s="2"/>
    </row>
    <row r="896" ht="22" customHeight="1">
      <c r="A896" t="inlineStr" s="1">
        <is>
          <t>日期</t>
        </is>
      </c>
      <c r="B896" t="inlineStr" s="1">
        <is>
          <t>星期</t>
        </is>
      </c>
      <c r="C896" t="inlineStr" s="1">
        <is>
          <t>分类</t>
        </is>
      </c>
      <c r="D896" t="inlineStr" s="1">
        <is>
          <t>事项</t>
        </is>
      </c>
      <c r="E896" t="inlineStr" s="1">
        <is>
          <t>支出金额</t>
        </is>
      </c>
      <c r="F896" t="inlineStr" s="1">
        <is>
          <t>收入金额</t>
        </is>
      </c>
      <c r="G896" t="inlineStr" s="1">
        <is>
          <t>当笔净额</t>
        </is>
      </c>
      <c r="H896" t="inlineStr" s="1">
        <is>
          <t>支付方式</t>
        </is>
      </c>
      <c r="I896" t="inlineStr" s="1">
        <is>
          <t>备注</t>
        </is>
      </c>
    </row>
    <row r="897" ht="21" customHeight="1">
      <c r="A897" s="3">
        <v>46307</v>
      </c>
      <c r="B897" t="inlineStr" s="4">
        <is>
          <t>星期一</t>
        </is>
      </c>
      <c r="C897" t="inlineStr" s="4">
        <is>
          <t>餐饮</t>
        </is>
      </c>
      <c r="D897" t="inlineStr" s="5">
        <is>
          <t>早餐</t>
        </is>
      </c>
      <c r="E897" s="6"/>
      <c r="F897" s="6"/>
      <c r="G897" s="6">
        <f>IF(AND(E897="",F897=""),"",F897-E897)</f>
      </c>
      <c r="H897" s="4"/>
      <c r="I897" s="5"/>
    </row>
    <row r="898" ht="21" customHeight="1">
      <c r="A898" s="3">
        <v>46307</v>
      </c>
      <c r="B898" t="inlineStr" s="4">
        <is>
          <t>星期一</t>
        </is>
      </c>
      <c r="C898" t="inlineStr" s="4">
        <is>
          <t>餐饮</t>
        </is>
      </c>
      <c r="D898" t="inlineStr" s="5">
        <is>
          <t>中餐</t>
        </is>
      </c>
      <c r="E898" s="6"/>
      <c r="F898" s="6"/>
      <c r="G898" s="6">
        <f>IF(AND(E898="",F898=""),"",F898-E898)</f>
      </c>
      <c r="H898" s="4"/>
      <c r="I898" s="5"/>
    </row>
    <row r="899" ht="21" customHeight="1">
      <c r="A899" s="3">
        <v>46307</v>
      </c>
      <c r="B899" t="inlineStr" s="4">
        <is>
          <t>星期一</t>
        </is>
      </c>
      <c r="C899" t="inlineStr" s="4">
        <is>
          <t>餐饮</t>
        </is>
      </c>
      <c r="D899" t="inlineStr" s="5">
        <is>
          <t>晚餐</t>
        </is>
      </c>
      <c r="E899" s="6"/>
      <c r="F899" s="6"/>
      <c r="G899" s="6">
        <f>IF(AND(E899="",F899=""),"",F899-E899)</f>
      </c>
      <c r="H899" s="4"/>
      <c r="I899" s="5"/>
    </row>
    <row r="900" ht="21" customHeight="1">
      <c r="A900" s="3">
        <v>46307</v>
      </c>
      <c r="B900" t="inlineStr" s="4">
        <is>
          <t>星期一</t>
        </is>
      </c>
      <c r="C900" t="inlineStr" s="4">
        <is>
          <t>奶茶/咖啡</t>
        </is>
      </c>
      <c r="D900" t="inlineStr" s="5">
        <is>
          <t>奶茶/咖啡</t>
        </is>
      </c>
      <c r="E900" s="6"/>
      <c r="F900" s="6"/>
      <c r="G900" s="6">
        <f>IF(AND(E900="",F900=""),"",F900-E900)</f>
      </c>
      <c r="H900" s="4"/>
      <c r="I900" s="5"/>
    </row>
    <row r="901" ht="21" customHeight="1">
      <c r="A901" s="3">
        <v>46307</v>
      </c>
      <c r="B901" t="inlineStr" s="4">
        <is>
          <t>星期一</t>
        </is>
      </c>
      <c r="C901" t="inlineStr" s="4">
        <is>
          <t>其他</t>
        </is>
      </c>
      <c r="D901" t="inlineStr" s="5">
        <is>
          <t>其他</t>
        </is>
      </c>
      <c r="E901" s="6"/>
      <c r="F901" s="6"/>
      <c r="G901" s="6">
        <f>IF(AND(E901="",F901=""),"",F901-E901)</f>
      </c>
      <c r="H901" s="4"/>
      <c r="I901" s="5"/>
    </row>
    <row r="902" ht="21" customHeight="1">
      <c r="A902" s="3">
        <v>46307</v>
      </c>
      <c r="B902" t="inlineStr" s="4">
        <is>
          <t>星期一</t>
        </is>
      </c>
      <c r="C902" t="inlineStr" s="4">
        <is>
          <t>其他</t>
        </is>
      </c>
      <c r="D902" t="inlineStr" s="5">
        <is>
          <t>其他</t>
        </is>
      </c>
      <c r="E902" s="6"/>
      <c r="F902" s="6"/>
      <c r="G902" s="6">
        <f>IF(AND(E902="",F902=""),"",F902-E902)</f>
      </c>
      <c r="H902" s="4"/>
      <c r="I902" s="5"/>
    </row>
    <row r="903" ht="21" customHeight="1">
      <c r="A903" s="3">
        <v>46308</v>
      </c>
      <c r="B903" t="inlineStr" s="4">
        <is>
          <t>星期二</t>
        </is>
      </c>
      <c r="C903" t="inlineStr" s="4">
        <is>
          <t>餐饮</t>
        </is>
      </c>
      <c r="D903" t="inlineStr" s="5">
        <is>
          <t>早餐</t>
        </is>
      </c>
      <c r="E903" s="6"/>
      <c r="F903" s="6"/>
      <c r="G903" s="6">
        <f>IF(AND(E903="",F903=""),"",F903-E903)</f>
      </c>
      <c r="H903" s="4"/>
      <c r="I903" s="5"/>
    </row>
    <row r="904" ht="21" customHeight="1">
      <c r="A904" s="3">
        <v>46308</v>
      </c>
      <c r="B904" t="inlineStr" s="4">
        <is>
          <t>星期二</t>
        </is>
      </c>
      <c r="C904" t="inlineStr" s="4">
        <is>
          <t>餐饮</t>
        </is>
      </c>
      <c r="D904" t="inlineStr" s="5">
        <is>
          <t>中餐</t>
        </is>
      </c>
      <c r="E904" s="6"/>
      <c r="F904" s="6"/>
      <c r="G904" s="6">
        <f>IF(AND(E904="",F904=""),"",F904-E904)</f>
      </c>
      <c r="H904" s="4"/>
      <c r="I904" s="5"/>
    </row>
    <row r="905" ht="21" customHeight="1">
      <c r="A905" s="3">
        <v>46308</v>
      </c>
      <c r="B905" t="inlineStr" s="4">
        <is>
          <t>星期二</t>
        </is>
      </c>
      <c r="C905" t="inlineStr" s="4">
        <is>
          <t>餐饮</t>
        </is>
      </c>
      <c r="D905" t="inlineStr" s="5">
        <is>
          <t>晚餐</t>
        </is>
      </c>
      <c r="E905" s="6"/>
      <c r="F905" s="6"/>
      <c r="G905" s="6">
        <f>IF(AND(E905="",F905=""),"",F905-E905)</f>
      </c>
      <c r="H905" s="4"/>
      <c r="I905" s="5"/>
    </row>
    <row r="906" ht="21" customHeight="1">
      <c r="A906" s="3">
        <v>46308</v>
      </c>
      <c r="B906" t="inlineStr" s="4">
        <is>
          <t>星期二</t>
        </is>
      </c>
      <c r="C906" t="inlineStr" s="4">
        <is>
          <t>奶茶/咖啡</t>
        </is>
      </c>
      <c r="D906" t="inlineStr" s="5">
        <is>
          <t>奶茶/咖啡</t>
        </is>
      </c>
      <c r="E906" s="6"/>
      <c r="F906" s="6"/>
      <c r="G906" s="6">
        <f>IF(AND(E906="",F906=""),"",F906-E906)</f>
      </c>
      <c r="H906" s="4"/>
      <c r="I906" s="5"/>
    </row>
    <row r="907" ht="21" customHeight="1">
      <c r="A907" s="3">
        <v>46308</v>
      </c>
      <c r="B907" t="inlineStr" s="4">
        <is>
          <t>星期二</t>
        </is>
      </c>
      <c r="C907" t="inlineStr" s="4">
        <is>
          <t>其他</t>
        </is>
      </c>
      <c r="D907" t="inlineStr" s="5">
        <is>
          <t>其他</t>
        </is>
      </c>
      <c r="E907" s="6"/>
      <c r="F907" s="6"/>
      <c r="G907" s="6">
        <f>IF(AND(E907="",F907=""),"",F907-E907)</f>
      </c>
      <c r="H907" s="4"/>
      <c r="I907" s="5"/>
    </row>
    <row r="908" ht="21" customHeight="1">
      <c r="A908" s="3">
        <v>46308</v>
      </c>
      <c r="B908" t="inlineStr" s="4">
        <is>
          <t>星期二</t>
        </is>
      </c>
      <c r="C908" t="inlineStr" s="4">
        <is>
          <t>其他</t>
        </is>
      </c>
      <c r="D908" t="inlineStr" s="5">
        <is>
          <t>其他</t>
        </is>
      </c>
      <c r="E908" s="6"/>
      <c r="F908" s="6"/>
      <c r="G908" s="6">
        <f>IF(AND(E908="",F908=""),"",F908-E908)</f>
      </c>
      <c r="H908" s="4"/>
      <c r="I908" s="5"/>
    </row>
    <row r="909" ht="21" customHeight="1">
      <c r="A909" s="3">
        <v>46309</v>
      </c>
      <c r="B909" t="inlineStr" s="4">
        <is>
          <t>星期三</t>
        </is>
      </c>
      <c r="C909" t="inlineStr" s="4">
        <is>
          <t>餐饮</t>
        </is>
      </c>
      <c r="D909" t="inlineStr" s="5">
        <is>
          <t>早餐</t>
        </is>
      </c>
      <c r="E909" s="6"/>
      <c r="F909" s="6"/>
      <c r="G909" s="6">
        <f>IF(AND(E909="",F909=""),"",F909-E909)</f>
      </c>
      <c r="H909" s="4"/>
      <c r="I909" s="5"/>
    </row>
    <row r="910" ht="21" customHeight="1">
      <c r="A910" s="3">
        <v>46309</v>
      </c>
      <c r="B910" t="inlineStr" s="4">
        <is>
          <t>星期三</t>
        </is>
      </c>
      <c r="C910" t="inlineStr" s="4">
        <is>
          <t>餐饮</t>
        </is>
      </c>
      <c r="D910" t="inlineStr" s="5">
        <is>
          <t>中餐</t>
        </is>
      </c>
      <c r="E910" s="6"/>
      <c r="F910" s="6"/>
      <c r="G910" s="6">
        <f>IF(AND(E910="",F910=""),"",F910-E910)</f>
      </c>
      <c r="H910" s="4"/>
      <c r="I910" s="5"/>
    </row>
    <row r="911" ht="21" customHeight="1">
      <c r="A911" s="3">
        <v>46309</v>
      </c>
      <c r="B911" t="inlineStr" s="4">
        <is>
          <t>星期三</t>
        </is>
      </c>
      <c r="C911" t="inlineStr" s="4">
        <is>
          <t>餐饮</t>
        </is>
      </c>
      <c r="D911" t="inlineStr" s="5">
        <is>
          <t>晚餐</t>
        </is>
      </c>
      <c r="E911" s="6"/>
      <c r="F911" s="6"/>
      <c r="G911" s="6">
        <f>IF(AND(E911="",F911=""),"",F911-E911)</f>
      </c>
      <c r="H911" s="4"/>
      <c r="I911" s="5"/>
    </row>
    <row r="912" ht="21" customHeight="1">
      <c r="A912" s="3">
        <v>46309</v>
      </c>
      <c r="B912" t="inlineStr" s="4">
        <is>
          <t>星期三</t>
        </is>
      </c>
      <c r="C912" t="inlineStr" s="4">
        <is>
          <t>奶茶/咖啡</t>
        </is>
      </c>
      <c r="D912" t="inlineStr" s="5">
        <is>
          <t>奶茶/咖啡</t>
        </is>
      </c>
      <c r="E912" s="6"/>
      <c r="F912" s="6"/>
      <c r="G912" s="6">
        <f>IF(AND(E912="",F912=""),"",F912-E912)</f>
      </c>
      <c r="H912" s="4"/>
      <c r="I912" s="5"/>
    </row>
    <row r="913" ht="21" customHeight="1">
      <c r="A913" s="3">
        <v>46309</v>
      </c>
      <c r="B913" t="inlineStr" s="4">
        <is>
          <t>星期三</t>
        </is>
      </c>
      <c r="C913" t="inlineStr" s="4">
        <is>
          <t>其他</t>
        </is>
      </c>
      <c r="D913" t="inlineStr" s="5">
        <is>
          <t>其他</t>
        </is>
      </c>
      <c r="E913" s="6"/>
      <c r="F913" s="6"/>
      <c r="G913" s="6">
        <f>IF(AND(E913="",F913=""),"",F913-E913)</f>
      </c>
      <c r="H913" s="4"/>
      <c r="I913" s="5"/>
    </row>
    <row r="914" ht="21" customHeight="1">
      <c r="A914" s="3">
        <v>46309</v>
      </c>
      <c r="B914" t="inlineStr" s="4">
        <is>
          <t>星期三</t>
        </is>
      </c>
      <c r="C914" t="inlineStr" s="4">
        <is>
          <t>其他</t>
        </is>
      </c>
      <c r="D914" t="inlineStr" s="5">
        <is>
          <t>其他</t>
        </is>
      </c>
      <c r="E914" s="6"/>
      <c r="F914" s="6"/>
      <c r="G914" s="6">
        <f>IF(AND(E914="",F914=""),"",F914-E914)</f>
      </c>
      <c r="H914" s="4"/>
      <c r="I914" s="5"/>
    </row>
    <row r="915" ht="21" customHeight="1">
      <c r="A915" s="3">
        <v>46310</v>
      </c>
      <c r="B915" t="inlineStr" s="4">
        <is>
          <t>星期四</t>
        </is>
      </c>
      <c r="C915" t="inlineStr" s="4">
        <is>
          <t>餐饮</t>
        </is>
      </c>
      <c r="D915" t="inlineStr" s="5">
        <is>
          <t>早餐</t>
        </is>
      </c>
      <c r="E915" s="6"/>
      <c r="F915" s="6"/>
      <c r="G915" s="6">
        <f>IF(AND(E915="",F915=""),"",F915-E915)</f>
      </c>
      <c r="H915" s="4"/>
      <c r="I915" s="5"/>
    </row>
    <row r="916" ht="21" customHeight="1">
      <c r="A916" s="3">
        <v>46310</v>
      </c>
      <c r="B916" t="inlineStr" s="4">
        <is>
          <t>星期四</t>
        </is>
      </c>
      <c r="C916" t="inlineStr" s="4">
        <is>
          <t>餐饮</t>
        </is>
      </c>
      <c r="D916" t="inlineStr" s="5">
        <is>
          <t>中餐</t>
        </is>
      </c>
      <c r="E916" s="6"/>
      <c r="F916" s="6"/>
      <c r="G916" s="6">
        <f>IF(AND(E916="",F916=""),"",F916-E916)</f>
      </c>
      <c r="H916" s="4"/>
      <c r="I916" s="5"/>
    </row>
    <row r="917" ht="21" customHeight="1">
      <c r="A917" s="3">
        <v>46310</v>
      </c>
      <c r="B917" t="inlineStr" s="4">
        <is>
          <t>星期四</t>
        </is>
      </c>
      <c r="C917" t="inlineStr" s="4">
        <is>
          <t>餐饮</t>
        </is>
      </c>
      <c r="D917" t="inlineStr" s="5">
        <is>
          <t>晚餐</t>
        </is>
      </c>
      <c r="E917" s="6"/>
      <c r="F917" s="6"/>
      <c r="G917" s="6">
        <f>IF(AND(E917="",F917=""),"",F917-E917)</f>
      </c>
      <c r="H917" s="4"/>
      <c r="I917" s="5"/>
    </row>
    <row r="918" ht="21" customHeight="1">
      <c r="A918" s="3">
        <v>46310</v>
      </c>
      <c r="B918" t="inlineStr" s="4">
        <is>
          <t>星期四</t>
        </is>
      </c>
      <c r="C918" t="inlineStr" s="4">
        <is>
          <t>奶茶/咖啡</t>
        </is>
      </c>
      <c r="D918" t="inlineStr" s="5">
        <is>
          <t>奶茶/咖啡</t>
        </is>
      </c>
      <c r="E918" s="6"/>
      <c r="F918" s="6"/>
      <c r="G918" s="6">
        <f>IF(AND(E918="",F918=""),"",F918-E918)</f>
      </c>
      <c r="H918" s="4"/>
      <c r="I918" s="5"/>
    </row>
    <row r="919" ht="21" customHeight="1">
      <c r="A919" s="3">
        <v>46310</v>
      </c>
      <c r="B919" t="inlineStr" s="4">
        <is>
          <t>星期四</t>
        </is>
      </c>
      <c r="C919" t="inlineStr" s="4">
        <is>
          <t>其他</t>
        </is>
      </c>
      <c r="D919" t="inlineStr" s="5">
        <is>
          <t>其他</t>
        </is>
      </c>
      <c r="E919" s="6"/>
      <c r="F919" s="6"/>
      <c r="G919" s="6">
        <f>IF(AND(E919="",F919=""),"",F919-E919)</f>
      </c>
      <c r="H919" s="4"/>
      <c r="I919" s="5"/>
    </row>
    <row r="920" ht="21" customHeight="1">
      <c r="A920" s="3">
        <v>46310</v>
      </c>
      <c r="B920" t="inlineStr" s="4">
        <is>
          <t>星期四</t>
        </is>
      </c>
      <c r="C920" t="inlineStr" s="4">
        <is>
          <t>其他</t>
        </is>
      </c>
      <c r="D920" t="inlineStr" s="5">
        <is>
          <t>其他</t>
        </is>
      </c>
      <c r="E920" s="6"/>
      <c r="F920" s="6"/>
      <c r="G920" s="6">
        <f>IF(AND(E920="",F920=""),"",F920-E920)</f>
      </c>
      <c r="H920" s="4"/>
      <c r="I920" s="5"/>
    </row>
    <row r="921" ht="21" customHeight="1">
      <c r="A921" s="3">
        <v>46311</v>
      </c>
      <c r="B921" t="inlineStr" s="4">
        <is>
          <t>星期五</t>
        </is>
      </c>
      <c r="C921" t="inlineStr" s="4">
        <is>
          <t>餐饮</t>
        </is>
      </c>
      <c r="D921" t="inlineStr" s="5">
        <is>
          <t>早餐</t>
        </is>
      </c>
      <c r="E921" s="6"/>
      <c r="F921" s="6"/>
      <c r="G921" s="6">
        <f>IF(AND(E921="",F921=""),"",F921-E921)</f>
      </c>
      <c r="H921" s="4"/>
      <c r="I921" s="5"/>
    </row>
    <row r="922" ht="21" customHeight="1">
      <c r="A922" s="3">
        <v>46311</v>
      </c>
      <c r="B922" t="inlineStr" s="4">
        <is>
          <t>星期五</t>
        </is>
      </c>
      <c r="C922" t="inlineStr" s="4">
        <is>
          <t>餐饮</t>
        </is>
      </c>
      <c r="D922" t="inlineStr" s="5">
        <is>
          <t>中餐</t>
        </is>
      </c>
      <c r="E922" s="6"/>
      <c r="F922" s="6"/>
      <c r="G922" s="6">
        <f>IF(AND(E922="",F922=""),"",F922-E922)</f>
      </c>
      <c r="H922" s="4"/>
      <c r="I922" s="5"/>
    </row>
    <row r="923" ht="21" customHeight="1">
      <c r="A923" s="3">
        <v>46311</v>
      </c>
      <c r="B923" t="inlineStr" s="4">
        <is>
          <t>星期五</t>
        </is>
      </c>
      <c r="C923" t="inlineStr" s="4">
        <is>
          <t>餐饮</t>
        </is>
      </c>
      <c r="D923" t="inlineStr" s="5">
        <is>
          <t>晚餐</t>
        </is>
      </c>
      <c r="E923" s="6"/>
      <c r="F923" s="6"/>
      <c r="G923" s="6">
        <f>IF(AND(E923="",F923=""),"",F923-E923)</f>
      </c>
      <c r="H923" s="4"/>
      <c r="I923" s="5"/>
    </row>
    <row r="924" ht="21" customHeight="1">
      <c r="A924" s="3">
        <v>46311</v>
      </c>
      <c r="B924" t="inlineStr" s="4">
        <is>
          <t>星期五</t>
        </is>
      </c>
      <c r="C924" t="inlineStr" s="4">
        <is>
          <t>奶茶/咖啡</t>
        </is>
      </c>
      <c r="D924" t="inlineStr" s="5">
        <is>
          <t>奶茶/咖啡</t>
        </is>
      </c>
      <c r="E924" s="6"/>
      <c r="F924" s="6"/>
      <c r="G924" s="6">
        <f>IF(AND(E924="",F924=""),"",F924-E924)</f>
      </c>
      <c r="H924" s="4"/>
      <c r="I924" s="5"/>
    </row>
    <row r="925" ht="21" customHeight="1">
      <c r="A925" s="3">
        <v>46311</v>
      </c>
      <c r="B925" t="inlineStr" s="4">
        <is>
          <t>星期五</t>
        </is>
      </c>
      <c r="C925" t="inlineStr" s="4">
        <is>
          <t>其他</t>
        </is>
      </c>
      <c r="D925" t="inlineStr" s="5">
        <is>
          <t>其他</t>
        </is>
      </c>
      <c r="E925" s="6"/>
      <c r="F925" s="6"/>
      <c r="G925" s="6">
        <f>IF(AND(E925="",F925=""),"",F925-E925)</f>
      </c>
      <c r="H925" s="4"/>
      <c r="I925" s="5"/>
    </row>
    <row r="926" ht="21" customHeight="1">
      <c r="A926" s="3">
        <v>46311</v>
      </c>
      <c r="B926" t="inlineStr" s="4">
        <is>
          <t>星期五</t>
        </is>
      </c>
      <c r="C926" t="inlineStr" s="4">
        <is>
          <t>其他</t>
        </is>
      </c>
      <c r="D926" t="inlineStr" s="5">
        <is>
          <t>其他</t>
        </is>
      </c>
      <c r="E926" s="6"/>
      <c r="F926" s="6"/>
      <c r="G926" s="6">
        <f>IF(AND(E926="",F926=""),"",F926-E926)</f>
      </c>
      <c r="H926" s="4"/>
      <c r="I926" s="5"/>
    </row>
    <row r="927" ht="21" customHeight="1">
      <c r="A927" s="3">
        <v>46312</v>
      </c>
      <c r="B927" t="inlineStr" s="4">
        <is>
          <t>星期六</t>
        </is>
      </c>
      <c r="C927" t="inlineStr" s="4">
        <is>
          <t>餐饮</t>
        </is>
      </c>
      <c r="D927" t="inlineStr" s="5">
        <is>
          <t>早餐</t>
        </is>
      </c>
      <c r="E927" s="6"/>
      <c r="F927" s="6"/>
      <c r="G927" s="6">
        <f>IF(AND(E927="",F927=""),"",F927-E927)</f>
      </c>
      <c r="H927" s="4"/>
      <c r="I927" s="5"/>
    </row>
    <row r="928" ht="21" customHeight="1">
      <c r="A928" s="3">
        <v>46312</v>
      </c>
      <c r="B928" t="inlineStr" s="4">
        <is>
          <t>星期六</t>
        </is>
      </c>
      <c r="C928" t="inlineStr" s="4">
        <is>
          <t>餐饮</t>
        </is>
      </c>
      <c r="D928" t="inlineStr" s="5">
        <is>
          <t>中餐</t>
        </is>
      </c>
      <c r="E928" s="6"/>
      <c r="F928" s="6"/>
      <c r="G928" s="6">
        <f>IF(AND(E928="",F928=""),"",F928-E928)</f>
      </c>
      <c r="H928" s="4"/>
      <c r="I928" s="5"/>
    </row>
    <row r="929" ht="21" customHeight="1">
      <c r="A929" s="3">
        <v>46312</v>
      </c>
      <c r="B929" t="inlineStr" s="4">
        <is>
          <t>星期六</t>
        </is>
      </c>
      <c r="C929" t="inlineStr" s="4">
        <is>
          <t>餐饮</t>
        </is>
      </c>
      <c r="D929" t="inlineStr" s="5">
        <is>
          <t>晚餐</t>
        </is>
      </c>
      <c r="E929" s="6"/>
      <c r="F929" s="6"/>
      <c r="G929" s="6">
        <f>IF(AND(E929="",F929=""),"",F929-E929)</f>
      </c>
      <c r="H929" s="4"/>
      <c r="I929" s="5"/>
    </row>
    <row r="930" ht="21" customHeight="1">
      <c r="A930" s="3">
        <v>46312</v>
      </c>
      <c r="B930" t="inlineStr" s="4">
        <is>
          <t>星期六</t>
        </is>
      </c>
      <c r="C930" t="inlineStr" s="4">
        <is>
          <t>奶茶/咖啡</t>
        </is>
      </c>
      <c r="D930" t="inlineStr" s="5">
        <is>
          <t>奶茶/咖啡</t>
        </is>
      </c>
      <c r="E930" s="6"/>
      <c r="F930" s="6"/>
      <c r="G930" s="6">
        <f>IF(AND(E930="",F930=""),"",F930-E930)</f>
      </c>
      <c r="H930" s="4"/>
      <c r="I930" s="5"/>
    </row>
    <row r="931" ht="21" customHeight="1">
      <c r="A931" s="3">
        <v>46312</v>
      </c>
      <c r="B931" t="inlineStr" s="4">
        <is>
          <t>星期六</t>
        </is>
      </c>
      <c r="C931" t="inlineStr" s="4">
        <is>
          <t>其他</t>
        </is>
      </c>
      <c r="D931" t="inlineStr" s="5">
        <is>
          <t>其他</t>
        </is>
      </c>
      <c r="E931" s="6"/>
      <c r="F931" s="6"/>
      <c r="G931" s="6">
        <f>IF(AND(E931="",F931=""),"",F931-E931)</f>
      </c>
      <c r="H931" s="4"/>
      <c r="I931" s="5"/>
    </row>
    <row r="932" ht="21" customHeight="1">
      <c r="A932" s="3">
        <v>46312</v>
      </c>
      <c r="B932" t="inlineStr" s="4">
        <is>
          <t>星期六</t>
        </is>
      </c>
      <c r="C932" t="inlineStr" s="4">
        <is>
          <t>其他</t>
        </is>
      </c>
      <c r="D932" t="inlineStr" s="5">
        <is>
          <t>其他</t>
        </is>
      </c>
      <c r="E932" s="6"/>
      <c r="F932" s="6"/>
      <c r="G932" s="6">
        <f>IF(AND(E932="",F932=""),"",F932-E932)</f>
      </c>
      <c r="H932" s="4"/>
      <c r="I932" s="5"/>
    </row>
    <row r="933" ht="21" customHeight="1">
      <c r="A933" s="3">
        <v>46313</v>
      </c>
      <c r="B933" t="inlineStr" s="4">
        <is>
          <t>星期日</t>
        </is>
      </c>
      <c r="C933" t="inlineStr" s="4">
        <is>
          <t>餐饮</t>
        </is>
      </c>
      <c r="D933" t="inlineStr" s="5">
        <is>
          <t>早餐</t>
        </is>
      </c>
      <c r="E933" s="6"/>
      <c r="F933" s="6"/>
      <c r="G933" s="6">
        <f>IF(AND(E933="",F933=""),"",F933-E933)</f>
      </c>
      <c r="H933" s="4"/>
      <c r="I933" s="5"/>
    </row>
    <row r="934" ht="21" customHeight="1">
      <c r="A934" s="3">
        <v>46313</v>
      </c>
      <c r="B934" t="inlineStr" s="4">
        <is>
          <t>星期日</t>
        </is>
      </c>
      <c r="C934" t="inlineStr" s="4">
        <is>
          <t>餐饮</t>
        </is>
      </c>
      <c r="D934" t="inlineStr" s="5">
        <is>
          <t>中餐</t>
        </is>
      </c>
      <c r="E934" s="6"/>
      <c r="F934" s="6"/>
      <c r="G934" s="6">
        <f>IF(AND(E934="",F934=""),"",F934-E934)</f>
      </c>
      <c r="H934" s="4"/>
      <c r="I934" s="5"/>
    </row>
    <row r="935" ht="21" customHeight="1">
      <c r="A935" s="3">
        <v>46313</v>
      </c>
      <c r="B935" t="inlineStr" s="4">
        <is>
          <t>星期日</t>
        </is>
      </c>
      <c r="C935" t="inlineStr" s="4">
        <is>
          <t>餐饮</t>
        </is>
      </c>
      <c r="D935" t="inlineStr" s="5">
        <is>
          <t>晚餐</t>
        </is>
      </c>
      <c r="E935" s="6"/>
      <c r="F935" s="6"/>
      <c r="G935" s="6">
        <f>IF(AND(E935="",F935=""),"",F935-E935)</f>
      </c>
      <c r="H935" s="4"/>
      <c r="I935" s="5"/>
    </row>
    <row r="936" ht="21" customHeight="1">
      <c r="A936" s="3">
        <v>46313</v>
      </c>
      <c r="B936" t="inlineStr" s="4">
        <is>
          <t>星期日</t>
        </is>
      </c>
      <c r="C936" t="inlineStr" s="4">
        <is>
          <t>奶茶/咖啡</t>
        </is>
      </c>
      <c r="D936" t="inlineStr" s="5">
        <is>
          <t>奶茶/咖啡</t>
        </is>
      </c>
      <c r="E936" s="6"/>
      <c r="F936" s="6"/>
      <c r="G936" s="6">
        <f>IF(AND(E936="",F936=""),"",F936-E936)</f>
      </c>
      <c r="H936" s="4"/>
      <c r="I936" s="5"/>
    </row>
    <row r="937" ht="21" customHeight="1">
      <c r="A937" s="3">
        <v>46313</v>
      </c>
      <c r="B937" t="inlineStr" s="4">
        <is>
          <t>星期日</t>
        </is>
      </c>
      <c r="C937" t="inlineStr" s="4">
        <is>
          <t>其他</t>
        </is>
      </c>
      <c r="D937" t="inlineStr" s="5">
        <is>
          <t>其他</t>
        </is>
      </c>
      <c r="E937" s="6"/>
      <c r="F937" s="6"/>
      <c r="G937" s="6">
        <f>IF(AND(E937="",F937=""),"",F937-E937)</f>
      </c>
      <c r="H937" s="4"/>
      <c r="I937" s="5"/>
    </row>
    <row r="938" ht="21" customHeight="1">
      <c r="A938" s="3">
        <v>46313</v>
      </c>
      <c r="B938" t="inlineStr" s="4">
        <is>
          <t>星期日</t>
        </is>
      </c>
      <c r="C938" t="inlineStr" s="4">
        <is>
          <t>其他</t>
        </is>
      </c>
      <c r="D938" t="inlineStr" s="5">
        <is>
          <t>其他</t>
        </is>
      </c>
      <c r="E938" s="6"/>
      <c r="F938" s="6"/>
      <c r="G938" s="6">
        <f>IF(AND(E938="",F938=""),"",F938-E938)</f>
      </c>
      <c r="H938" s="4"/>
      <c r="I938" s="5"/>
    </row>
    <row r="939" ht="23" customHeight="1">
      <c r="A939" t="inlineStr" s="7">
        <is>
          <t>本周小计</t>
        </is>
      </c>
      <c r="B939" s="7"/>
      <c r="C939" s="7"/>
      <c r="D939" s="7"/>
      <c r="E939" s="8">
        <f>SUM(E897:E938)</f>
      </c>
      <c r="F939" s="8">
        <f>SUM(F897:F938)</f>
      </c>
      <c r="G939" s="8">
        <f>SUM(G897:G938)</f>
      </c>
      <c r="H939" s="7"/>
      <c r="I939" s="7"/>
    </row>
    <row r="940" ht="18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8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26" customHeight="1">
      <c r="A942" t="inlineStr" s="2">
        <is>
          <t>2026年10月｜第三周（10月19日 - 10月25日）</t>
        </is>
      </c>
      <c r="B942" s="2"/>
      <c r="C942" s="2"/>
      <c r="D942" s="2"/>
      <c r="E942" s="2"/>
      <c r="F942" s="2"/>
      <c r="G942" s="2"/>
      <c r="H942" s="2"/>
      <c r="I942" s="2"/>
    </row>
    <row r="943" ht="22" customHeight="1">
      <c r="A943" t="inlineStr" s="1">
        <is>
          <t>日期</t>
        </is>
      </c>
      <c r="B943" t="inlineStr" s="1">
        <is>
          <t>星期</t>
        </is>
      </c>
      <c r="C943" t="inlineStr" s="1">
        <is>
          <t>分类</t>
        </is>
      </c>
      <c r="D943" t="inlineStr" s="1">
        <is>
          <t>事项</t>
        </is>
      </c>
      <c r="E943" t="inlineStr" s="1">
        <is>
          <t>支出金额</t>
        </is>
      </c>
      <c r="F943" t="inlineStr" s="1">
        <is>
          <t>收入金额</t>
        </is>
      </c>
      <c r="G943" t="inlineStr" s="1">
        <is>
          <t>当笔净额</t>
        </is>
      </c>
      <c r="H943" t="inlineStr" s="1">
        <is>
          <t>支付方式</t>
        </is>
      </c>
      <c r="I943" t="inlineStr" s="1">
        <is>
          <t>备注</t>
        </is>
      </c>
    </row>
    <row r="944" ht="21" customHeight="1">
      <c r="A944" s="3">
        <v>46314</v>
      </c>
      <c r="B944" t="inlineStr" s="4">
        <is>
          <t>星期一</t>
        </is>
      </c>
      <c r="C944" t="inlineStr" s="4">
        <is>
          <t>餐饮</t>
        </is>
      </c>
      <c r="D944" t="inlineStr" s="5">
        <is>
          <t>早餐</t>
        </is>
      </c>
      <c r="E944" s="6"/>
      <c r="F944" s="6"/>
      <c r="G944" s="6">
        <f>IF(AND(E944="",F944=""),"",F944-E944)</f>
      </c>
      <c r="H944" s="4"/>
      <c r="I944" s="5"/>
    </row>
    <row r="945" ht="21" customHeight="1">
      <c r="A945" s="3">
        <v>46314</v>
      </c>
      <c r="B945" t="inlineStr" s="4">
        <is>
          <t>星期一</t>
        </is>
      </c>
      <c r="C945" t="inlineStr" s="4">
        <is>
          <t>餐饮</t>
        </is>
      </c>
      <c r="D945" t="inlineStr" s="5">
        <is>
          <t>中餐</t>
        </is>
      </c>
      <c r="E945" s="6"/>
      <c r="F945" s="6"/>
      <c r="G945" s="6">
        <f>IF(AND(E945="",F945=""),"",F945-E945)</f>
      </c>
      <c r="H945" s="4"/>
      <c r="I945" s="5"/>
    </row>
    <row r="946" ht="21" customHeight="1">
      <c r="A946" s="3">
        <v>46314</v>
      </c>
      <c r="B946" t="inlineStr" s="4">
        <is>
          <t>星期一</t>
        </is>
      </c>
      <c r="C946" t="inlineStr" s="4">
        <is>
          <t>餐饮</t>
        </is>
      </c>
      <c r="D946" t="inlineStr" s="5">
        <is>
          <t>晚餐</t>
        </is>
      </c>
      <c r="E946" s="6"/>
      <c r="F946" s="6"/>
      <c r="G946" s="6">
        <f>IF(AND(E946="",F946=""),"",F946-E946)</f>
      </c>
      <c r="H946" s="4"/>
      <c r="I946" s="5"/>
    </row>
    <row r="947" ht="21" customHeight="1">
      <c r="A947" s="3">
        <v>46314</v>
      </c>
      <c r="B947" t="inlineStr" s="4">
        <is>
          <t>星期一</t>
        </is>
      </c>
      <c r="C947" t="inlineStr" s="4">
        <is>
          <t>奶茶/咖啡</t>
        </is>
      </c>
      <c r="D947" t="inlineStr" s="5">
        <is>
          <t>奶茶/咖啡</t>
        </is>
      </c>
      <c r="E947" s="6"/>
      <c r="F947" s="6"/>
      <c r="G947" s="6">
        <f>IF(AND(E947="",F947=""),"",F947-E947)</f>
      </c>
      <c r="H947" s="4"/>
      <c r="I947" s="5"/>
    </row>
    <row r="948" ht="21" customHeight="1">
      <c r="A948" s="3">
        <v>46314</v>
      </c>
      <c r="B948" t="inlineStr" s="4">
        <is>
          <t>星期一</t>
        </is>
      </c>
      <c r="C948" t="inlineStr" s="4">
        <is>
          <t>其他</t>
        </is>
      </c>
      <c r="D948" t="inlineStr" s="5">
        <is>
          <t>其他</t>
        </is>
      </c>
      <c r="E948" s="6"/>
      <c r="F948" s="6"/>
      <c r="G948" s="6">
        <f>IF(AND(E948="",F948=""),"",F948-E948)</f>
      </c>
      <c r="H948" s="4"/>
      <c r="I948" s="5"/>
    </row>
    <row r="949" ht="21" customHeight="1">
      <c r="A949" s="3">
        <v>46314</v>
      </c>
      <c r="B949" t="inlineStr" s="4">
        <is>
          <t>星期一</t>
        </is>
      </c>
      <c r="C949" t="inlineStr" s="4">
        <is>
          <t>其他</t>
        </is>
      </c>
      <c r="D949" t="inlineStr" s="5">
        <is>
          <t>其他</t>
        </is>
      </c>
      <c r="E949" s="6"/>
      <c r="F949" s="6"/>
      <c r="G949" s="6">
        <f>IF(AND(E949="",F949=""),"",F949-E949)</f>
      </c>
      <c r="H949" s="4"/>
      <c r="I949" s="5"/>
    </row>
    <row r="950" ht="21" customHeight="1">
      <c r="A950" s="3">
        <v>46315</v>
      </c>
      <c r="B950" t="inlineStr" s="4">
        <is>
          <t>星期二</t>
        </is>
      </c>
      <c r="C950" t="inlineStr" s="4">
        <is>
          <t>餐饮</t>
        </is>
      </c>
      <c r="D950" t="inlineStr" s="5">
        <is>
          <t>早餐</t>
        </is>
      </c>
      <c r="E950" s="6"/>
      <c r="F950" s="6"/>
      <c r="G950" s="6">
        <f>IF(AND(E950="",F950=""),"",F950-E950)</f>
      </c>
      <c r="H950" s="4"/>
      <c r="I950" s="5"/>
    </row>
    <row r="951" ht="21" customHeight="1">
      <c r="A951" s="3">
        <v>46315</v>
      </c>
      <c r="B951" t="inlineStr" s="4">
        <is>
          <t>星期二</t>
        </is>
      </c>
      <c r="C951" t="inlineStr" s="4">
        <is>
          <t>餐饮</t>
        </is>
      </c>
      <c r="D951" t="inlineStr" s="5">
        <is>
          <t>中餐</t>
        </is>
      </c>
      <c r="E951" s="6"/>
      <c r="F951" s="6"/>
      <c r="G951" s="6">
        <f>IF(AND(E951="",F951=""),"",F951-E951)</f>
      </c>
      <c r="H951" s="4"/>
      <c r="I951" s="5"/>
    </row>
    <row r="952" ht="21" customHeight="1">
      <c r="A952" s="3">
        <v>46315</v>
      </c>
      <c r="B952" t="inlineStr" s="4">
        <is>
          <t>星期二</t>
        </is>
      </c>
      <c r="C952" t="inlineStr" s="4">
        <is>
          <t>餐饮</t>
        </is>
      </c>
      <c r="D952" t="inlineStr" s="5">
        <is>
          <t>晚餐</t>
        </is>
      </c>
      <c r="E952" s="6"/>
      <c r="F952" s="6"/>
      <c r="G952" s="6">
        <f>IF(AND(E952="",F952=""),"",F952-E952)</f>
      </c>
      <c r="H952" s="4"/>
      <c r="I952" s="5"/>
    </row>
    <row r="953" ht="21" customHeight="1">
      <c r="A953" s="3">
        <v>46315</v>
      </c>
      <c r="B953" t="inlineStr" s="4">
        <is>
          <t>星期二</t>
        </is>
      </c>
      <c r="C953" t="inlineStr" s="4">
        <is>
          <t>奶茶/咖啡</t>
        </is>
      </c>
      <c r="D953" t="inlineStr" s="5">
        <is>
          <t>奶茶/咖啡</t>
        </is>
      </c>
      <c r="E953" s="6"/>
      <c r="F953" s="6"/>
      <c r="G953" s="6">
        <f>IF(AND(E953="",F953=""),"",F953-E953)</f>
      </c>
      <c r="H953" s="4"/>
      <c r="I953" s="5"/>
    </row>
    <row r="954" ht="21" customHeight="1">
      <c r="A954" s="3">
        <v>46315</v>
      </c>
      <c r="B954" t="inlineStr" s="4">
        <is>
          <t>星期二</t>
        </is>
      </c>
      <c r="C954" t="inlineStr" s="4">
        <is>
          <t>其他</t>
        </is>
      </c>
      <c r="D954" t="inlineStr" s="5">
        <is>
          <t>其他</t>
        </is>
      </c>
      <c r="E954" s="6"/>
      <c r="F954" s="6"/>
      <c r="G954" s="6">
        <f>IF(AND(E954="",F954=""),"",F954-E954)</f>
      </c>
      <c r="H954" s="4"/>
      <c r="I954" s="5"/>
    </row>
    <row r="955" ht="21" customHeight="1">
      <c r="A955" s="3">
        <v>46315</v>
      </c>
      <c r="B955" t="inlineStr" s="4">
        <is>
          <t>星期二</t>
        </is>
      </c>
      <c r="C955" t="inlineStr" s="4">
        <is>
          <t>其他</t>
        </is>
      </c>
      <c r="D955" t="inlineStr" s="5">
        <is>
          <t>其他</t>
        </is>
      </c>
      <c r="E955" s="6"/>
      <c r="F955" s="6"/>
      <c r="G955" s="6">
        <f>IF(AND(E955="",F955=""),"",F955-E955)</f>
      </c>
      <c r="H955" s="4"/>
      <c r="I955" s="5"/>
    </row>
    <row r="956" ht="21" customHeight="1">
      <c r="A956" s="3">
        <v>46316</v>
      </c>
      <c r="B956" t="inlineStr" s="4">
        <is>
          <t>星期三</t>
        </is>
      </c>
      <c r="C956" t="inlineStr" s="4">
        <is>
          <t>餐饮</t>
        </is>
      </c>
      <c r="D956" t="inlineStr" s="5">
        <is>
          <t>早餐</t>
        </is>
      </c>
      <c r="E956" s="6"/>
      <c r="F956" s="6"/>
      <c r="G956" s="6">
        <f>IF(AND(E956="",F956=""),"",F956-E956)</f>
      </c>
      <c r="H956" s="4"/>
      <c r="I956" s="5"/>
    </row>
    <row r="957" ht="21" customHeight="1">
      <c r="A957" s="3">
        <v>46316</v>
      </c>
      <c r="B957" t="inlineStr" s="4">
        <is>
          <t>星期三</t>
        </is>
      </c>
      <c r="C957" t="inlineStr" s="4">
        <is>
          <t>餐饮</t>
        </is>
      </c>
      <c r="D957" t="inlineStr" s="5">
        <is>
          <t>中餐</t>
        </is>
      </c>
      <c r="E957" s="6"/>
      <c r="F957" s="6"/>
      <c r="G957" s="6">
        <f>IF(AND(E957="",F957=""),"",F957-E957)</f>
      </c>
      <c r="H957" s="4"/>
      <c r="I957" s="5"/>
    </row>
    <row r="958" ht="21" customHeight="1">
      <c r="A958" s="3">
        <v>46316</v>
      </c>
      <c r="B958" t="inlineStr" s="4">
        <is>
          <t>星期三</t>
        </is>
      </c>
      <c r="C958" t="inlineStr" s="4">
        <is>
          <t>餐饮</t>
        </is>
      </c>
      <c r="D958" t="inlineStr" s="5">
        <is>
          <t>晚餐</t>
        </is>
      </c>
      <c r="E958" s="6"/>
      <c r="F958" s="6"/>
      <c r="G958" s="6">
        <f>IF(AND(E958="",F958=""),"",F958-E958)</f>
      </c>
      <c r="H958" s="4"/>
      <c r="I958" s="5"/>
    </row>
    <row r="959" ht="21" customHeight="1">
      <c r="A959" s="3">
        <v>46316</v>
      </c>
      <c r="B959" t="inlineStr" s="4">
        <is>
          <t>星期三</t>
        </is>
      </c>
      <c r="C959" t="inlineStr" s="4">
        <is>
          <t>奶茶/咖啡</t>
        </is>
      </c>
      <c r="D959" t="inlineStr" s="5">
        <is>
          <t>奶茶/咖啡</t>
        </is>
      </c>
      <c r="E959" s="6"/>
      <c r="F959" s="6"/>
      <c r="G959" s="6">
        <f>IF(AND(E959="",F959=""),"",F959-E959)</f>
      </c>
      <c r="H959" s="4"/>
      <c r="I959" s="5"/>
    </row>
    <row r="960" ht="21" customHeight="1">
      <c r="A960" s="3">
        <v>46316</v>
      </c>
      <c r="B960" t="inlineStr" s="4">
        <is>
          <t>星期三</t>
        </is>
      </c>
      <c r="C960" t="inlineStr" s="4">
        <is>
          <t>其他</t>
        </is>
      </c>
      <c r="D960" t="inlineStr" s="5">
        <is>
          <t>其他</t>
        </is>
      </c>
      <c r="E960" s="6"/>
      <c r="F960" s="6"/>
      <c r="G960" s="6">
        <f>IF(AND(E960="",F960=""),"",F960-E960)</f>
      </c>
      <c r="H960" s="4"/>
      <c r="I960" s="5"/>
    </row>
    <row r="961" ht="21" customHeight="1">
      <c r="A961" s="3">
        <v>46316</v>
      </c>
      <c r="B961" t="inlineStr" s="4">
        <is>
          <t>星期三</t>
        </is>
      </c>
      <c r="C961" t="inlineStr" s="4">
        <is>
          <t>其他</t>
        </is>
      </c>
      <c r="D961" t="inlineStr" s="5">
        <is>
          <t>其他</t>
        </is>
      </c>
      <c r="E961" s="6"/>
      <c r="F961" s="6"/>
      <c r="G961" s="6">
        <f>IF(AND(E961="",F961=""),"",F961-E961)</f>
      </c>
      <c r="H961" s="4"/>
      <c r="I961" s="5"/>
    </row>
    <row r="962" ht="21" customHeight="1">
      <c r="A962" s="3">
        <v>46317</v>
      </c>
      <c r="B962" t="inlineStr" s="4">
        <is>
          <t>星期四</t>
        </is>
      </c>
      <c r="C962" t="inlineStr" s="4">
        <is>
          <t>餐饮</t>
        </is>
      </c>
      <c r="D962" t="inlineStr" s="5">
        <is>
          <t>早餐</t>
        </is>
      </c>
      <c r="E962" s="6"/>
      <c r="F962" s="6"/>
      <c r="G962" s="6">
        <f>IF(AND(E962="",F962=""),"",F962-E962)</f>
      </c>
      <c r="H962" s="4"/>
      <c r="I962" s="5"/>
    </row>
    <row r="963" ht="21" customHeight="1">
      <c r="A963" s="3">
        <v>46317</v>
      </c>
      <c r="B963" t="inlineStr" s="4">
        <is>
          <t>星期四</t>
        </is>
      </c>
      <c r="C963" t="inlineStr" s="4">
        <is>
          <t>餐饮</t>
        </is>
      </c>
      <c r="D963" t="inlineStr" s="5">
        <is>
          <t>中餐</t>
        </is>
      </c>
      <c r="E963" s="6"/>
      <c r="F963" s="6"/>
      <c r="G963" s="6">
        <f>IF(AND(E963="",F963=""),"",F963-E963)</f>
      </c>
      <c r="H963" s="4"/>
      <c r="I963" s="5"/>
    </row>
    <row r="964" ht="21" customHeight="1">
      <c r="A964" s="3">
        <v>46317</v>
      </c>
      <c r="B964" t="inlineStr" s="4">
        <is>
          <t>星期四</t>
        </is>
      </c>
      <c r="C964" t="inlineStr" s="4">
        <is>
          <t>餐饮</t>
        </is>
      </c>
      <c r="D964" t="inlineStr" s="5">
        <is>
          <t>晚餐</t>
        </is>
      </c>
      <c r="E964" s="6"/>
      <c r="F964" s="6"/>
      <c r="G964" s="6">
        <f>IF(AND(E964="",F964=""),"",F964-E964)</f>
      </c>
      <c r="H964" s="4"/>
      <c r="I964" s="5"/>
    </row>
    <row r="965" ht="21" customHeight="1">
      <c r="A965" s="3">
        <v>46317</v>
      </c>
      <c r="B965" t="inlineStr" s="4">
        <is>
          <t>星期四</t>
        </is>
      </c>
      <c r="C965" t="inlineStr" s="4">
        <is>
          <t>奶茶/咖啡</t>
        </is>
      </c>
      <c r="D965" t="inlineStr" s="5">
        <is>
          <t>奶茶/咖啡</t>
        </is>
      </c>
      <c r="E965" s="6"/>
      <c r="F965" s="6"/>
      <c r="G965" s="6">
        <f>IF(AND(E965="",F965=""),"",F965-E965)</f>
      </c>
      <c r="H965" s="4"/>
      <c r="I965" s="5"/>
    </row>
    <row r="966" ht="21" customHeight="1">
      <c r="A966" s="3">
        <v>46317</v>
      </c>
      <c r="B966" t="inlineStr" s="4">
        <is>
          <t>星期四</t>
        </is>
      </c>
      <c r="C966" t="inlineStr" s="4">
        <is>
          <t>其他</t>
        </is>
      </c>
      <c r="D966" t="inlineStr" s="5">
        <is>
          <t>其他</t>
        </is>
      </c>
      <c r="E966" s="6"/>
      <c r="F966" s="6"/>
      <c r="G966" s="6">
        <f>IF(AND(E966="",F966=""),"",F966-E966)</f>
      </c>
      <c r="H966" s="4"/>
      <c r="I966" s="5"/>
    </row>
    <row r="967" ht="21" customHeight="1">
      <c r="A967" s="3">
        <v>46317</v>
      </c>
      <c r="B967" t="inlineStr" s="4">
        <is>
          <t>星期四</t>
        </is>
      </c>
      <c r="C967" t="inlineStr" s="4">
        <is>
          <t>其他</t>
        </is>
      </c>
      <c r="D967" t="inlineStr" s="5">
        <is>
          <t>其他</t>
        </is>
      </c>
      <c r="E967" s="6"/>
      <c r="F967" s="6"/>
      <c r="G967" s="6">
        <f>IF(AND(E967="",F967=""),"",F967-E967)</f>
      </c>
      <c r="H967" s="4"/>
      <c r="I967" s="5"/>
    </row>
    <row r="968" ht="21" customHeight="1">
      <c r="A968" s="3">
        <v>46318</v>
      </c>
      <c r="B968" t="inlineStr" s="4">
        <is>
          <t>星期五</t>
        </is>
      </c>
      <c r="C968" t="inlineStr" s="4">
        <is>
          <t>餐饮</t>
        </is>
      </c>
      <c r="D968" t="inlineStr" s="5">
        <is>
          <t>早餐</t>
        </is>
      </c>
      <c r="E968" s="6"/>
      <c r="F968" s="6"/>
      <c r="G968" s="6">
        <f>IF(AND(E968="",F968=""),"",F968-E968)</f>
      </c>
      <c r="H968" s="4"/>
      <c r="I968" s="5"/>
    </row>
    <row r="969" ht="21" customHeight="1">
      <c r="A969" s="3">
        <v>46318</v>
      </c>
      <c r="B969" t="inlineStr" s="4">
        <is>
          <t>星期五</t>
        </is>
      </c>
      <c r="C969" t="inlineStr" s="4">
        <is>
          <t>餐饮</t>
        </is>
      </c>
      <c r="D969" t="inlineStr" s="5">
        <is>
          <t>中餐</t>
        </is>
      </c>
      <c r="E969" s="6"/>
      <c r="F969" s="6"/>
      <c r="G969" s="6">
        <f>IF(AND(E969="",F969=""),"",F969-E969)</f>
      </c>
      <c r="H969" s="4"/>
      <c r="I969" s="5"/>
    </row>
    <row r="970" ht="21" customHeight="1">
      <c r="A970" s="3">
        <v>46318</v>
      </c>
      <c r="B970" t="inlineStr" s="4">
        <is>
          <t>星期五</t>
        </is>
      </c>
      <c r="C970" t="inlineStr" s="4">
        <is>
          <t>餐饮</t>
        </is>
      </c>
      <c r="D970" t="inlineStr" s="5">
        <is>
          <t>晚餐</t>
        </is>
      </c>
      <c r="E970" s="6"/>
      <c r="F970" s="6"/>
      <c r="G970" s="6">
        <f>IF(AND(E970="",F970=""),"",F970-E970)</f>
      </c>
      <c r="H970" s="4"/>
      <c r="I970" s="5"/>
    </row>
    <row r="971" ht="21" customHeight="1">
      <c r="A971" s="3">
        <v>46318</v>
      </c>
      <c r="B971" t="inlineStr" s="4">
        <is>
          <t>星期五</t>
        </is>
      </c>
      <c r="C971" t="inlineStr" s="4">
        <is>
          <t>奶茶/咖啡</t>
        </is>
      </c>
      <c r="D971" t="inlineStr" s="5">
        <is>
          <t>奶茶/咖啡</t>
        </is>
      </c>
      <c r="E971" s="6"/>
      <c r="F971" s="6"/>
      <c r="G971" s="6">
        <f>IF(AND(E971="",F971=""),"",F971-E971)</f>
      </c>
      <c r="H971" s="4"/>
      <c r="I971" s="5"/>
    </row>
    <row r="972" ht="21" customHeight="1">
      <c r="A972" s="3">
        <v>46318</v>
      </c>
      <c r="B972" t="inlineStr" s="4">
        <is>
          <t>星期五</t>
        </is>
      </c>
      <c r="C972" t="inlineStr" s="4">
        <is>
          <t>其他</t>
        </is>
      </c>
      <c r="D972" t="inlineStr" s="5">
        <is>
          <t>其他</t>
        </is>
      </c>
      <c r="E972" s="6"/>
      <c r="F972" s="6"/>
      <c r="G972" s="6">
        <f>IF(AND(E972="",F972=""),"",F972-E972)</f>
      </c>
      <c r="H972" s="4"/>
      <c r="I972" s="5"/>
    </row>
    <row r="973" ht="21" customHeight="1">
      <c r="A973" s="3">
        <v>46318</v>
      </c>
      <c r="B973" t="inlineStr" s="4">
        <is>
          <t>星期五</t>
        </is>
      </c>
      <c r="C973" t="inlineStr" s="4">
        <is>
          <t>其他</t>
        </is>
      </c>
      <c r="D973" t="inlineStr" s="5">
        <is>
          <t>其他</t>
        </is>
      </c>
      <c r="E973" s="6"/>
      <c r="F973" s="6"/>
      <c r="G973" s="6">
        <f>IF(AND(E973="",F973=""),"",F973-E973)</f>
      </c>
      <c r="H973" s="4"/>
      <c r="I973" s="5"/>
    </row>
    <row r="974" ht="21" customHeight="1">
      <c r="A974" s="3">
        <v>46319</v>
      </c>
      <c r="B974" t="inlineStr" s="4">
        <is>
          <t>星期六</t>
        </is>
      </c>
      <c r="C974" t="inlineStr" s="4">
        <is>
          <t>餐饮</t>
        </is>
      </c>
      <c r="D974" t="inlineStr" s="5">
        <is>
          <t>早餐</t>
        </is>
      </c>
      <c r="E974" s="6"/>
      <c r="F974" s="6"/>
      <c r="G974" s="6">
        <f>IF(AND(E974="",F974=""),"",F974-E974)</f>
      </c>
      <c r="H974" s="4"/>
      <c r="I974" s="5"/>
    </row>
    <row r="975" ht="21" customHeight="1">
      <c r="A975" s="3">
        <v>46319</v>
      </c>
      <c r="B975" t="inlineStr" s="4">
        <is>
          <t>星期六</t>
        </is>
      </c>
      <c r="C975" t="inlineStr" s="4">
        <is>
          <t>餐饮</t>
        </is>
      </c>
      <c r="D975" t="inlineStr" s="5">
        <is>
          <t>中餐</t>
        </is>
      </c>
      <c r="E975" s="6"/>
      <c r="F975" s="6"/>
      <c r="G975" s="6">
        <f>IF(AND(E975="",F975=""),"",F975-E975)</f>
      </c>
      <c r="H975" s="4"/>
      <c r="I975" s="5"/>
    </row>
    <row r="976" ht="21" customHeight="1">
      <c r="A976" s="3">
        <v>46319</v>
      </c>
      <c r="B976" t="inlineStr" s="4">
        <is>
          <t>星期六</t>
        </is>
      </c>
      <c r="C976" t="inlineStr" s="4">
        <is>
          <t>餐饮</t>
        </is>
      </c>
      <c r="D976" t="inlineStr" s="5">
        <is>
          <t>晚餐</t>
        </is>
      </c>
      <c r="E976" s="6"/>
      <c r="F976" s="6"/>
      <c r="G976" s="6">
        <f>IF(AND(E976="",F976=""),"",F976-E976)</f>
      </c>
      <c r="H976" s="4"/>
      <c r="I976" s="5"/>
    </row>
    <row r="977" ht="21" customHeight="1">
      <c r="A977" s="3">
        <v>46319</v>
      </c>
      <c r="B977" t="inlineStr" s="4">
        <is>
          <t>星期六</t>
        </is>
      </c>
      <c r="C977" t="inlineStr" s="4">
        <is>
          <t>奶茶/咖啡</t>
        </is>
      </c>
      <c r="D977" t="inlineStr" s="5">
        <is>
          <t>奶茶/咖啡</t>
        </is>
      </c>
      <c r="E977" s="6"/>
      <c r="F977" s="6"/>
      <c r="G977" s="6">
        <f>IF(AND(E977="",F977=""),"",F977-E977)</f>
      </c>
      <c r="H977" s="4"/>
      <c r="I977" s="5"/>
    </row>
    <row r="978" ht="21" customHeight="1">
      <c r="A978" s="3">
        <v>46319</v>
      </c>
      <c r="B978" t="inlineStr" s="4">
        <is>
          <t>星期六</t>
        </is>
      </c>
      <c r="C978" t="inlineStr" s="4">
        <is>
          <t>其他</t>
        </is>
      </c>
      <c r="D978" t="inlineStr" s="5">
        <is>
          <t>其他</t>
        </is>
      </c>
      <c r="E978" s="6"/>
      <c r="F978" s="6"/>
      <c r="G978" s="6">
        <f>IF(AND(E978="",F978=""),"",F978-E978)</f>
      </c>
      <c r="H978" s="4"/>
      <c r="I978" s="5"/>
    </row>
    <row r="979" ht="21" customHeight="1">
      <c r="A979" s="3">
        <v>46319</v>
      </c>
      <c r="B979" t="inlineStr" s="4">
        <is>
          <t>星期六</t>
        </is>
      </c>
      <c r="C979" t="inlineStr" s="4">
        <is>
          <t>其他</t>
        </is>
      </c>
      <c r="D979" t="inlineStr" s="5">
        <is>
          <t>其他</t>
        </is>
      </c>
      <c r="E979" s="6"/>
      <c r="F979" s="6"/>
      <c r="G979" s="6">
        <f>IF(AND(E979="",F979=""),"",F979-E979)</f>
      </c>
      <c r="H979" s="4"/>
      <c r="I979" s="5"/>
    </row>
    <row r="980" ht="21" customHeight="1">
      <c r="A980" s="3">
        <v>46320</v>
      </c>
      <c r="B980" t="inlineStr" s="4">
        <is>
          <t>星期日</t>
        </is>
      </c>
      <c r="C980" t="inlineStr" s="4">
        <is>
          <t>餐饮</t>
        </is>
      </c>
      <c r="D980" t="inlineStr" s="5">
        <is>
          <t>早餐</t>
        </is>
      </c>
      <c r="E980" s="6"/>
      <c r="F980" s="6"/>
      <c r="G980" s="6">
        <f>IF(AND(E980="",F980=""),"",F980-E980)</f>
      </c>
      <c r="H980" s="4"/>
      <c r="I980" s="5"/>
    </row>
    <row r="981" ht="21" customHeight="1">
      <c r="A981" s="3">
        <v>46320</v>
      </c>
      <c r="B981" t="inlineStr" s="4">
        <is>
          <t>星期日</t>
        </is>
      </c>
      <c r="C981" t="inlineStr" s="4">
        <is>
          <t>餐饮</t>
        </is>
      </c>
      <c r="D981" t="inlineStr" s="5">
        <is>
          <t>中餐</t>
        </is>
      </c>
      <c r="E981" s="6"/>
      <c r="F981" s="6"/>
      <c r="G981" s="6">
        <f>IF(AND(E981="",F981=""),"",F981-E981)</f>
      </c>
      <c r="H981" s="4"/>
      <c r="I981" s="5"/>
    </row>
    <row r="982" ht="21" customHeight="1">
      <c r="A982" s="3">
        <v>46320</v>
      </c>
      <c r="B982" t="inlineStr" s="4">
        <is>
          <t>星期日</t>
        </is>
      </c>
      <c r="C982" t="inlineStr" s="4">
        <is>
          <t>餐饮</t>
        </is>
      </c>
      <c r="D982" t="inlineStr" s="5">
        <is>
          <t>晚餐</t>
        </is>
      </c>
      <c r="E982" s="6"/>
      <c r="F982" s="6"/>
      <c r="G982" s="6">
        <f>IF(AND(E982="",F982=""),"",F982-E982)</f>
      </c>
      <c r="H982" s="4"/>
      <c r="I982" s="5"/>
    </row>
    <row r="983" ht="21" customHeight="1">
      <c r="A983" s="3">
        <v>46320</v>
      </c>
      <c r="B983" t="inlineStr" s="4">
        <is>
          <t>星期日</t>
        </is>
      </c>
      <c r="C983" t="inlineStr" s="4">
        <is>
          <t>奶茶/咖啡</t>
        </is>
      </c>
      <c r="D983" t="inlineStr" s="5">
        <is>
          <t>奶茶/咖啡</t>
        </is>
      </c>
      <c r="E983" s="6"/>
      <c r="F983" s="6"/>
      <c r="G983" s="6">
        <f>IF(AND(E983="",F983=""),"",F983-E983)</f>
      </c>
      <c r="H983" s="4"/>
      <c r="I983" s="5"/>
    </row>
    <row r="984" ht="21" customHeight="1">
      <c r="A984" s="3">
        <v>46320</v>
      </c>
      <c r="B984" t="inlineStr" s="4">
        <is>
          <t>星期日</t>
        </is>
      </c>
      <c r="C984" t="inlineStr" s="4">
        <is>
          <t>其他</t>
        </is>
      </c>
      <c r="D984" t="inlineStr" s="5">
        <is>
          <t>其他</t>
        </is>
      </c>
      <c r="E984" s="6"/>
      <c r="F984" s="6"/>
      <c r="G984" s="6">
        <f>IF(AND(E984="",F984=""),"",F984-E984)</f>
      </c>
      <c r="H984" s="4"/>
      <c r="I984" s="5"/>
    </row>
    <row r="985" ht="21" customHeight="1">
      <c r="A985" s="3">
        <v>46320</v>
      </c>
      <c r="B985" t="inlineStr" s="4">
        <is>
          <t>星期日</t>
        </is>
      </c>
      <c r="C985" t="inlineStr" s="4">
        <is>
          <t>其他</t>
        </is>
      </c>
      <c r="D985" t="inlineStr" s="5">
        <is>
          <t>其他</t>
        </is>
      </c>
      <c r="E985" s="6"/>
      <c r="F985" s="6"/>
      <c r="G985" s="6">
        <f>IF(AND(E985="",F985=""),"",F985-E985)</f>
      </c>
      <c r="H985" s="4"/>
      <c r="I985" s="5"/>
    </row>
    <row r="986" ht="23" customHeight="1">
      <c r="A986" t="inlineStr" s="7">
        <is>
          <t>本周小计</t>
        </is>
      </c>
      <c r="B986" s="7"/>
      <c r="C986" s="7"/>
      <c r="D986" s="7"/>
      <c r="E986" s="8">
        <f>SUM(E944:E985)</f>
      </c>
      <c r="F986" s="8">
        <f>SUM(F944:F985)</f>
      </c>
      <c r="G986" s="8">
        <f>SUM(G944:G985)</f>
      </c>
      <c r="H986" s="7"/>
      <c r="I986" s="7"/>
    </row>
    <row r="987" ht="18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8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26" customHeight="1">
      <c r="A989" t="inlineStr" s="2">
        <is>
          <t>2026年10月-11月｜第四周（10月26日 - 11月1日）</t>
        </is>
      </c>
      <c r="B989" s="2"/>
      <c r="C989" s="2"/>
      <c r="D989" s="2"/>
      <c r="E989" s="2"/>
      <c r="F989" s="2"/>
      <c r="G989" s="2"/>
      <c r="H989" s="2"/>
      <c r="I989" s="2"/>
    </row>
    <row r="990" ht="22" customHeight="1">
      <c r="A990" t="inlineStr" s="1">
        <is>
          <t>日期</t>
        </is>
      </c>
      <c r="B990" t="inlineStr" s="1">
        <is>
          <t>星期</t>
        </is>
      </c>
      <c r="C990" t="inlineStr" s="1">
        <is>
          <t>分类</t>
        </is>
      </c>
      <c r="D990" t="inlineStr" s="1">
        <is>
          <t>事项</t>
        </is>
      </c>
      <c r="E990" t="inlineStr" s="1">
        <is>
          <t>支出金额</t>
        </is>
      </c>
      <c r="F990" t="inlineStr" s="1">
        <is>
          <t>收入金额</t>
        </is>
      </c>
      <c r="G990" t="inlineStr" s="1">
        <is>
          <t>当笔净额</t>
        </is>
      </c>
      <c r="H990" t="inlineStr" s="1">
        <is>
          <t>支付方式</t>
        </is>
      </c>
      <c r="I990" t="inlineStr" s="1">
        <is>
          <t>备注</t>
        </is>
      </c>
    </row>
    <row r="991" ht="21" customHeight="1">
      <c r="A991" s="3">
        <v>46321</v>
      </c>
      <c r="B991" t="inlineStr" s="4">
        <is>
          <t>星期一</t>
        </is>
      </c>
      <c r="C991" t="inlineStr" s="4">
        <is>
          <t>餐饮</t>
        </is>
      </c>
      <c r="D991" t="inlineStr" s="5">
        <is>
          <t>早餐</t>
        </is>
      </c>
      <c r="E991" s="6"/>
      <c r="F991" s="6"/>
      <c r="G991" s="6">
        <f>IF(AND(E991="",F991=""),"",F991-E991)</f>
      </c>
      <c r="H991" s="4"/>
      <c r="I991" s="5"/>
    </row>
    <row r="992" ht="21" customHeight="1">
      <c r="A992" s="3">
        <v>46321</v>
      </c>
      <c r="B992" t="inlineStr" s="4">
        <is>
          <t>星期一</t>
        </is>
      </c>
      <c r="C992" t="inlineStr" s="4">
        <is>
          <t>餐饮</t>
        </is>
      </c>
      <c r="D992" t="inlineStr" s="5">
        <is>
          <t>中餐</t>
        </is>
      </c>
      <c r="E992" s="6"/>
      <c r="F992" s="6"/>
      <c r="G992" s="6">
        <f>IF(AND(E992="",F992=""),"",F992-E992)</f>
      </c>
      <c r="H992" s="4"/>
      <c r="I992" s="5"/>
    </row>
    <row r="993" ht="21" customHeight="1">
      <c r="A993" s="3">
        <v>46321</v>
      </c>
      <c r="B993" t="inlineStr" s="4">
        <is>
          <t>星期一</t>
        </is>
      </c>
      <c r="C993" t="inlineStr" s="4">
        <is>
          <t>餐饮</t>
        </is>
      </c>
      <c r="D993" t="inlineStr" s="5">
        <is>
          <t>晚餐</t>
        </is>
      </c>
      <c r="E993" s="6"/>
      <c r="F993" s="6"/>
      <c r="G993" s="6">
        <f>IF(AND(E993="",F993=""),"",F993-E993)</f>
      </c>
      <c r="H993" s="4"/>
      <c r="I993" s="5"/>
    </row>
    <row r="994" ht="21" customHeight="1">
      <c r="A994" s="3">
        <v>46321</v>
      </c>
      <c r="B994" t="inlineStr" s="4">
        <is>
          <t>星期一</t>
        </is>
      </c>
      <c r="C994" t="inlineStr" s="4">
        <is>
          <t>奶茶/咖啡</t>
        </is>
      </c>
      <c r="D994" t="inlineStr" s="5">
        <is>
          <t>奶茶/咖啡</t>
        </is>
      </c>
      <c r="E994" s="6"/>
      <c r="F994" s="6"/>
      <c r="G994" s="6">
        <f>IF(AND(E994="",F994=""),"",F994-E994)</f>
      </c>
      <c r="H994" s="4"/>
      <c r="I994" s="5"/>
    </row>
    <row r="995" ht="21" customHeight="1">
      <c r="A995" s="3">
        <v>46321</v>
      </c>
      <c r="B995" t="inlineStr" s="4">
        <is>
          <t>星期一</t>
        </is>
      </c>
      <c r="C995" t="inlineStr" s="4">
        <is>
          <t>其他</t>
        </is>
      </c>
      <c r="D995" t="inlineStr" s="5">
        <is>
          <t>其他</t>
        </is>
      </c>
      <c r="E995" s="6"/>
      <c r="F995" s="6"/>
      <c r="G995" s="6">
        <f>IF(AND(E995="",F995=""),"",F995-E995)</f>
      </c>
      <c r="H995" s="4"/>
      <c r="I995" s="5"/>
    </row>
    <row r="996" ht="21" customHeight="1">
      <c r="A996" s="3">
        <v>46321</v>
      </c>
      <c r="B996" t="inlineStr" s="4">
        <is>
          <t>星期一</t>
        </is>
      </c>
      <c r="C996" t="inlineStr" s="4">
        <is>
          <t>其他</t>
        </is>
      </c>
      <c r="D996" t="inlineStr" s="5">
        <is>
          <t>其他</t>
        </is>
      </c>
      <c r="E996" s="6"/>
      <c r="F996" s="6"/>
      <c r="G996" s="6">
        <f>IF(AND(E996="",F996=""),"",F996-E996)</f>
      </c>
      <c r="H996" s="4"/>
      <c r="I996" s="5"/>
    </row>
    <row r="997" ht="21" customHeight="1">
      <c r="A997" s="3">
        <v>46322</v>
      </c>
      <c r="B997" t="inlineStr" s="4">
        <is>
          <t>星期二</t>
        </is>
      </c>
      <c r="C997" t="inlineStr" s="4">
        <is>
          <t>餐饮</t>
        </is>
      </c>
      <c r="D997" t="inlineStr" s="5">
        <is>
          <t>早餐</t>
        </is>
      </c>
      <c r="E997" s="6"/>
      <c r="F997" s="6"/>
      <c r="G997" s="6">
        <f>IF(AND(E997="",F997=""),"",F997-E997)</f>
      </c>
      <c r="H997" s="4"/>
      <c r="I997" s="5"/>
    </row>
    <row r="998" ht="21" customHeight="1">
      <c r="A998" s="3">
        <v>46322</v>
      </c>
      <c r="B998" t="inlineStr" s="4">
        <is>
          <t>星期二</t>
        </is>
      </c>
      <c r="C998" t="inlineStr" s="4">
        <is>
          <t>餐饮</t>
        </is>
      </c>
      <c r="D998" t="inlineStr" s="5">
        <is>
          <t>中餐</t>
        </is>
      </c>
      <c r="E998" s="6"/>
      <c r="F998" s="6"/>
      <c r="G998" s="6">
        <f>IF(AND(E998="",F998=""),"",F998-E998)</f>
      </c>
      <c r="H998" s="4"/>
      <c r="I998" s="5"/>
    </row>
    <row r="999" ht="21" customHeight="1">
      <c r="A999" s="3">
        <v>46322</v>
      </c>
      <c r="B999" t="inlineStr" s="4">
        <is>
          <t>星期二</t>
        </is>
      </c>
      <c r="C999" t="inlineStr" s="4">
        <is>
          <t>餐饮</t>
        </is>
      </c>
      <c r="D999" t="inlineStr" s="5">
        <is>
          <t>晚餐</t>
        </is>
      </c>
      <c r="E999" s="6"/>
      <c r="F999" s="6"/>
      <c r="G999" s="6">
        <f>IF(AND(E999="",F999=""),"",F999-E999)</f>
      </c>
      <c r="H999" s="4"/>
      <c r="I999" s="5"/>
    </row>
    <row r="1000" ht="21" customHeight="1">
      <c r="A1000" s="3">
        <v>46322</v>
      </c>
      <c r="B1000" t="inlineStr" s="4">
        <is>
          <t>星期二</t>
        </is>
      </c>
      <c r="C1000" t="inlineStr" s="4">
        <is>
          <t>奶茶/咖啡</t>
        </is>
      </c>
      <c r="D1000" t="inlineStr" s="5">
        <is>
          <t>奶茶/咖啡</t>
        </is>
      </c>
      <c r="E1000" s="6"/>
      <c r="F1000" s="6"/>
      <c r="G1000" s="6">
        <f>IF(AND(E1000="",F1000=""),"",F1000-E1000)</f>
      </c>
      <c r="H1000" s="4"/>
      <c r="I1000" s="5"/>
    </row>
    <row r="1001" ht="21" customHeight="1">
      <c r="A1001" s="3">
        <v>46322</v>
      </c>
      <c r="B1001" t="inlineStr" s="4">
        <is>
          <t>星期二</t>
        </is>
      </c>
      <c r="C1001" t="inlineStr" s="4">
        <is>
          <t>其他</t>
        </is>
      </c>
      <c r="D1001" t="inlineStr" s="5">
        <is>
          <t>其他</t>
        </is>
      </c>
      <c r="E1001" s="6"/>
      <c r="F1001" s="6"/>
      <c r="G1001" s="6">
        <f>IF(AND(E1001="",F1001=""),"",F1001-E1001)</f>
      </c>
      <c r="H1001" s="4"/>
      <c r="I1001" s="5"/>
    </row>
    <row r="1002" ht="21" customHeight="1">
      <c r="A1002" s="3">
        <v>46322</v>
      </c>
      <c r="B1002" t="inlineStr" s="4">
        <is>
          <t>星期二</t>
        </is>
      </c>
      <c r="C1002" t="inlineStr" s="4">
        <is>
          <t>其他</t>
        </is>
      </c>
      <c r="D1002" t="inlineStr" s="5">
        <is>
          <t>其他</t>
        </is>
      </c>
      <c r="E1002" s="6"/>
      <c r="F1002" s="6"/>
      <c r="G1002" s="6">
        <f>IF(AND(E1002="",F1002=""),"",F1002-E1002)</f>
      </c>
      <c r="H1002" s="4"/>
      <c r="I1002" s="5"/>
    </row>
    <row r="1003" ht="21" customHeight="1">
      <c r="A1003" s="3">
        <v>46323</v>
      </c>
      <c r="B1003" t="inlineStr" s="4">
        <is>
          <t>星期三</t>
        </is>
      </c>
      <c r="C1003" t="inlineStr" s="4">
        <is>
          <t>餐饮</t>
        </is>
      </c>
      <c r="D1003" t="inlineStr" s="5">
        <is>
          <t>早餐</t>
        </is>
      </c>
      <c r="E1003" s="6"/>
      <c r="F1003" s="6"/>
      <c r="G1003" s="6">
        <f>IF(AND(E1003="",F1003=""),"",F1003-E1003)</f>
      </c>
      <c r="H1003" s="4"/>
      <c r="I1003" s="5"/>
    </row>
    <row r="1004" ht="21" customHeight="1">
      <c r="A1004" s="3">
        <v>46323</v>
      </c>
      <c r="B1004" t="inlineStr" s="4">
        <is>
          <t>星期三</t>
        </is>
      </c>
      <c r="C1004" t="inlineStr" s="4">
        <is>
          <t>餐饮</t>
        </is>
      </c>
      <c r="D1004" t="inlineStr" s="5">
        <is>
          <t>中餐</t>
        </is>
      </c>
      <c r="E1004" s="6"/>
      <c r="F1004" s="6"/>
      <c r="G1004" s="6">
        <f>IF(AND(E1004="",F1004=""),"",F1004-E1004)</f>
      </c>
      <c r="H1004" s="4"/>
      <c r="I1004" s="5"/>
    </row>
    <row r="1005" ht="21" customHeight="1">
      <c r="A1005" s="3">
        <v>46323</v>
      </c>
      <c r="B1005" t="inlineStr" s="4">
        <is>
          <t>星期三</t>
        </is>
      </c>
      <c r="C1005" t="inlineStr" s="4">
        <is>
          <t>餐饮</t>
        </is>
      </c>
      <c r="D1005" t="inlineStr" s="5">
        <is>
          <t>晚餐</t>
        </is>
      </c>
      <c r="E1005" s="6"/>
      <c r="F1005" s="6"/>
      <c r="G1005" s="6">
        <f>IF(AND(E1005="",F1005=""),"",F1005-E1005)</f>
      </c>
      <c r="H1005" s="4"/>
      <c r="I1005" s="5"/>
    </row>
    <row r="1006" ht="21" customHeight="1">
      <c r="A1006" s="3">
        <v>46323</v>
      </c>
      <c r="B1006" t="inlineStr" s="4">
        <is>
          <t>星期三</t>
        </is>
      </c>
      <c r="C1006" t="inlineStr" s="4">
        <is>
          <t>奶茶/咖啡</t>
        </is>
      </c>
      <c r="D1006" t="inlineStr" s="5">
        <is>
          <t>奶茶/咖啡</t>
        </is>
      </c>
      <c r="E1006" s="6"/>
      <c r="F1006" s="6"/>
      <c r="G1006" s="6">
        <f>IF(AND(E1006="",F1006=""),"",F1006-E1006)</f>
      </c>
      <c r="H1006" s="4"/>
      <c r="I1006" s="5"/>
    </row>
    <row r="1007" ht="21" customHeight="1">
      <c r="A1007" s="3">
        <v>46323</v>
      </c>
      <c r="B1007" t="inlineStr" s="4">
        <is>
          <t>星期三</t>
        </is>
      </c>
      <c r="C1007" t="inlineStr" s="4">
        <is>
          <t>其他</t>
        </is>
      </c>
      <c r="D1007" t="inlineStr" s="5">
        <is>
          <t>其他</t>
        </is>
      </c>
      <c r="E1007" s="6"/>
      <c r="F1007" s="6"/>
      <c r="G1007" s="6">
        <f>IF(AND(E1007="",F1007=""),"",F1007-E1007)</f>
      </c>
      <c r="H1007" s="4"/>
      <c r="I1007" s="5"/>
    </row>
    <row r="1008" ht="21" customHeight="1">
      <c r="A1008" s="3">
        <v>46323</v>
      </c>
      <c r="B1008" t="inlineStr" s="4">
        <is>
          <t>星期三</t>
        </is>
      </c>
      <c r="C1008" t="inlineStr" s="4">
        <is>
          <t>其他</t>
        </is>
      </c>
      <c r="D1008" t="inlineStr" s="5">
        <is>
          <t>其他</t>
        </is>
      </c>
      <c r="E1008" s="6"/>
      <c r="F1008" s="6"/>
      <c r="G1008" s="6">
        <f>IF(AND(E1008="",F1008=""),"",F1008-E1008)</f>
      </c>
      <c r="H1008" s="4"/>
      <c r="I1008" s="5"/>
    </row>
    <row r="1009" ht="21" customHeight="1">
      <c r="A1009" s="3">
        <v>46324</v>
      </c>
      <c r="B1009" t="inlineStr" s="4">
        <is>
          <t>星期四</t>
        </is>
      </c>
      <c r="C1009" t="inlineStr" s="4">
        <is>
          <t>餐饮</t>
        </is>
      </c>
      <c r="D1009" t="inlineStr" s="5">
        <is>
          <t>早餐</t>
        </is>
      </c>
      <c r="E1009" s="6"/>
      <c r="F1009" s="6"/>
      <c r="G1009" s="6">
        <f>IF(AND(E1009="",F1009=""),"",F1009-E1009)</f>
      </c>
      <c r="H1009" s="4"/>
      <c r="I1009" s="5"/>
    </row>
    <row r="1010" ht="21" customHeight="1">
      <c r="A1010" s="3">
        <v>46324</v>
      </c>
      <c r="B1010" t="inlineStr" s="4">
        <is>
          <t>星期四</t>
        </is>
      </c>
      <c r="C1010" t="inlineStr" s="4">
        <is>
          <t>餐饮</t>
        </is>
      </c>
      <c r="D1010" t="inlineStr" s="5">
        <is>
          <t>中餐</t>
        </is>
      </c>
      <c r="E1010" s="6"/>
      <c r="F1010" s="6"/>
      <c r="G1010" s="6">
        <f>IF(AND(E1010="",F1010=""),"",F1010-E1010)</f>
      </c>
      <c r="H1010" s="4"/>
      <c r="I1010" s="5"/>
    </row>
    <row r="1011" ht="21" customHeight="1">
      <c r="A1011" s="3">
        <v>46324</v>
      </c>
      <c r="B1011" t="inlineStr" s="4">
        <is>
          <t>星期四</t>
        </is>
      </c>
      <c r="C1011" t="inlineStr" s="4">
        <is>
          <t>餐饮</t>
        </is>
      </c>
      <c r="D1011" t="inlineStr" s="5">
        <is>
          <t>晚餐</t>
        </is>
      </c>
      <c r="E1011" s="6"/>
      <c r="F1011" s="6"/>
      <c r="G1011" s="6">
        <f>IF(AND(E1011="",F1011=""),"",F1011-E1011)</f>
      </c>
      <c r="H1011" s="4"/>
      <c r="I1011" s="5"/>
    </row>
    <row r="1012" ht="21" customHeight="1">
      <c r="A1012" s="3">
        <v>46324</v>
      </c>
      <c r="B1012" t="inlineStr" s="4">
        <is>
          <t>星期四</t>
        </is>
      </c>
      <c r="C1012" t="inlineStr" s="4">
        <is>
          <t>奶茶/咖啡</t>
        </is>
      </c>
      <c r="D1012" t="inlineStr" s="5">
        <is>
          <t>奶茶/咖啡</t>
        </is>
      </c>
      <c r="E1012" s="6"/>
      <c r="F1012" s="6"/>
      <c r="G1012" s="6">
        <f>IF(AND(E1012="",F1012=""),"",F1012-E1012)</f>
      </c>
      <c r="H1012" s="4"/>
      <c r="I1012" s="5"/>
    </row>
    <row r="1013" ht="21" customHeight="1">
      <c r="A1013" s="3">
        <v>46324</v>
      </c>
      <c r="B1013" t="inlineStr" s="4">
        <is>
          <t>星期四</t>
        </is>
      </c>
      <c r="C1013" t="inlineStr" s="4">
        <is>
          <t>其他</t>
        </is>
      </c>
      <c r="D1013" t="inlineStr" s="5">
        <is>
          <t>其他</t>
        </is>
      </c>
      <c r="E1013" s="6"/>
      <c r="F1013" s="6"/>
      <c r="G1013" s="6">
        <f>IF(AND(E1013="",F1013=""),"",F1013-E1013)</f>
      </c>
      <c r="H1013" s="4"/>
      <c r="I1013" s="5"/>
    </row>
    <row r="1014" ht="21" customHeight="1">
      <c r="A1014" s="3">
        <v>46324</v>
      </c>
      <c r="B1014" t="inlineStr" s="4">
        <is>
          <t>星期四</t>
        </is>
      </c>
      <c r="C1014" t="inlineStr" s="4">
        <is>
          <t>其他</t>
        </is>
      </c>
      <c r="D1014" t="inlineStr" s="5">
        <is>
          <t>其他</t>
        </is>
      </c>
      <c r="E1014" s="6"/>
      <c r="F1014" s="6"/>
      <c r="G1014" s="6">
        <f>IF(AND(E1014="",F1014=""),"",F1014-E1014)</f>
      </c>
      <c r="H1014" s="4"/>
      <c r="I1014" s="5"/>
    </row>
    <row r="1015" ht="21" customHeight="1">
      <c r="A1015" s="3">
        <v>46325</v>
      </c>
      <c r="B1015" t="inlineStr" s="4">
        <is>
          <t>星期五</t>
        </is>
      </c>
      <c r="C1015" t="inlineStr" s="4">
        <is>
          <t>餐饮</t>
        </is>
      </c>
      <c r="D1015" t="inlineStr" s="5">
        <is>
          <t>早餐</t>
        </is>
      </c>
      <c r="E1015" s="6"/>
      <c r="F1015" s="6"/>
      <c r="G1015" s="6">
        <f>IF(AND(E1015="",F1015=""),"",F1015-E1015)</f>
      </c>
      <c r="H1015" s="4"/>
      <c r="I1015" s="5"/>
    </row>
    <row r="1016" ht="21" customHeight="1">
      <c r="A1016" s="3">
        <v>46325</v>
      </c>
      <c r="B1016" t="inlineStr" s="4">
        <is>
          <t>星期五</t>
        </is>
      </c>
      <c r="C1016" t="inlineStr" s="4">
        <is>
          <t>餐饮</t>
        </is>
      </c>
      <c r="D1016" t="inlineStr" s="5">
        <is>
          <t>中餐</t>
        </is>
      </c>
      <c r="E1016" s="6"/>
      <c r="F1016" s="6"/>
      <c r="G1016" s="6">
        <f>IF(AND(E1016="",F1016=""),"",F1016-E1016)</f>
      </c>
      <c r="H1016" s="4"/>
      <c r="I1016" s="5"/>
    </row>
    <row r="1017" ht="21" customHeight="1">
      <c r="A1017" s="3">
        <v>46325</v>
      </c>
      <c r="B1017" t="inlineStr" s="4">
        <is>
          <t>星期五</t>
        </is>
      </c>
      <c r="C1017" t="inlineStr" s="4">
        <is>
          <t>餐饮</t>
        </is>
      </c>
      <c r="D1017" t="inlineStr" s="5">
        <is>
          <t>晚餐</t>
        </is>
      </c>
      <c r="E1017" s="6"/>
      <c r="F1017" s="6"/>
      <c r="G1017" s="6">
        <f>IF(AND(E1017="",F1017=""),"",F1017-E1017)</f>
      </c>
      <c r="H1017" s="4"/>
      <c r="I1017" s="5"/>
    </row>
    <row r="1018" ht="21" customHeight="1">
      <c r="A1018" s="3">
        <v>46325</v>
      </c>
      <c r="B1018" t="inlineStr" s="4">
        <is>
          <t>星期五</t>
        </is>
      </c>
      <c r="C1018" t="inlineStr" s="4">
        <is>
          <t>奶茶/咖啡</t>
        </is>
      </c>
      <c r="D1018" t="inlineStr" s="5">
        <is>
          <t>奶茶/咖啡</t>
        </is>
      </c>
      <c r="E1018" s="6"/>
      <c r="F1018" s="6"/>
      <c r="G1018" s="6">
        <f>IF(AND(E1018="",F1018=""),"",F1018-E1018)</f>
      </c>
      <c r="H1018" s="4"/>
      <c r="I1018" s="5"/>
    </row>
    <row r="1019" ht="21" customHeight="1">
      <c r="A1019" s="3">
        <v>46325</v>
      </c>
      <c r="B1019" t="inlineStr" s="4">
        <is>
          <t>星期五</t>
        </is>
      </c>
      <c r="C1019" t="inlineStr" s="4">
        <is>
          <t>其他</t>
        </is>
      </c>
      <c r="D1019" t="inlineStr" s="5">
        <is>
          <t>其他</t>
        </is>
      </c>
      <c r="E1019" s="6"/>
      <c r="F1019" s="6"/>
      <c r="G1019" s="6">
        <f>IF(AND(E1019="",F1019=""),"",F1019-E1019)</f>
      </c>
      <c r="H1019" s="4"/>
      <c r="I1019" s="5"/>
    </row>
    <row r="1020" ht="21" customHeight="1">
      <c r="A1020" s="3">
        <v>46325</v>
      </c>
      <c r="B1020" t="inlineStr" s="4">
        <is>
          <t>星期五</t>
        </is>
      </c>
      <c r="C1020" t="inlineStr" s="4">
        <is>
          <t>其他</t>
        </is>
      </c>
      <c r="D1020" t="inlineStr" s="5">
        <is>
          <t>其他</t>
        </is>
      </c>
      <c r="E1020" s="6"/>
      <c r="F1020" s="6"/>
      <c r="G1020" s="6">
        <f>IF(AND(E1020="",F1020=""),"",F1020-E1020)</f>
      </c>
      <c r="H1020" s="4"/>
      <c r="I1020" s="5"/>
    </row>
    <row r="1021" ht="21" customHeight="1">
      <c r="A1021" s="3">
        <v>46326</v>
      </c>
      <c r="B1021" t="inlineStr" s="4">
        <is>
          <t>星期六</t>
        </is>
      </c>
      <c r="C1021" t="inlineStr" s="4">
        <is>
          <t>餐饮</t>
        </is>
      </c>
      <c r="D1021" t="inlineStr" s="5">
        <is>
          <t>早餐</t>
        </is>
      </c>
      <c r="E1021" s="6"/>
      <c r="F1021" s="6"/>
      <c r="G1021" s="6">
        <f>IF(AND(E1021="",F1021=""),"",F1021-E1021)</f>
      </c>
      <c r="H1021" s="4"/>
      <c r="I1021" s="5"/>
    </row>
    <row r="1022" ht="21" customHeight="1">
      <c r="A1022" s="3">
        <v>46326</v>
      </c>
      <c r="B1022" t="inlineStr" s="4">
        <is>
          <t>星期六</t>
        </is>
      </c>
      <c r="C1022" t="inlineStr" s="4">
        <is>
          <t>餐饮</t>
        </is>
      </c>
      <c r="D1022" t="inlineStr" s="5">
        <is>
          <t>中餐</t>
        </is>
      </c>
      <c r="E1022" s="6"/>
      <c r="F1022" s="6"/>
      <c r="G1022" s="6">
        <f>IF(AND(E1022="",F1022=""),"",F1022-E1022)</f>
      </c>
      <c r="H1022" s="4"/>
      <c r="I1022" s="5"/>
    </row>
    <row r="1023" ht="21" customHeight="1">
      <c r="A1023" s="3">
        <v>46326</v>
      </c>
      <c r="B1023" t="inlineStr" s="4">
        <is>
          <t>星期六</t>
        </is>
      </c>
      <c r="C1023" t="inlineStr" s="4">
        <is>
          <t>餐饮</t>
        </is>
      </c>
      <c r="D1023" t="inlineStr" s="5">
        <is>
          <t>晚餐</t>
        </is>
      </c>
      <c r="E1023" s="6"/>
      <c r="F1023" s="6"/>
      <c r="G1023" s="6">
        <f>IF(AND(E1023="",F1023=""),"",F1023-E1023)</f>
      </c>
      <c r="H1023" s="4"/>
      <c r="I1023" s="5"/>
    </row>
    <row r="1024" ht="21" customHeight="1">
      <c r="A1024" s="3">
        <v>46326</v>
      </c>
      <c r="B1024" t="inlineStr" s="4">
        <is>
          <t>星期六</t>
        </is>
      </c>
      <c r="C1024" t="inlineStr" s="4">
        <is>
          <t>奶茶/咖啡</t>
        </is>
      </c>
      <c r="D1024" t="inlineStr" s="5">
        <is>
          <t>奶茶/咖啡</t>
        </is>
      </c>
      <c r="E1024" s="6"/>
      <c r="F1024" s="6"/>
      <c r="G1024" s="6">
        <f>IF(AND(E1024="",F1024=""),"",F1024-E1024)</f>
      </c>
      <c r="H1024" s="4"/>
      <c r="I1024" s="5"/>
    </row>
    <row r="1025" ht="21" customHeight="1">
      <c r="A1025" s="3">
        <v>46326</v>
      </c>
      <c r="B1025" t="inlineStr" s="4">
        <is>
          <t>星期六</t>
        </is>
      </c>
      <c r="C1025" t="inlineStr" s="4">
        <is>
          <t>其他</t>
        </is>
      </c>
      <c r="D1025" t="inlineStr" s="5">
        <is>
          <t>其他</t>
        </is>
      </c>
      <c r="E1025" s="6"/>
      <c r="F1025" s="6"/>
      <c r="G1025" s="6">
        <f>IF(AND(E1025="",F1025=""),"",F1025-E1025)</f>
      </c>
      <c r="H1025" s="4"/>
      <c r="I1025" s="5"/>
    </row>
    <row r="1026" ht="21" customHeight="1">
      <c r="A1026" s="3">
        <v>46326</v>
      </c>
      <c r="B1026" t="inlineStr" s="4">
        <is>
          <t>星期六</t>
        </is>
      </c>
      <c r="C1026" t="inlineStr" s="4">
        <is>
          <t>其他</t>
        </is>
      </c>
      <c r="D1026" t="inlineStr" s="5">
        <is>
          <t>其他</t>
        </is>
      </c>
      <c r="E1026" s="6"/>
      <c r="F1026" s="6"/>
      <c r="G1026" s="6">
        <f>IF(AND(E1026="",F1026=""),"",F1026-E1026)</f>
      </c>
      <c r="H1026" s="4"/>
      <c r="I1026" s="5"/>
    </row>
    <row r="1027" ht="21" customHeight="1">
      <c r="A1027" s="3">
        <v>46327</v>
      </c>
      <c r="B1027" t="inlineStr" s="4">
        <is>
          <t>星期日</t>
        </is>
      </c>
      <c r="C1027" t="inlineStr" s="4">
        <is>
          <t>餐饮</t>
        </is>
      </c>
      <c r="D1027" t="inlineStr" s="5">
        <is>
          <t>早餐</t>
        </is>
      </c>
      <c r="E1027" s="6"/>
      <c r="F1027" s="6"/>
      <c r="G1027" s="6">
        <f>IF(AND(E1027="",F1027=""),"",F1027-E1027)</f>
      </c>
      <c r="H1027" s="4"/>
      <c r="I1027" s="5"/>
    </row>
    <row r="1028" ht="21" customHeight="1">
      <c r="A1028" s="3">
        <v>46327</v>
      </c>
      <c r="B1028" t="inlineStr" s="4">
        <is>
          <t>星期日</t>
        </is>
      </c>
      <c r="C1028" t="inlineStr" s="4">
        <is>
          <t>餐饮</t>
        </is>
      </c>
      <c r="D1028" t="inlineStr" s="5">
        <is>
          <t>中餐</t>
        </is>
      </c>
      <c r="E1028" s="6"/>
      <c r="F1028" s="6"/>
      <c r="G1028" s="6">
        <f>IF(AND(E1028="",F1028=""),"",F1028-E1028)</f>
      </c>
      <c r="H1028" s="4"/>
      <c r="I1028" s="5"/>
    </row>
    <row r="1029" ht="21" customHeight="1">
      <c r="A1029" s="3">
        <v>46327</v>
      </c>
      <c r="B1029" t="inlineStr" s="4">
        <is>
          <t>星期日</t>
        </is>
      </c>
      <c r="C1029" t="inlineStr" s="4">
        <is>
          <t>餐饮</t>
        </is>
      </c>
      <c r="D1029" t="inlineStr" s="5">
        <is>
          <t>晚餐</t>
        </is>
      </c>
      <c r="E1029" s="6"/>
      <c r="F1029" s="6"/>
      <c r="G1029" s="6">
        <f>IF(AND(E1029="",F1029=""),"",F1029-E1029)</f>
      </c>
      <c r="H1029" s="4"/>
      <c r="I1029" s="5"/>
    </row>
    <row r="1030" ht="21" customHeight="1">
      <c r="A1030" s="3">
        <v>46327</v>
      </c>
      <c r="B1030" t="inlineStr" s="4">
        <is>
          <t>星期日</t>
        </is>
      </c>
      <c r="C1030" t="inlineStr" s="4">
        <is>
          <t>奶茶/咖啡</t>
        </is>
      </c>
      <c r="D1030" t="inlineStr" s="5">
        <is>
          <t>奶茶/咖啡</t>
        </is>
      </c>
      <c r="E1030" s="6"/>
      <c r="F1030" s="6"/>
      <c r="G1030" s="6">
        <f>IF(AND(E1030="",F1030=""),"",F1030-E1030)</f>
      </c>
      <c r="H1030" s="4"/>
      <c r="I1030" s="5"/>
    </row>
    <row r="1031" ht="21" customHeight="1">
      <c r="A1031" s="3">
        <v>46327</v>
      </c>
      <c r="B1031" t="inlineStr" s="4">
        <is>
          <t>星期日</t>
        </is>
      </c>
      <c r="C1031" t="inlineStr" s="4">
        <is>
          <t>其他</t>
        </is>
      </c>
      <c r="D1031" t="inlineStr" s="5">
        <is>
          <t>其他</t>
        </is>
      </c>
      <c r="E1031" s="6"/>
      <c r="F1031" s="6"/>
      <c r="G1031" s="6">
        <f>IF(AND(E1031="",F1031=""),"",F1031-E1031)</f>
      </c>
      <c r="H1031" s="4"/>
      <c r="I1031" s="5"/>
    </row>
    <row r="1032" ht="21" customHeight="1">
      <c r="A1032" s="3">
        <v>46327</v>
      </c>
      <c r="B1032" t="inlineStr" s="4">
        <is>
          <t>星期日</t>
        </is>
      </c>
      <c r="C1032" t="inlineStr" s="4">
        <is>
          <t>其他</t>
        </is>
      </c>
      <c r="D1032" t="inlineStr" s="5">
        <is>
          <t>其他</t>
        </is>
      </c>
      <c r="E1032" s="6"/>
      <c r="F1032" s="6"/>
      <c r="G1032" s="6">
        <f>IF(AND(E1032="",F1032=""),"",F1032-E1032)</f>
      </c>
      <c r="H1032" s="4"/>
      <c r="I1032" s="5"/>
    </row>
    <row r="1033" ht="23" customHeight="1">
      <c r="A1033" t="inlineStr" s="7">
        <is>
          <t>本周小计</t>
        </is>
      </c>
      <c r="B1033" s="7"/>
      <c r="C1033" s="7"/>
      <c r="D1033" s="7"/>
      <c r="E1033" s="8">
        <f>SUM(E991:E1032)</f>
      </c>
      <c r="F1033" s="8">
        <f>SUM(F991:F1032)</f>
      </c>
      <c r="G1033" s="8">
        <f>SUM(G991:G1032)</f>
      </c>
      <c r="H1033" s="7"/>
      <c r="I1033" s="7"/>
    </row>
    <row r="1034" ht="18" customHeight="1">
      <c r="A1034" s="9"/>
      <c r="B1034" s="9"/>
      <c r="C1034" s="9"/>
      <c r="D1034" s="9"/>
      <c r="E1034" s="9"/>
      <c r="F1034" s="9"/>
      <c r="G1034" s="9"/>
      <c r="H1034" s="9"/>
      <c r="I1034" s="9"/>
    </row>
    <row r="1035" ht="18" customHeight="1">
      <c r="A1035" s="9"/>
      <c r="B1035" s="9"/>
      <c r="C1035" s="9"/>
      <c r="D1035" s="9"/>
      <c r="E1035" s="9"/>
      <c r="F1035" s="9"/>
      <c r="G1035" s="9"/>
      <c r="H1035" s="9"/>
      <c r="I1035" s="9"/>
    </row>
    <row r="1036" ht="26" customHeight="1">
      <c r="A1036" t="inlineStr" s="2">
        <is>
          <t>2026年11月｜第一周（11月2日 - 11月8日）</t>
        </is>
      </c>
      <c r="B1036" s="2"/>
      <c r="C1036" s="2"/>
      <c r="D1036" s="2"/>
      <c r="E1036" s="2"/>
      <c r="F1036" s="2"/>
      <c r="G1036" s="2"/>
      <c r="H1036" s="2"/>
      <c r="I1036" s="2"/>
    </row>
    <row r="1037" ht="22" customHeight="1">
      <c r="A1037" t="inlineStr" s="1">
        <is>
          <t>日期</t>
        </is>
      </c>
      <c r="B1037" t="inlineStr" s="1">
        <is>
          <t>星期</t>
        </is>
      </c>
      <c r="C1037" t="inlineStr" s="1">
        <is>
          <t>分类</t>
        </is>
      </c>
      <c r="D1037" t="inlineStr" s="1">
        <is>
          <t>事项</t>
        </is>
      </c>
      <c r="E1037" t="inlineStr" s="1">
        <is>
          <t>支出金额</t>
        </is>
      </c>
      <c r="F1037" t="inlineStr" s="1">
        <is>
          <t>收入金额</t>
        </is>
      </c>
      <c r="G1037" t="inlineStr" s="1">
        <is>
          <t>当笔净额</t>
        </is>
      </c>
      <c r="H1037" t="inlineStr" s="1">
        <is>
          <t>支付方式</t>
        </is>
      </c>
      <c r="I1037" t="inlineStr" s="1">
        <is>
          <t>备注</t>
        </is>
      </c>
    </row>
    <row r="1038" ht="21" customHeight="1">
      <c r="A1038" s="3">
        <v>46328</v>
      </c>
      <c r="B1038" t="inlineStr" s="4">
        <is>
          <t>星期一</t>
        </is>
      </c>
      <c r="C1038" t="inlineStr" s="4">
        <is>
          <t>餐饮</t>
        </is>
      </c>
      <c r="D1038" t="inlineStr" s="5">
        <is>
          <t>早餐</t>
        </is>
      </c>
      <c r="E1038" s="6"/>
      <c r="F1038" s="6"/>
      <c r="G1038" s="6">
        <f>IF(AND(E1038="",F1038=""),"",F1038-E1038)</f>
      </c>
      <c r="H1038" s="4"/>
      <c r="I1038" s="5"/>
    </row>
    <row r="1039" ht="21" customHeight="1">
      <c r="A1039" s="3">
        <v>46328</v>
      </c>
      <c r="B1039" t="inlineStr" s="4">
        <is>
          <t>星期一</t>
        </is>
      </c>
      <c r="C1039" t="inlineStr" s="4">
        <is>
          <t>餐饮</t>
        </is>
      </c>
      <c r="D1039" t="inlineStr" s="5">
        <is>
          <t>中餐</t>
        </is>
      </c>
      <c r="E1039" s="6"/>
      <c r="F1039" s="6"/>
      <c r="G1039" s="6">
        <f>IF(AND(E1039="",F1039=""),"",F1039-E1039)</f>
      </c>
      <c r="H1039" s="4"/>
      <c r="I1039" s="5"/>
    </row>
    <row r="1040" ht="21" customHeight="1">
      <c r="A1040" s="3">
        <v>46328</v>
      </c>
      <c r="B1040" t="inlineStr" s="4">
        <is>
          <t>星期一</t>
        </is>
      </c>
      <c r="C1040" t="inlineStr" s="4">
        <is>
          <t>餐饮</t>
        </is>
      </c>
      <c r="D1040" t="inlineStr" s="5">
        <is>
          <t>晚餐</t>
        </is>
      </c>
      <c r="E1040" s="6"/>
      <c r="F1040" s="6"/>
      <c r="G1040" s="6">
        <f>IF(AND(E1040="",F1040=""),"",F1040-E1040)</f>
      </c>
      <c r="H1040" s="4"/>
      <c r="I1040" s="5"/>
    </row>
    <row r="1041" ht="21" customHeight="1">
      <c r="A1041" s="3">
        <v>46328</v>
      </c>
      <c r="B1041" t="inlineStr" s="4">
        <is>
          <t>星期一</t>
        </is>
      </c>
      <c r="C1041" t="inlineStr" s="4">
        <is>
          <t>奶茶/咖啡</t>
        </is>
      </c>
      <c r="D1041" t="inlineStr" s="5">
        <is>
          <t>奶茶/咖啡</t>
        </is>
      </c>
      <c r="E1041" s="6"/>
      <c r="F1041" s="6"/>
      <c r="G1041" s="6">
        <f>IF(AND(E1041="",F1041=""),"",F1041-E1041)</f>
      </c>
      <c r="H1041" s="4"/>
      <c r="I1041" s="5"/>
    </row>
    <row r="1042" ht="21" customHeight="1">
      <c r="A1042" s="3">
        <v>46328</v>
      </c>
      <c r="B1042" t="inlineStr" s="4">
        <is>
          <t>星期一</t>
        </is>
      </c>
      <c r="C1042" t="inlineStr" s="4">
        <is>
          <t>其他</t>
        </is>
      </c>
      <c r="D1042" t="inlineStr" s="5">
        <is>
          <t>其他</t>
        </is>
      </c>
      <c r="E1042" s="6"/>
      <c r="F1042" s="6"/>
      <c r="G1042" s="6">
        <f>IF(AND(E1042="",F1042=""),"",F1042-E1042)</f>
      </c>
      <c r="H1042" s="4"/>
      <c r="I1042" s="5"/>
    </row>
    <row r="1043" ht="21" customHeight="1">
      <c r="A1043" s="3">
        <v>46328</v>
      </c>
      <c r="B1043" t="inlineStr" s="4">
        <is>
          <t>星期一</t>
        </is>
      </c>
      <c r="C1043" t="inlineStr" s="4">
        <is>
          <t>其他</t>
        </is>
      </c>
      <c r="D1043" t="inlineStr" s="5">
        <is>
          <t>其他</t>
        </is>
      </c>
      <c r="E1043" s="6"/>
      <c r="F1043" s="6"/>
      <c r="G1043" s="6">
        <f>IF(AND(E1043="",F1043=""),"",F1043-E1043)</f>
      </c>
      <c r="H1043" s="4"/>
      <c r="I1043" s="5"/>
    </row>
    <row r="1044" ht="21" customHeight="1">
      <c r="A1044" s="3">
        <v>46329</v>
      </c>
      <c r="B1044" t="inlineStr" s="4">
        <is>
          <t>星期二</t>
        </is>
      </c>
      <c r="C1044" t="inlineStr" s="4">
        <is>
          <t>餐饮</t>
        </is>
      </c>
      <c r="D1044" t="inlineStr" s="5">
        <is>
          <t>早餐</t>
        </is>
      </c>
      <c r="E1044" s="6"/>
      <c r="F1044" s="6"/>
      <c r="G1044" s="6">
        <f>IF(AND(E1044="",F1044=""),"",F1044-E1044)</f>
      </c>
      <c r="H1044" s="4"/>
      <c r="I1044" s="5"/>
    </row>
    <row r="1045" ht="21" customHeight="1">
      <c r="A1045" s="3">
        <v>46329</v>
      </c>
      <c r="B1045" t="inlineStr" s="4">
        <is>
          <t>星期二</t>
        </is>
      </c>
      <c r="C1045" t="inlineStr" s="4">
        <is>
          <t>餐饮</t>
        </is>
      </c>
      <c r="D1045" t="inlineStr" s="5">
        <is>
          <t>中餐</t>
        </is>
      </c>
      <c r="E1045" s="6"/>
      <c r="F1045" s="6"/>
      <c r="G1045" s="6">
        <f>IF(AND(E1045="",F1045=""),"",F1045-E1045)</f>
      </c>
      <c r="H1045" s="4"/>
      <c r="I1045" s="5"/>
    </row>
    <row r="1046" ht="21" customHeight="1">
      <c r="A1046" s="3">
        <v>46329</v>
      </c>
      <c r="B1046" t="inlineStr" s="4">
        <is>
          <t>星期二</t>
        </is>
      </c>
      <c r="C1046" t="inlineStr" s="4">
        <is>
          <t>餐饮</t>
        </is>
      </c>
      <c r="D1046" t="inlineStr" s="5">
        <is>
          <t>晚餐</t>
        </is>
      </c>
      <c r="E1046" s="6"/>
      <c r="F1046" s="6"/>
      <c r="G1046" s="6">
        <f>IF(AND(E1046="",F1046=""),"",F1046-E1046)</f>
      </c>
      <c r="H1046" s="4"/>
      <c r="I1046" s="5"/>
    </row>
    <row r="1047" ht="21" customHeight="1">
      <c r="A1047" s="3">
        <v>46329</v>
      </c>
      <c r="B1047" t="inlineStr" s="4">
        <is>
          <t>星期二</t>
        </is>
      </c>
      <c r="C1047" t="inlineStr" s="4">
        <is>
          <t>奶茶/咖啡</t>
        </is>
      </c>
      <c r="D1047" t="inlineStr" s="5">
        <is>
          <t>奶茶/咖啡</t>
        </is>
      </c>
      <c r="E1047" s="6"/>
      <c r="F1047" s="6"/>
      <c r="G1047" s="6">
        <f>IF(AND(E1047="",F1047=""),"",F1047-E1047)</f>
      </c>
      <c r="H1047" s="4"/>
      <c r="I1047" s="5"/>
    </row>
    <row r="1048" ht="21" customHeight="1">
      <c r="A1048" s="3">
        <v>46329</v>
      </c>
      <c r="B1048" t="inlineStr" s="4">
        <is>
          <t>星期二</t>
        </is>
      </c>
      <c r="C1048" t="inlineStr" s="4">
        <is>
          <t>其他</t>
        </is>
      </c>
      <c r="D1048" t="inlineStr" s="5">
        <is>
          <t>其他</t>
        </is>
      </c>
      <c r="E1048" s="6"/>
      <c r="F1048" s="6"/>
      <c r="G1048" s="6">
        <f>IF(AND(E1048="",F1048=""),"",F1048-E1048)</f>
      </c>
      <c r="H1048" s="4"/>
      <c r="I1048" s="5"/>
    </row>
    <row r="1049" ht="21" customHeight="1">
      <c r="A1049" s="3">
        <v>46329</v>
      </c>
      <c r="B1049" t="inlineStr" s="4">
        <is>
          <t>星期二</t>
        </is>
      </c>
      <c r="C1049" t="inlineStr" s="4">
        <is>
          <t>其他</t>
        </is>
      </c>
      <c r="D1049" t="inlineStr" s="5">
        <is>
          <t>其他</t>
        </is>
      </c>
      <c r="E1049" s="6"/>
      <c r="F1049" s="6"/>
      <c r="G1049" s="6">
        <f>IF(AND(E1049="",F1049=""),"",F1049-E1049)</f>
      </c>
      <c r="H1049" s="4"/>
      <c r="I1049" s="5"/>
    </row>
    <row r="1050" ht="21" customHeight="1">
      <c r="A1050" s="3">
        <v>46330</v>
      </c>
      <c r="B1050" t="inlineStr" s="4">
        <is>
          <t>星期三</t>
        </is>
      </c>
      <c r="C1050" t="inlineStr" s="4">
        <is>
          <t>餐饮</t>
        </is>
      </c>
      <c r="D1050" t="inlineStr" s="5">
        <is>
          <t>早餐</t>
        </is>
      </c>
      <c r="E1050" s="6"/>
      <c r="F1050" s="6"/>
      <c r="G1050" s="6">
        <f>IF(AND(E1050="",F1050=""),"",F1050-E1050)</f>
      </c>
      <c r="H1050" s="4"/>
      <c r="I1050" s="5"/>
    </row>
    <row r="1051" ht="21" customHeight="1">
      <c r="A1051" s="3">
        <v>46330</v>
      </c>
      <c r="B1051" t="inlineStr" s="4">
        <is>
          <t>星期三</t>
        </is>
      </c>
      <c r="C1051" t="inlineStr" s="4">
        <is>
          <t>餐饮</t>
        </is>
      </c>
      <c r="D1051" t="inlineStr" s="5">
        <is>
          <t>中餐</t>
        </is>
      </c>
      <c r="E1051" s="6"/>
      <c r="F1051" s="6"/>
      <c r="G1051" s="6">
        <f>IF(AND(E1051="",F1051=""),"",F1051-E1051)</f>
      </c>
      <c r="H1051" s="4"/>
      <c r="I1051" s="5"/>
    </row>
    <row r="1052" ht="21" customHeight="1">
      <c r="A1052" s="3">
        <v>46330</v>
      </c>
      <c r="B1052" t="inlineStr" s="4">
        <is>
          <t>星期三</t>
        </is>
      </c>
      <c r="C1052" t="inlineStr" s="4">
        <is>
          <t>餐饮</t>
        </is>
      </c>
      <c r="D1052" t="inlineStr" s="5">
        <is>
          <t>晚餐</t>
        </is>
      </c>
      <c r="E1052" s="6"/>
      <c r="F1052" s="6"/>
      <c r="G1052" s="6">
        <f>IF(AND(E1052="",F1052=""),"",F1052-E1052)</f>
      </c>
      <c r="H1052" s="4"/>
      <c r="I1052" s="5"/>
    </row>
    <row r="1053" ht="21" customHeight="1">
      <c r="A1053" s="3">
        <v>46330</v>
      </c>
      <c r="B1053" t="inlineStr" s="4">
        <is>
          <t>星期三</t>
        </is>
      </c>
      <c r="C1053" t="inlineStr" s="4">
        <is>
          <t>奶茶/咖啡</t>
        </is>
      </c>
      <c r="D1053" t="inlineStr" s="5">
        <is>
          <t>奶茶/咖啡</t>
        </is>
      </c>
      <c r="E1053" s="6"/>
      <c r="F1053" s="6"/>
      <c r="G1053" s="6">
        <f>IF(AND(E1053="",F1053=""),"",F1053-E1053)</f>
      </c>
      <c r="H1053" s="4"/>
      <c r="I1053" s="5"/>
    </row>
    <row r="1054" ht="21" customHeight="1">
      <c r="A1054" s="3">
        <v>46330</v>
      </c>
      <c r="B1054" t="inlineStr" s="4">
        <is>
          <t>星期三</t>
        </is>
      </c>
      <c r="C1054" t="inlineStr" s="4">
        <is>
          <t>其他</t>
        </is>
      </c>
      <c r="D1054" t="inlineStr" s="5">
        <is>
          <t>其他</t>
        </is>
      </c>
      <c r="E1054" s="6"/>
      <c r="F1054" s="6"/>
      <c r="G1054" s="6">
        <f>IF(AND(E1054="",F1054=""),"",F1054-E1054)</f>
      </c>
      <c r="H1054" s="4"/>
      <c r="I1054" s="5"/>
    </row>
    <row r="1055" ht="21" customHeight="1">
      <c r="A1055" s="3">
        <v>46330</v>
      </c>
      <c r="B1055" t="inlineStr" s="4">
        <is>
          <t>星期三</t>
        </is>
      </c>
      <c r="C1055" t="inlineStr" s="4">
        <is>
          <t>其他</t>
        </is>
      </c>
      <c r="D1055" t="inlineStr" s="5">
        <is>
          <t>其他</t>
        </is>
      </c>
      <c r="E1055" s="6"/>
      <c r="F1055" s="6"/>
      <c r="G1055" s="6">
        <f>IF(AND(E1055="",F1055=""),"",F1055-E1055)</f>
      </c>
      <c r="H1055" s="4"/>
      <c r="I1055" s="5"/>
    </row>
    <row r="1056" ht="21" customHeight="1">
      <c r="A1056" s="3">
        <v>46331</v>
      </c>
      <c r="B1056" t="inlineStr" s="4">
        <is>
          <t>星期四</t>
        </is>
      </c>
      <c r="C1056" t="inlineStr" s="4">
        <is>
          <t>餐饮</t>
        </is>
      </c>
      <c r="D1056" t="inlineStr" s="5">
        <is>
          <t>早餐</t>
        </is>
      </c>
      <c r="E1056" s="6"/>
      <c r="F1056" s="6"/>
      <c r="G1056" s="6">
        <f>IF(AND(E1056="",F1056=""),"",F1056-E1056)</f>
      </c>
      <c r="H1056" s="4"/>
      <c r="I1056" s="5"/>
    </row>
    <row r="1057" ht="21" customHeight="1">
      <c r="A1057" s="3">
        <v>46331</v>
      </c>
      <c r="B1057" t="inlineStr" s="4">
        <is>
          <t>星期四</t>
        </is>
      </c>
      <c r="C1057" t="inlineStr" s="4">
        <is>
          <t>餐饮</t>
        </is>
      </c>
      <c r="D1057" t="inlineStr" s="5">
        <is>
          <t>中餐</t>
        </is>
      </c>
      <c r="E1057" s="6"/>
      <c r="F1057" s="6"/>
      <c r="G1057" s="6">
        <f>IF(AND(E1057="",F1057=""),"",F1057-E1057)</f>
      </c>
      <c r="H1057" s="4"/>
      <c r="I1057" s="5"/>
    </row>
    <row r="1058" ht="21" customHeight="1">
      <c r="A1058" s="3">
        <v>46331</v>
      </c>
      <c r="B1058" t="inlineStr" s="4">
        <is>
          <t>星期四</t>
        </is>
      </c>
      <c r="C1058" t="inlineStr" s="4">
        <is>
          <t>餐饮</t>
        </is>
      </c>
      <c r="D1058" t="inlineStr" s="5">
        <is>
          <t>晚餐</t>
        </is>
      </c>
      <c r="E1058" s="6"/>
      <c r="F1058" s="6"/>
      <c r="G1058" s="6">
        <f>IF(AND(E1058="",F1058=""),"",F1058-E1058)</f>
      </c>
      <c r="H1058" s="4"/>
      <c r="I1058" s="5"/>
    </row>
    <row r="1059" ht="21" customHeight="1">
      <c r="A1059" s="3">
        <v>46331</v>
      </c>
      <c r="B1059" t="inlineStr" s="4">
        <is>
          <t>星期四</t>
        </is>
      </c>
      <c r="C1059" t="inlineStr" s="4">
        <is>
          <t>奶茶/咖啡</t>
        </is>
      </c>
      <c r="D1059" t="inlineStr" s="5">
        <is>
          <t>奶茶/咖啡</t>
        </is>
      </c>
      <c r="E1059" s="6"/>
      <c r="F1059" s="6"/>
      <c r="G1059" s="6">
        <f>IF(AND(E1059="",F1059=""),"",F1059-E1059)</f>
      </c>
      <c r="H1059" s="4"/>
      <c r="I1059" s="5"/>
    </row>
    <row r="1060" ht="21" customHeight="1">
      <c r="A1060" s="3">
        <v>46331</v>
      </c>
      <c r="B1060" t="inlineStr" s="4">
        <is>
          <t>星期四</t>
        </is>
      </c>
      <c r="C1060" t="inlineStr" s="4">
        <is>
          <t>其他</t>
        </is>
      </c>
      <c r="D1060" t="inlineStr" s="5">
        <is>
          <t>其他</t>
        </is>
      </c>
      <c r="E1060" s="6"/>
      <c r="F1060" s="6"/>
      <c r="G1060" s="6">
        <f>IF(AND(E1060="",F1060=""),"",F1060-E1060)</f>
      </c>
      <c r="H1060" s="4"/>
      <c r="I1060" s="5"/>
    </row>
    <row r="1061" ht="21" customHeight="1">
      <c r="A1061" s="3">
        <v>46331</v>
      </c>
      <c r="B1061" t="inlineStr" s="4">
        <is>
          <t>星期四</t>
        </is>
      </c>
      <c r="C1061" t="inlineStr" s="4">
        <is>
          <t>其他</t>
        </is>
      </c>
      <c r="D1061" t="inlineStr" s="5">
        <is>
          <t>其他</t>
        </is>
      </c>
      <c r="E1061" s="6"/>
      <c r="F1061" s="6"/>
      <c r="G1061" s="6">
        <f>IF(AND(E1061="",F1061=""),"",F1061-E1061)</f>
      </c>
      <c r="H1061" s="4"/>
      <c r="I1061" s="5"/>
    </row>
    <row r="1062" ht="21" customHeight="1">
      <c r="A1062" s="3">
        <v>46332</v>
      </c>
      <c r="B1062" t="inlineStr" s="4">
        <is>
          <t>星期五</t>
        </is>
      </c>
      <c r="C1062" t="inlineStr" s="4">
        <is>
          <t>餐饮</t>
        </is>
      </c>
      <c r="D1062" t="inlineStr" s="5">
        <is>
          <t>早餐</t>
        </is>
      </c>
      <c r="E1062" s="6"/>
      <c r="F1062" s="6"/>
      <c r="G1062" s="6">
        <f>IF(AND(E1062="",F1062=""),"",F1062-E1062)</f>
      </c>
      <c r="H1062" s="4"/>
      <c r="I1062" s="5"/>
    </row>
    <row r="1063" ht="21" customHeight="1">
      <c r="A1063" s="3">
        <v>46332</v>
      </c>
      <c r="B1063" t="inlineStr" s="4">
        <is>
          <t>星期五</t>
        </is>
      </c>
      <c r="C1063" t="inlineStr" s="4">
        <is>
          <t>餐饮</t>
        </is>
      </c>
      <c r="D1063" t="inlineStr" s="5">
        <is>
          <t>中餐</t>
        </is>
      </c>
      <c r="E1063" s="6"/>
      <c r="F1063" s="6"/>
      <c r="G1063" s="6">
        <f>IF(AND(E1063="",F1063=""),"",F1063-E1063)</f>
      </c>
      <c r="H1063" s="4"/>
      <c r="I1063" s="5"/>
    </row>
    <row r="1064" ht="21" customHeight="1">
      <c r="A1064" s="3">
        <v>46332</v>
      </c>
      <c r="B1064" t="inlineStr" s="4">
        <is>
          <t>星期五</t>
        </is>
      </c>
      <c r="C1064" t="inlineStr" s="4">
        <is>
          <t>餐饮</t>
        </is>
      </c>
      <c r="D1064" t="inlineStr" s="5">
        <is>
          <t>晚餐</t>
        </is>
      </c>
      <c r="E1064" s="6"/>
      <c r="F1064" s="6"/>
      <c r="G1064" s="6">
        <f>IF(AND(E1064="",F1064=""),"",F1064-E1064)</f>
      </c>
      <c r="H1064" s="4"/>
      <c r="I1064" s="5"/>
    </row>
    <row r="1065" ht="21" customHeight="1">
      <c r="A1065" s="3">
        <v>46332</v>
      </c>
      <c r="B1065" t="inlineStr" s="4">
        <is>
          <t>星期五</t>
        </is>
      </c>
      <c r="C1065" t="inlineStr" s="4">
        <is>
          <t>奶茶/咖啡</t>
        </is>
      </c>
      <c r="D1065" t="inlineStr" s="5">
        <is>
          <t>奶茶/咖啡</t>
        </is>
      </c>
      <c r="E1065" s="6"/>
      <c r="F1065" s="6"/>
      <c r="G1065" s="6">
        <f>IF(AND(E1065="",F1065=""),"",F1065-E1065)</f>
      </c>
      <c r="H1065" s="4"/>
      <c r="I1065" s="5"/>
    </row>
    <row r="1066" ht="21" customHeight="1">
      <c r="A1066" s="3">
        <v>46332</v>
      </c>
      <c r="B1066" t="inlineStr" s="4">
        <is>
          <t>星期五</t>
        </is>
      </c>
      <c r="C1066" t="inlineStr" s="4">
        <is>
          <t>其他</t>
        </is>
      </c>
      <c r="D1066" t="inlineStr" s="5">
        <is>
          <t>其他</t>
        </is>
      </c>
      <c r="E1066" s="6"/>
      <c r="F1066" s="6"/>
      <c r="G1066" s="6">
        <f>IF(AND(E1066="",F1066=""),"",F1066-E1066)</f>
      </c>
      <c r="H1066" s="4"/>
      <c r="I1066" s="5"/>
    </row>
    <row r="1067" ht="21" customHeight="1">
      <c r="A1067" s="3">
        <v>46332</v>
      </c>
      <c r="B1067" t="inlineStr" s="4">
        <is>
          <t>星期五</t>
        </is>
      </c>
      <c r="C1067" t="inlineStr" s="4">
        <is>
          <t>其他</t>
        </is>
      </c>
      <c r="D1067" t="inlineStr" s="5">
        <is>
          <t>其他</t>
        </is>
      </c>
      <c r="E1067" s="6"/>
      <c r="F1067" s="6"/>
      <c r="G1067" s="6">
        <f>IF(AND(E1067="",F1067=""),"",F1067-E1067)</f>
      </c>
      <c r="H1067" s="4"/>
      <c r="I1067" s="5"/>
    </row>
    <row r="1068" ht="21" customHeight="1">
      <c r="A1068" s="3">
        <v>46333</v>
      </c>
      <c r="B1068" t="inlineStr" s="4">
        <is>
          <t>星期六</t>
        </is>
      </c>
      <c r="C1068" t="inlineStr" s="4">
        <is>
          <t>餐饮</t>
        </is>
      </c>
      <c r="D1068" t="inlineStr" s="5">
        <is>
          <t>早餐</t>
        </is>
      </c>
      <c r="E1068" s="6"/>
      <c r="F1068" s="6"/>
      <c r="G1068" s="6">
        <f>IF(AND(E1068="",F1068=""),"",F1068-E1068)</f>
      </c>
      <c r="H1068" s="4"/>
      <c r="I1068" s="5"/>
    </row>
    <row r="1069" ht="21" customHeight="1">
      <c r="A1069" s="3">
        <v>46333</v>
      </c>
      <c r="B1069" t="inlineStr" s="4">
        <is>
          <t>星期六</t>
        </is>
      </c>
      <c r="C1069" t="inlineStr" s="4">
        <is>
          <t>餐饮</t>
        </is>
      </c>
      <c r="D1069" t="inlineStr" s="5">
        <is>
          <t>中餐</t>
        </is>
      </c>
      <c r="E1069" s="6"/>
      <c r="F1069" s="6"/>
      <c r="G1069" s="6">
        <f>IF(AND(E1069="",F1069=""),"",F1069-E1069)</f>
      </c>
      <c r="H1069" s="4"/>
      <c r="I1069" s="5"/>
    </row>
    <row r="1070" ht="21" customHeight="1">
      <c r="A1070" s="3">
        <v>46333</v>
      </c>
      <c r="B1070" t="inlineStr" s="4">
        <is>
          <t>星期六</t>
        </is>
      </c>
      <c r="C1070" t="inlineStr" s="4">
        <is>
          <t>餐饮</t>
        </is>
      </c>
      <c r="D1070" t="inlineStr" s="5">
        <is>
          <t>晚餐</t>
        </is>
      </c>
      <c r="E1070" s="6"/>
      <c r="F1070" s="6"/>
      <c r="G1070" s="6">
        <f>IF(AND(E1070="",F1070=""),"",F1070-E1070)</f>
      </c>
      <c r="H1070" s="4"/>
      <c r="I1070" s="5"/>
    </row>
    <row r="1071" ht="21" customHeight="1">
      <c r="A1071" s="3">
        <v>46333</v>
      </c>
      <c r="B1071" t="inlineStr" s="4">
        <is>
          <t>星期六</t>
        </is>
      </c>
      <c r="C1071" t="inlineStr" s="4">
        <is>
          <t>奶茶/咖啡</t>
        </is>
      </c>
      <c r="D1071" t="inlineStr" s="5">
        <is>
          <t>奶茶/咖啡</t>
        </is>
      </c>
      <c r="E1071" s="6"/>
      <c r="F1071" s="6"/>
      <c r="G1071" s="6">
        <f>IF(AND(E1071="",F1071=""),"",F1071-E1071)</f>
      </c>
      <c r="H1071" s="4"/>
      <c r="I1071" s="5"/>
    </row>
    <row r="1072" ht="21" customHeight="1">
      <c r="A1072" s="3">
        <v>46333</v>
      </c>
      <c r="B1072" t="inlineStr" s="4">
        <is>
          <t>星期六</t>
        </is>
      </c>
      <c r="C1072" t="inlineStr" s="4">
        <is>
          <t>其他</t>
        </is>
      </c>
      <c r="D1072" t="inlineStr" s="5">
        <is>
          <t>其他</t>
        </is>
      </c>
      <c r="E1072" s="6"/>
      <c r="F1072" s="6"/>
      <c r="G1072" s="6">
        <f>IF(AND(E1072="",F1072=""),"",F1072-E1072)</f>
      </c>
      <c r="H1072" s="4"/>
      <c r="I1072" s="5"/>
    </row>
    <row r="1073" ht="21" customHeight="1">
      <c r="A1073" s="3">
        <v>46333</v>
      </c>
      <c r="B1073" t="inlineStr" s="4">
        <is>
          <t>星期六</t>
        </is>
      </c>
      <c r="C1073" t="inlineStr" s="4">
        <is>
          <t>其他</t>
        </is>
      </c>
      <c r="D1073" t="inlineStr" s="5">
        <is>
          <t>其他</t>
        </is>
      </c>
      <c r="E1073" s="6"/>
      <c r="F1073" s="6"/>
      <c r="G1073" s="6">
        <f>IF(AND(E1073="",F1073=""),"",F1073-E1073)</f>
      </c>
      <c r="H1073" s="4"/>
      <c r="I1073" s="5"/>
    </row>
    <row r="1074" ht="21" customHeight="1">
      <c r="A1074" s="3">
        <v>46334</v>
      </c>
      <c r="B1074" t="inlineStr" s="4">
        <is>
          <t>星期日</t>
        </is>
      </c>
      <c r="C1074" t="inlineStr" s="4">
        <is>
          <t>餐饮</t>
        </is>
      </c>
      <c r="D1074" t="inlineStr" s="5">
        <is>
          <t>早餐</t>
        </is>
      </c>
      <c r="E1074" s="6"/>
      <c r="F1074" s="6"/>
      <c r="G1074" s="6">
        <f>IF(AND(E1074="",F1074=""),"",F1074-E1074)</f>
      </c>
      <c r="H1074" s="4"/>
      <c r="I1074" s="5"/>
    </row>
    <row r="1075" ht="21" customHeight="1">
      <c r="A1075" s="3">
        <v>46334</v>
      </c>
      <c r="B1075" t="inlineStr" s="4">
        <is>
          <t>星期日</t>
        </is>
      </c>
      <c r="C1075" t="inlineStr" s="4">
        <is>
          <t>餐饮</t>
        </is>
      </c>
      <c r="D1075" t="inlineStr" s="5">
        <is>
          <t>中餐</t>
        </is>
      </c>
      <c r="E1075" s="6"/>
      <c r="F1075" s="6"/>
      <c r="G1075" s="6">
        <f>IF(AND(E1075="",F1075=""),"",F1075-E1075)</f>
      </c>
      <c r="H1075" s="4"/>
      <c r="I1075" s="5"/>
    </row>
    <row r="1076" ht="21" customHeight="1">
      <c r="A1076" s="3">
        <v>46334</v>
      </c>
      <c r="B1076" t="inlineStr" s="4">
        <is>
          <t>星期日</t>
        </is>
      </c>
      <c r="C1076" t="inlineStr" s="4">
        <is>
          <t>餐饮</t>
        </is>
      </c>
      <c r="D1076" t="inlineStr" s="5">
        <is>
          <t>晚餐</t>
        </is>
      </c>
      <c r="E1076" s="6"/>
      <c r="F1076" s="6"/>
      <c r="G1076" s="6">
        <f>IF(AND(E1076="",F1076=""),"",F1076-E1076)</f>
      </c>
      <c r="H1076" s="4"/>
      <c r="I1076" s="5"/>
    </row>
    <row r="1077" ht="21" customHeight="1">
      <c r="A1077" s="3">
        <v>46334</v>
      </c>
      <c r="B1077" t="inlineStr" s="4">
        <is>
          <t>星期日</t>
        </is>
      </c>
      <c r="C1077" t="inlineStr" s="4">
        <is>
          <t>奶茶/咖啡</t>
        </is>
      </c>
      <c r="D1077" t="inlineStr" s="5">
        <is>
          <t>奶茶/咖啡</t>
        </is>
      </c>
      <c r="E1077" s="6"/>
      <c r="F1077" s="6"/>
      <c r="G1077" s="6">
        <f>IF(AND(E1077="",F1077=""),"",F1077-E1077)</f>
      </c>
      <c r="H1077" s="4"/>
      <c r="I1077" s="5"/>
    </row>
    <row r="1078" ht="21" customHeight="1">
      <c r="A1078" s="3">
        <v>46334</v>
      </c>
      <c r="B1078" t="inlineStr" s="4">
        <is>
          <t>星期日</t>
        </is>
      </c>
      <c r="C1078" t="inlineStr" s="4">
        <is>
          <t>其他</t>
        </is>
      </c>
      <c r="D1078" t="inlineStr" s="5">
        <is>
          <t>其他</t>
        </is>
      </c>
      <c r="E1078" s="6"/>
      <c r="F1078" s="6"/>
      <c r="G1078" s="6">
        <f>IF(AND(E1078="",F1078=""),"",F1078-E1078)</f>
      </c>
      <c r="H1078" s="4"/>
      <c r="I1078" s="5"/>
    </row>
    <row r="1079" ht="21" customHeight="1">
      <c r="A1079" s="3">
        <v>46334</v>
      </c>
      <c r="B1079" t="inlineStr" s="4">
        <is>
          <t>星期日</t>
        </is>
      </c>
      <c r="C1079" t="inlineStr" s="4">
        <is>
          <t>其他</t>
        </is>
      </c>
      <c r="D1079" t="inlineStr" s="5">
        <is>
          <t>其他</t>
        </is>
      </c>
      <c r="E1079" s="6"/>
      <c r="F1079" s="6"/>
      <c r="G1079" s="6">
        <f>IF(AND(E1079="",F1079=""),"",F1079-E1079)</f>
      </c>
      <c r="H1079" s="4"/>
      <c r="I1079" s="5"/>
    </row>
    <row r="1080" ht="23" customHeight="1">
      <c r="A1080" t="inlineStr" s="7">
        <is>
          <t>本周小计</t>
        </is>
      </c>
      <c r="B1080" s="7"/>
      <c r="C1080" s="7"/>
      <c r="D1080" s="7"/>
      <c r="E1080" s="8">
        <f>SUM(E1038:E1079)</f>
      </c>
      <c r="F1080" s="8">
        <f>SUM(F1038:F1079)</f>
      </c>
      <c r="G1080" s="8">
        <f>SUM(G1038:G1079)</f>
      </c>
      <c r="H1080" s="7"/>
      <c r="I1080" s="7"/>
    </row>
    <row r="1081" ht="18" customHeight="1">
      <c r="A1081" s="9"/>
      <c r="B1081" s="9"/>
      <c r="C1081" s="9"/>
      <c r="D1081" s="9"/>
      <c r="E1081" s="9"/>
      <c r="F1081" s="9"/>
      <c r="G1081" s="9"/>
      <c r="H1081" s="9"/>
      <c r="I1081" s="9"/>
    </row>
    <row r="1082" ht="18" customHeight="1">
      <c r="A1082" s="9"/>
      <c r="B1082" s="9"/>
      <c r="C1082" s="9"/>
      <c r="D1082" s="9"/>
      <c r="E1082" s="9"/>
      <c r="F1082" s="9"/>
      <c r="G1082" s="9"/>
      <c r="H1082" s="9"/>
      <c r="I1082" s="9"/>
    </row>
    <row r="1083" ht="26" customHeight="1">
      <c r="A1083" t="inlineStr" s="2">
        <is>
          <t>2026年11月｜第二周（11月9日 - 11月15日）</t>
        </is>
      </c>
      <c r="B1083" s="2"/>
      <c r="C1083" s="2"/>
      <c r="D1083" s="2"/>
      <c r="E1083" s="2"/>
      <c r="F1083" s="2"/>
      <c r="G1083" s="2"/>
      <c r="H1083" s="2"/>
      <c r="I1083" s="2"/>
    </row>
    <row r="1084" ht="22" customHeight="1">
      <c r="A1084" t="inlineStr" s="1">
        <is>
          <t>日期</t>
        </is>
      </c>
      <c r="B1084" t="inlineStr" s="1">
        <is>
          <t>星期</t>
        </is>
      </c>
      <c r="C1084" t="inlineStr" s="1">
        <is>
          <t>分类</t>
        </is>
      </c>
      <c r="D1084" t="inlineStr" s="1">
        <is>
          <t>事项</t>
        </is>
      </c>
      <c r="E1084" t="inlineStr" s="1">
        <is>
          <t>支出金额</t>
        </is>
      </c>
      <c r="F1084" t="inlineStr" s="1">
        <is>
          <t>收入金额</t>
        </is>
      </c>
      <c r="G1084" t="inlineStr" s="1">
        <is>
          <t>当笔净额</t>
        </is>
      </c>
      <c r="H1084" t="inlineStr" s="1">
        <is>
          <t>支付方式</t>
        </is>
      </c>
      <c r="I1084" t="inlineStr" s="1">
        <is>
          <t>备注</t>
        </is>
      </c>
    </row>
    <row r="1085" ht="21" customHeight="1">
      <c r="A1085" s="3">
        <v>46335</v>
      </c>
      <c r="B1085" t="inlineStr" s="4">
        <is>
          <t>星期一</t>
        </is>
      </c>
      <c r="C1085" t="inlineStr" s="4">
        <is>
          <t>餐饮</t>
        </is>
      </c>
      <c r="D1085" t="inlineStr" s="5">
        <is>
          <t>早餐</t>
        </is>
      </c>
      <c r="E1085" s="6"/>
      <c r="F1085" s="6"/>
      <c r="G1085" s="6">
        <f>IF(AND(E1085="",F1085=""),"",F1085-E1085)</f>
      </c>
      <c r="H1085" s="4"/>
      <c r="I1085" s="5"/>
    </row>
    <row r="1086" ht="21" customHeight="1">
      <c r="A1086" s="3">
        <v>46335</v>
      </c>
      <c r="B1086" t="inlineStr" s="4">
        <is>
          <t>星期一</t>
        </is>
      </c>
      <c r="C1086" t="inlineStr" s="4">
        <is>
          <t>餐饮</t>
        </is>
      </c>
      <c r="D1086" t="inlineStr" s="5">
        <is>
          <t>中餐</t>
        </is>
      </c>
      <c r="E1086" s="6"/>
      <c r="F1086" s="6"/>
      <c r="G1086" s="6">
        <f>IF(AND(E1086="",F1086=""),"",F1086-E1086)</f>
      </c>
      <c r="H1086" s="4"/>
      <c r="I1086" s="5"/>
    </row>
    <row r="1087" ht="21" customHeight="1">
      <c r="A1087" s="3">
        <v>46335</v>
      </c>
      <c r="B1087" t="inlineStr" s="4">
        <is>
          <t>星期一</t>
        </is>
      </c>
      <c r="C1087" t="inlineStr" s="4">
        <is>
          <t>餐饮</t>
        </is>
      </c>
      <c r="D1087" t="inlineStr" s="5">
        <is>
          <t>晚餐</t>
        </is>
      </c>
      <c r="E1087" s="6"/>
      <c r="F1087" s="6"/>
      <c r="G1087" s="6">
        <f>IF(AND(E1087="",F1087=""),"",F1087-E1087)</f>
      </c>
      <c r="H1087" s="4"/>
      <c r="I1087" s="5"/>
    </row>
    <row r="1088" ht="21" customHeight="1">
      <c r="A1088" s="3">
        <v>46335</v>
      </c>
      <c r="B1088" t="inlineStr" s="4">
        <is>
          <t>星期一</t>
        </is>
      </c>
      <c r="C1088" t="inlineStr" s="4">
        <is>
          <t>奶茶/咖啡</t>
        </is>
      </c>
      <c r="D1088" t="inlineStr" s="5">
        <is>
          <t>奶茶/咖啡</t>
        </is>
      </c>
      <c r="E1088" s="6"/>
      <c r="F1088" s="6"/>
      <c r="G1088" s="6">
        <f>IF(AND(E1088="",F1088=""),"",F1088-E1088)</f>
      </c>
      <c r="H1088" s="4"/>
      <c r="I1088" s="5"/>
    </row>
    <row r="1089" ht="21" customHeight="1">
      <c r="A1089" s="3">
        <v>46335</v>
      </c>
      <c r="B1089" t="inlineStr" s="4">
        <is>
          <t>星期一</t>
        </is>
      </c>
      <c r="C1089" t="inlineStr" s="4">
        <is>
          <t>其他</t>
        </is>
      </c>
      <c r="D1089" t="inlineStr" s="5">
        <is>
          <t>其他</t>
        </is>
      </c>
      <c r="E1089" s="6"/>
      <c r="F1089" s="6"/>
      <c r="G1089" s="6">
        <f>IF(AND(E1089="",F1089=""),"",F1089-E1089)</f>
      </c>
      <c r="H1089" s="4"/>
      <c r="I1089" s="5"/>
    </row>
    <row r="1090" ht="21" customHeight="1">
      <c r="A1090" s="3">
        <v>46335</v>
      </c>
      <c r="B1090" t="inlineStr" s="4">
        <is>
          <t>星期一</t>
        </is>
      </c>
      <c r="C1090" t="inlineStr" s="4">
        <is>
          <t>其他</t>
        </is>
      </c>
      <c r="D1090" t="inlineStr" s="5">
        <is>
          <t>其他</t>
        </is>
      </c>
      <c r="E1090" s="6"/>
      <c r="F1090" s="6"/>
      <c r="G1090" s="6">
        <f>IF(AND(E1090="",F1090=""),"",F1090-E1090)</f>
      </c>
      <c r="H1090" s="4"/>
      <c r="I1090" s="5"/>
    </row>
    <row r="1091" ht="21" customHeight="1">
      <c r="A1091" s="3">
        <v>46336</v>
      </c>
      <c r="B1091" t="inlineStr" s="4">
        <is>
          <t>星期二</t>
        </is>
      </c>
      <c r="C1091" t="inlineStr" s="4">
        <is>
          <t>餐饮</t>
        </is>
      </c>
      <c r="D1091" t="inlineStr" s="5">
        <is>
          <t>早餐</t>
        </is>
      </c>
      <c r="E1091" s="6"/>
      <c r="F1091" s="6"/>
      <c r="G1091" s="6">
        <f>IF(AND(E1091="",F1091=""),"",F1091-E1091)</f>
      </c>
      <c r="H1091" s="4"/>
      <c r="I1091" s="5"/>
    </row>
    <row r="1092" ht="21" customHeight="1">
      <c r="A1092" s="3">
        <v>46336</v>
      </c>
      <c r="B1092" t="inlineStr" s="4">
        <is>
          <t>星期二</t>
        </is>
      </c>
      <c r="C1092" t="inlineStr" s="4">
        <is>
          <t>餐饮</t>
        </is>
      </c>
      <c r="D1092" t="inlineStr" s="5">
        <is>
          <t>中餐</t>
        </is>
      </c>
      <c r="E1092" s="6"/>
      <c r="F1092" s="6"/>
      <c r="G1092" s="6">
        <f>IF(AND(E1092="",F1092=""),"",F1092-E1092)</f>
      </c>
      <c r="H1092" s="4"/>
      <c r="I1092" s="5"/>
    </row>
    <row r="1093" ht="21" customHeight="1">
      <c r="A1093" s="3">
        <v>46336</v>
      </c>
      <c r="B1093" t="inlineStr" s="4">
        <is>
          <t>星期二</t>
        </is>
      </c>
      <c r="C1093" t="inlineStr" s="4">
        <is>
          <t>餐饮</t>
        </is>
      </c>
      <c r="D1093" t="inlineStr" s="5">
        <is>
          <t>晚餐</t>
        </is>
      </c>
      <c r="E1093" s="6"/>
      <c r="F1093" s="6"/>
      <c r="G1093" s="6">
        <f>IF(AND(E1093="",F1093=""),"",F1093-E1093)</f>
      </c>
      <c r="H1093" s="4"/>
      <c r="I1093" s="5"/>
    </row>
    <row r="1094" ht="21" customHeight="1">
      <c r="A1094" s="3">
        <v>46336</v>
      </c>
      <c r="B1094" t="inlineStr" s="4">
        <is>
          <t>星期二</t>
        </is>
      </c>
      <c r="C1094" t="inlineStr" s="4">
        <is>
          <t>奶茶/咖啡</t>
        </is>
      </c>
      <c r="D1094" t="inlineStr" s="5">
        <is>
          <t>奶茶/咖啡</t>
        </is>
      </c>
      <c r="E1094" s="6"/>
      <c r="F1094" s="6"/>
      <c r="G1094" s="6">
        <f>IF(AND(E1094="",F1094=""),"",F1094-E1094)</f>
      </c>
      <c r="H1094" s="4"/>
      <c r="I1094" s="5"/>
    </row>
    <row r="1095" ht="21" customHeight="1">
      <c r="A1095" s="3">
        <v>46336</v>
      </c>
      <c r="B1095" t="inlineStr" s="4">
        <is>
          <t>星期二</t>
        </is>
      </c>
      <c r="C1095" t="inlineStr" s="4">
        <is>
          <t>其他</t>
        </is>
      </c>
      <c r="D1095" t="inlineStr" s="5">
        <is>
          <t>其他</t>
        </is>
      </c>
      <c r="E1095" s="6"/>
      <c r="F1095" s="6"/>
      <c r="G1095" s="6">
        <f>IF(AND(E1095="",F1095=""),"",F1095-E1095)</f>
      </c>
      <c r="H1095" s="4"/>
      <c r="I1095" s="5"/>
    </row>
    <row r="1096" ht="21" customHeight="1">
      <c r="A1096" s="3">
        <v>46336</v>
      </c>
      <c r="B1096" t="inlineStr" s="4">
        <is>
          <t>星期二</t>
        </is>
      </c>
      <c r="C1096" t="inlineStr" s="4">
        <is>
          <t>其他</t>
        </is>
      </c>
      <c r="D1096" t="inlineStr" s="5">
        <is>
          <t>其他</t>
        </is>
      </c>
      <c r="E1096" s="6"/>
      <c r="F1096" s="6"/>
      <c r="G1096" s="6">
        <f>IF(AND(E1096="",F1096=""),"",F1096-E1096)</f>
      </c>
      <c r="H1096" s="4"/>
      <c r="I1096" s="5"/>
    </row>
    <row r="1097" ht="21" customHeight="1">
      <c r="A1097" s="3">
        <v>46337</v>
      </c>
      <c r="B1097" t="inlineStr" s="4">
        <is>
          <t>星期三</t>
        </is>
      </c>
      <c r="C1097" t="inlineStr" s="4">
        <is>
          <t>餐饮</t>
        </is>
      </c>
      <c r="D1097" t="inlineStr" s="5">
        <is>
          <t>早餐</t>
        </is>
      </c>
      <c r="E1097" s="6"/>
      <c r="F1097" s="6"/>
      <c r="G1097" s="6">
        <f>IF(AND(E1097="",F1097=""),"",F1097-E1097)</f>
      </c>
      <c r="H1097" s="4"/>
      <c r="I1097" s="5"/>
    </row>
    <row r="1098" ht="21" customHeight="1">
      <c r="A1098" s="3">
        <v>46337</v>
      </c>
      <c r="B1098" t="inlineStr" s="4">
        <is>
          <t>星期三</t>
        </is>
      </c>
      <c r="C1098" t="inlineStr" s="4">
        <is>
          <t>餐饮</t>
        </is>
      </c>
      <c r="D1098" t="inlineStr" s="5">
        <is>
          <t>中餐</t>
        </is>
      </c>
      <c r="E1098" s="6"/>
      <c r="F1098" s="6"/>
      <c r="G1098" s="6">
        <f>IF(AND(E1098="",F1098=""),"",F1098-E1098)</f>
      </c>
      <c r="H1098" s="4"/>
      <c r="I1098" s="5"/>
    </row>
    <row r="1099" ht="21" customHeight="1">
      <c r="A1099" s="3">
        <v>46337</v>
      </c>
      <c r="B1099" t="inlineStr" s="4">
        <is>
          <t>星期三</t>
        </is>
      </c>
      <c r="C1099" t="inlineStr" s="4">
        <is>
          <t>餐饮</t>
        </is>
      </c>
      <c r="D1099" t="inlineStr" s="5">
        <is>
          <t>晚餐</t>
        </is>
      </c>
      <c r="E1099" s="6"/>
      <c r="F1099" s="6"/>
      <c r="G1099" s="6">
        <f>IF(AND(E1099="",F1099=""),"",F1099-E1099)</f>
      </c>
      <c r="H1099" s="4"/>
      <c r="I1099" s="5"/>
    </row>
    <row r="1100" ht="21" customHeight="1">
      <c r="A1100" s="3">
        <v>46337</v>
      </c>
      <c r="B1100" t="inlineStr" s="4">
        <is>
          <t>星期三</t>
        </is>
      </c>
      <c r="C1100" t="inlineStr" s="4">
        <is>
          <t>奶茶/咖啡</t>
        </is>
      </c>
      <c r="D1100" t="inlineStr" s="5">
        <is>
          <t>奶茶/咖啡</t>
        </is>
      </c>
      <c r="E1100" s="6"/>
      <c r="F1100" s="6"/>
      <c r="G1100" s="6">
        <f>IF(AND(E1100="",F1100=""),"",F1100-E1100)</f>
      </c>
      <c r="H1100" s="4"/>
      <c r="I1100" s="5"/>
    </row>
    <row r="1101" ht="21" customHeight="1">
      <c r="A1101" s="3">
        <v>46337</v>
      </c>
      <c r="B1101" t="inlineStr" s="4">
        <is>
          <t>星期三</t>
        </is>
      </c>
      <c r="C1101" t="inlineStr" s="4">
        <is>
          <t>其他</t>
        </is>
      </c>
      <c r="D1101" t="inlineStr" s="5">
        <is>
          <t>其他</t>
        </is>
      </c>
      <c r="E1101" s="6"/>
      <c r="F1101" s="6"/>
      <c r="G1101" s="6">
        <f>IF(AND(E1101="",F1101=""),"",F1101-E1101)</f>
      </c>
      <c r="H1101" s="4"/>
      <c r="I1101" s="5"/>
    </row>
    <row r="1102" ht="21" customHeight="1">
      <c r="A1102" s="3">
        <v>46337</v>
      </c>
      <c r="B1102" t="inlineStr" s="4">
        <is>
          <t>星期三</t>
        </is>
      </c>
      <c r="C1102" t="inlineStr" s="4">
        <is>
          <t>其他</t>
        </is>
      </c>
      <c r="D1102" t="inlineStr" s="5">
        <is>
          <t>其他</t>
        </is>
      </c>
      <c r="E1102" s="6"/>
      <c r="F1102" s="6"/>
      <c r="G1102" s="6">
        <f>IF(AND(E1102="",F1102=""),"",F1102-E1102)</f>
      </c>
      <c r="H1102" s="4"/>
      <c r="I1102" s="5"/>
    </row>
    <row r="1103" ht="21" customHeight="1">
      <c r="A1103" s="3">
        <v>46338</v>
      </c>
      <c r="B1103" t="inlineStr" s="4">
        <is>
          <t>星期四</t>
        </is>
      </c>
      <c r="C1103" t="inlineStr" s="4">
        <is>
          <t>餐饮</t>
        </is>
      </c>
      <c r="D1103" t="inlineStr" s="5">
        <is>
          <t>早餐</t>
        </is>
      </c>
      <c r="E1103" s="6"/>
      <c r="F1103" s="6"/>
      <c r="G1103" s="6">
        <f>IF(AND(E1103="",F1103=""),"",F1103-E1103)</f>
      </c>
      <c r="H1103" s="4"/>
      <c r="I1103" s="5"/>
    </row>
    <row r="1104" ht="21" customHeight="1">
      <c r="A1104" s="3">
        <v>46338</v>
      </c>
      <c r="B1104" t="inlineStr" s="4">
        <is>
          <t>星期四</t>
        </is>
      </c>
      <c r="C1104" t="inlineStr" s="4">
        <is>
          <t>餐饮</t>
        </is>
      </c>
      <c r="D1104" t="inlineStr" s="5">
        <is>
          <t>中餐</t>
        </is>
      </c>
      <c r="E1104" s="6"/>
      <c r="F1104" s="6"/>
      <c r="G1104" s="6">
        <f>IF(AND(E1104="",F1104=""),"",F1104-E1104)</f>
      </c>
      <c r="H1104" s="4"/>
      <c r="I1104" s="5"/>
    </row>
    <row r="1105" ht="21" customHeight="1">
      <c r="A1105" s="3">
        <v>46338</v>
      </c>
      <c r="B1105" t="inlineStr" s="4">
        <is>
          <t>星期四</t>
        </is>
      </c>
      <c r="C1105" t="inlineStr" s="4">
        <is>
          <t>餐饮</t>
        </is>
      </c>
      <c r="D1105" t="inlineStr" s="5">
        <is>
          <t>晚餐</t>
        </is>
      </c>
      <c r="E1105" s="6"/>
      <c r="F1105" s="6"/>
      <c r="G1105" s="6">
        <f>IF(AND(E1105="",F1105=""),"",F1105-E1105)</f>
      </c>
      <c r="H1105" s="4"/>
      <c r="I1105" s="5"/>
    </row>
    <row r="1106" ht="21" customHeight="1">
      <c r="A1106" s="3">
        <v>46338</v>
      </c>
      <c r="B1106" t="inlineStr" s="4">
        <is>
          <t>星期四</t>
        </is>
      </c>
      <c r="C1106" t="inlineStr" s="4">
        <is>
          <t>奶茶/咖啡</t>
        </is>
      </c>
      <c r="D1106" t="inlineStr" s="5">
        <is>
          <t>奶茶/咖啡</t>
        </is>
      </c>
      <c r="E1106" s="6"/>
      <c r="F1106" s="6"/>
      <c r="G1106" s="6">
        <f>IF(AND(E1106="",F1106=""),"",F1106-E1106)</f>
      </c>
      <c r="H1106" s="4"/>
      <c r="I1106" s="5"/>
    </row>
    <row r="1107" ht="21" customHeight="1">
      <c r="A1107" s="3">
        <v>46338</v>
      </c>
      <c r="B1107" t="inlineStr" s="4">
        <is>
          <t>星期四</t>
        </is>
      </c>
      <c r="C1107" t="inlineStr" s="4">
        <is>
          <t>其他</t>
        </is>
      </c>
      <c r="D1107" t="inlineStr" s="5">
        <is>
          <t>其他</t>
        </is>
      </c>
      <c r="E1107" s="6"/>
      <c r="F1107" s="6"/>
      <c r="G1107" s="6">
        <f>IF(AND(E1107="",F1107=""),"",F1107-E1107)</f>
      </c>
      <c r="H1107" s="4"/>
      <c r="I1107" s="5"/>
    </row>
    <row r="1108" ht="21" customHeight="1">
      <c r="A1108" s="3">
        <v>46338</v>
      </c>
      <c r="B1108" t="inlineStr" s="4">
        <is>
          <t>星期四</t>
        </is>
      </c>
      <c r="C1108" t="inlineStr" s="4">
        <is>
          <t>其他</t>
        </is>
      </c>
      <c r="D1108" t="inlineStr" s="5">
        <is>
          <t>其他</t>
        </is>
      </c>
      <c r="E1108" s="6"/>
      <c r="F1108" s="6"/>
      <c r="G1108" s="6">
        <f>IF(AND(E1108="",F1108=""),"",F1108-E1108)</f>
      </c>
      <c r="H1108" s="4"/>
      <c r="I1108" s="5"/>
    </row>
    <row r="1109" ht="21" customHeight="1">
      <c r="A1109" s="3">
        <v>46339</v>
      </c>
      <c r="B1109" t="inlineStr" s="4">
        <is>
          <t>星期五</t>
        </is>
      </c>
      <c r="C1109" t="inlineStr" s="4">
        <is>
          <t>餐饮</t>
        </is>
      </c>
      <c r="D1109" t="inlineStr" s="5">
        <is>
          <t>早餐</t>
        </is>
      </c>
      <c r="E1109" s="6"/>
      <c r="F1109" s="6"/>
      <c r="G1109" s="6">
        <f>IF(AND(E1109="",F1109=""),"",F1109-E1109)</f>
      </c>
      <c r="H1109" s="4"/>
      <c r="I1109" s="5"/>
    </row>
    <row r="1110" ht="21" customHeight="1">
      <c r="A1110" s="3">
        <v>46339</v>
      </c>
      <c r="B1110" t="inlineStr" s="4">
        <is>
          <t>星期五</t>
        </is>
      </c>
      <c r="C1110" t="inlineStr" s="4">
        <is>
          <t>餐饮</t>
        </is>
      </c>
      <c r="D1110" t="inlineStr" s="5">
        <is>
          <t>中餐</t>
        </is>
      </c>
      <c r="E1110" s="6"/>
      <c r="F1110" s="6"/>
      <c r="G1110" s="6">
        <f>IF(AND(E1110="",F1110=""),"",F1110-E1110)</f>
      </c>
      <c r="H1110" s="4"/>
      <c r="I1110" s="5"/>
    </row>
    <row r="1111" ht="21" customHeight="1">
      <c r="A1111" s="3">
        <v>46339</v>
      </c>
      <c r="B1111" t="inlineStr" s="4">
        <is>
          <t>星期五</t>
        </is>
      </c>
      <c r="C1111" t="inlineStr" s="4">
        <is>
          <t>餐饮</t>
        </is>
      </c>
      <c r="D1111" t="inlineStr" s="5">
        <is>
          <t>晚餐</t>
        </is>
      </c>
      <c r="E1111" s="6"/>
      <c r="F1111" s="6"/>
      <c r="G1111" s="6">
        <f>IF(AND(E1111="",F1111=""),"",F1111-E1111)</f>
      </c>
      <c r="H1111" s="4"/>
      <c r="I1111" s="5"/>
    </row>
    <row r="1112" ht="21" customHeight="1">
      <c r="A1112" s="3">
        <v>46339</v>
      </c>
      <c r="B1112" t="inlineStr" s="4">
        <is>
          <t>星期五</t>
        </is>
      </c>
      <c r="C1112" t="inlineStr" s="4">
        <is>
          <t>奶茶/咖啡</t>
        </is>
      </c>
      <c r="D1112" t="inlineStr" s="5">
        <is>
          <t>奶茶/咖啡</t>
        </is>
      </c>
      <c r="E1112" s="6"/>
      <c r="F1112" s="6"/>
      <c r="G1112" s="6">
        <f>IF(AND(E1112="",F1112=""),"",F1112-E1112)</f>
      </c>
      <c r="H1112" s="4"/>
      <c r="I1112" s="5"/>
    </row>
    <row r="1113" ht="21" customHeight="1">
      <c r="A1113" s="3">
        <v>46339</v>
      </c>
      <c r="B1113" t="inlineStr" s="4">
        <is>
          <t>星期五</t>
        </is>
      </c>
      <c r="C1113" t="inlineStr" s="4">
        <is>
          <t>其他</t>
        </is>
      </c>
      <c r="D1113" t="inlineStr" s="5">
        <is>
          <t>其他</t>
        </is>
      </c>
      <c r="E1113" s="6"/>
      <c r="F1113" s="6"/>
      <c r="G1113" s="6">
        <f>IF(AND(E1113="",F1113=""),"",F1113-E1113)</f>
      </c>
      <c r="H1113" s="4"/>
      <c r="I1113" s="5"/>
    </row>
    <row r="1114" ht="21" customHeight="1">
      <c r="A1114" s="3">
        <v>46339</v>
      </c>
      <c r="B1114" t="inlineStr" s="4">
        <is>
          <t>星期五</t>
        </is>
      </c>
      <c r="C1114" t="inlineStr" s="4">
        <is>
          <t>其他</t>
        </is>
      </c>
      <c r="D1114" t="inlineStr" s="5">
        <is>
          <t>其他</t>
        </is>
      </c>
      <c r="E1114" s="6"/>
      <c r="F1114" s="6"/>
      <c r="G1114" s="6">
        <f>IF(AND(E1114="",F1114=""),"",F1114-E1114)</f>
      </c>
      <c r="H1114" s="4"/>
      <c r="I1114" s="5"/>
    </row>
    <row r="1115" ht="21" customHeight="1">
      <c r="A1115" s="3">
        <v>46340</v>
      </c>
      <c r="B1115" t="inlineStr" s="4">
        <is>
          <t>星期六</t>
        </is>
      </c>
      <c r="C1115" t="inlineStr" s="4">
        <is>
          <t>餐饮</t>
        </is>
      </c>
      <c r="D1115" t="inlineStr" s="5">
        <is>
          <t>早餐</t>
        </is>
      </c>
      <c r="E1115" s="6"/>
      <c r="F1115" s="6"/>
      <c r="G1115" s="6">
        <f>IF(AND(E1115="",F1115=""),"",F1115-E1115)</f>
      </c>
      <c r="H1115" s="4"/>
      <c r="I1115" s="5"/>
    </row>
    <row r="1116" ht="21" customHeight="1">
      <c r="A1116" s="3">
        <v>46340</v>
      </c>
      <c r="B1116" t="inlineStr" s="4">
        <is>
          <t>星期六</t>
        </is>
      </c>
      <c r="C1116" t="inlineStr" s="4">
        <is>
          <t>餐饮</t>
        </is>
      </c>
      <c r="D1116" t="inlineStr" s="5">
        <is>
          <t>中餐</t>
        </is>
      </c>
      <c r="E1116" s="6"/>
      <c r="F1116" s="6"/>
      <c r="G1116" s="6">
        <f>IF(AND(E1116="",F1116=""),"",F1116-E1116)</f>
      </c>
      <c r="H1116" s="4"/>
      <c r="I1116" s="5"/>
    </row>
    <row r="1117" ht="21" customHeight="1">
      <c r="A1117" s="3">
        <v>46340</v>
      </c>
      <c r="B1117" t="inlineStr" s="4">
        <is>
          <t>星期六</t>
        </is>
      </c>
      <c r="C1117" t="inlineStr" s="4">
        <is>
          <t>餐饮</t>
        </is>
      </c>
      <c r="D1117" t="inlineStr" s="5">
        <is>
          <t>晚餐</t>
        </is>
      </c>
      <c r="E1117" s="6"/>
      <c r="F1117" s="6"/>
      <c r="G1117" s="6">
        <f>IF(AND(E1117="",F1117=""),"",F1117-E1117)</f>
      </c>
      <c r="H1117" s="4"/>
      <c r="I1117" s="5"/>
    </row>
    <row r="1118" ht="21" customHeight="1">
      <c r="A1118" s="3">
        <v>46340</v>
      </c>
      <c r="B1118" t="inlineStr" s="4">
        <is>
          <t>星期六</t>
        </is>
      </c>
      <c r="C1118" t="inlineStr" s="4">
        <is>
          <t>奶茶/咖啡</t>
        </is>
      </c>
      <c r="D1118" t="inlineStr" s="5">
        <is>
          <t>奶茶/咖啡</t>
        </is>
      </c>
      <c r="E1118" s="6"/>
      <c r="F1118" s="6"/>
      <c r="G1118" s="6">
        <f>IF(AND(E1118="",F1118=""),"",F1118-E1118)</f>
      </c>
      <c r="H1118" s="4"/>
      <c r="I1118" s="5"/>
    </row>
    <row r="1119" ht="21" customHeight="1">
      <c r="A1119" s="3">
        <v>46340</v>
      </c>
      <c r="B1119" t="inlineStr" s="4">
        <is>
          <t>星期六</t>
        </is>
      </c>
      <c r="C1119" t="inlineStr" s="4">
        <is>
          <t>其他</t>
        </is>
      </c>
      <c r="D1119" t="inlineStr" s="5">
        <is>
          <t>其他</t>
        </is>
      </c>
      <c r="E1119" s="6"/>
      <c r="F1119" s="6"/>
      <c r="G1119" s="6">
        <f>IF(AND(E1119="",F1119=""),"",F1119-E1119)</f>
      </c>
      <c r="H1119" s="4"/>
      <c r="I1119" s="5"/>
    </row>
    <row r="1120" ht="21" customHeight="1">
      <c r="A1120" s="3">
        <v>46340</v>
      </c>
      <c r="B1120" t="inlineStr" s="4">
        <is>
          <t>星期六</t>
        </is>
      </c>
      <c r="C1120" t="inlineStr" s="4">
        <is>
          <t>其他</t>
        </is>
      </c>
      <c r="D1120" t="inlineStr" s="5">
        <is>
          <t>其他</t>
        </is>
      </c>
      <c r="E1120" s="6"/>
      <c r="F1120" s="6"/>
      <c r="G1120" s="6">
        <f>IF(AND(E1120="",F1120=""),"",F1120-E1120)</f>
      </c>
      <c r="H1120" s="4"/>
      <c r="I1120" s="5"/>
    </row>
    <row r="1121" ht="21" customHeight="1">
      <c r="A1121" s="3">
        <v>46341</v>
      </c>
      <c r="B1121" t="inlineStr" s="4">
        <is>
          <t>星期日</t>
        </is>
      </c>
      <c r="C1121" t="inlineStr" s="4">
        <is>
          <t>餐饮</t>
        </is>
      </c>
      <c r="D1121" t="inlineStr" s="5">
        <is>
          <t>早餐</t>
        </is>
      </c>
      <c r="E1121" s="6"/>
      <c r="F1121" s="6"/>
      <c r="G1121" s="6">
        <f>IF(AND(E1121="",F1121=""),"",F1121-E1121)</f>
      </c>
      <c r="H1121" s="4"/>
      <c r="I1121" s="5"/>
    </row>
    <row r="1122" ht="21" customHeight="1">
      <c r="A1122" s="3">
        <v>46341</v>
      </c>
      <c r="B1122" t="inlineStr" s="4">
        <is>
          <t>星期日</t>
        </is>
      </c>
      <c r="C1122" t="inlineStr" s="4">
        <is>
          <t>餐饮</t>
        </is>
      </c>
      <c r="D1122" t="inlineStr" s="5">
        <is>
          <t>中餐</t>
        </is>
      </c>
      <c r="E1122" s="6"/>
      <c r="F1122" s="6"/>
      <c r="G1122" s="6">
        <f>IF(AND(E1122="",F1122=""),"",F1122-E1122)</f>
      </c>
      <c r="H1122" s="4"/>
      <c r="I1122" s="5"/>
    </row>
    <row r="1123" ht="21" customHeight="1">
      <c r="A1123" s="3">
        <v>46341</v>
      </c>
      <c r="B1123" t="inlineStr" s="4">
        <is>
          <t>星期日</t>
        </is>
      </c>
      <c r="C1123" t="inlineStr" s="4">
        <is>
          <t>餐饮</t>
        </is>
      </c>
      <c r="D1123" t="inlineStr" s="5">
        <is>
          <t>晚餐</t>
        </is>
      </c>
      <c r="E1123" s="6"/>
      <c r="F1123" s="6"/>
      <c r="G1123" s="6">
        <f>IF(AND(E1123="",F1123=""),"",F1123-E1123)</f>
      </c>
      <c r="H1123" s="4"/>
      <c r="I1123" s="5"/>
    </row>
    <row r="1124" ht="21" customHeight="1">
      <c r="A1124" s="3">
        <v>46341</v>
      </c>
      <c r="B1124" t="inlineStr" s="4">
        <is>
          <t>星期日</t>
        </is>
      </c>
      <c r="C1124" t="inlineStr" s="4">
        <is>
          <t>奶茶/咖啡</t>
        </is>
      </c>
      <c r="D1124" t="inlineStr" s="5">
        <is>
          <t>奶茶/咖啡</t>
        </is>
      </c>
      <c r="E1124" s="6"/>
      <c r="F1124" s="6"/>
      <c r="G1124" s="6">
        <f>IF(AND(E1124="",F1124=""),"",F1124-E1124)</f>
      </c>
      <c r="H1124" s="4"/>
      <c r="I1124" s="5"/>
    </row>
    <row r="1125" ht="21" customHeight="1">
      <c r="A1125" s="3">
        <v>46341</v>
      </c>
      <c r="B1125" t="inlineStr" s="4">
        <is>
          <t>星期日</t>
        </is>
      </c>
      <c r="C1125" t="inlineStr" s="4">
        <is>
          <t>其他</t>
        </is>
      </c>
      <c r="D1125" t="inlineStr" s="5">
        <is>
          <t>其他</t>
        </is>
      </c>
      <c r="E1125" s="6"/>
      <c r="F1125" s="6"/>
      <c r="G1125" s="6">
        <f>IF(AND(E1125="",F1125=""),"",F1125-E1125)</f>
      </c>
      <c r="H1125" s="4"/>
      <c r="I1125" s="5"/>
    </row>
    <row r="1126" ht="21" customHeight="1">
      <c r="A1126" s="3">
        <v>46341</v>
      </c>
      <c r="B1126" t="inlineStr" s="4">
        <is>
          <t>星期日</t>
        </is>
      </c>
      <c r="C1126" t="inlineStr" s="4">
        <is>
          <t>其他</t>
        </is>
      </c>
      <c r="D1126" t="inlineStr" s="5">
        <is>
          <t>其他</t>
        </is>
      </c>
      <c r="E1126" s="6"/>
      <c r="F1126" s="6"/>
      <c r="G1126" s="6">
        <f>IF(AND(E1126="",F1126=""),"",F1126-E1126)</f>
      </c>
      <c r="H1126" s="4"/>
      <c r="I1126" s="5"/>
    </row>
    <row r="1127" ht="23" customHeight="1">
      <c r="A1127" t="inlineStr" s="7">
        <is>
          <t>本周小计</t>
        </is>
      </c>
      <c r="B1127" s="7"/>
      <c r="C1127" s="7"/>
      <c r="D1127" s="7"/>
      <c r="E1127" s="8">
        <f>SUM(E1085:E1126)</f>
      </c>
      <c r="F1127" s="8">
        <f>SUM(F1085:F1126)</f>
      </c>
      <c r="G1127" s="8">
        <f>SUM(G1085:G1126)</f>
      </c>
      <c r="H1127" s="7"/>
      <c r="I1127" s="7"/>
    </row>
    <row r="1128" ht="18" customHeight="1">
      <c r="A1128" s="9"/>
      <c r="B1128" s="9"/>
      <c r="C1128" s="9"/>
      <c r="D1128" s="9"/>
      <c r="E1128" s="9"/>
      <c r="F1128" s="9"/>
      <c r="G1128" s="9"/>
      <c r="H1128" s="9"/>
      <c r="I1128" s="9"/>
    </row>
    <row r="1129" ht="18" customHeight="1">
      <c r="A1129" s="9"/>
      <c r="B1129" s="9"/>
      <c r="C1129" s="9"/>
      <c r="D1129" s="9"/>
      <c r="E1129" s="9"/>
      <c r="F1129" s="9"/>
      <c r="G1129" s="9"/>
      <c r="H1129" s="9"/>
      <c r="I1129" s="9"/>
    </row>
    <row r="1130" ht="26" customHeight="1">
      <c r="A1130" t="inlineStr" s="2">
        <is>
          <t>2026年11月｜第三周（11月16日 - 11月22日）</t>
        </is>
      </c>
      <c r="B1130" s="2"/>
      <c r="C1130" s="2"/>
      <c r="D1130" s="2"/>
      <c r="E1130" s="2"/>
      <c r="F1130" s="2"/>
      <c r="G1130" s="2"/>
      <c r="H1130" s="2"/>
      <c r="I1130" s="2"/>
    </row>
    <row r="1131" ht="22" customHeight="1">
      <c r="A1131" t="inlineStr" s="1">
        <is>
          <t>日期</t>
        </is>
      </c>
      <c r="B1131" t="inlineStr" s="1">
        <is>
          <t>星期</t>
        </is>
      </c>
      <c r="C1131" t="inlineStr" s="1">
        <is>
          <t>分类</t>
        </is>
      </c>
      <c r="D1131" t="inlineStr" s="1">
        <is>
          <t>事项</t>
        </is>
      </c>
      <c r="E1131" t="inlineStr" s="1">
        <is>
          <t>支出金额</t>
        </is>
      </c>
      <c r="F1131" t="inlineStr" s="1">
        <is>
          <t>收入金额</t>
        </is>
      </c>
      <c r="G1131" t="inlineStr" s="1">
        <is>
          <t>当笔净额</t>
        </is>
      </c>
      <c r="H1131" t="inlineStr" s="1">
        <is>
          <t>支付方式</t>
        </is>
      </c>
      <c r="I1131" t="inlineStr" s="1">
        <is>
          <t>备注</t>
        </is>
      </c>
    </row>
    <row r="1132" ht="21" customHeight="1">
      <c r="A1132" s="3">
        <v>46342</v>
      </c>
      <c r="B1132" t="inlineStr" s="4">
        <is>
          <t>星期一</t>
        </is>
      </c>
      <c r="C1132" t="inlineStr" s="4">
        <is>
          <t>餐饮</t>
        </is>
      </c>
      <c r="D1132" t="inlineStr" s="5">
        <is>
          <t>早餐</t>
        </is>
      </c>
      <c r="E1132" s="6"/>
      <c r="F1132" s="6"/>
      <c r="G1132" s="6">
        <f>IF(AND(E1132="",F1132=""),"",F1132-E1132)</f>
      </c>
      <c r="H1132" s="4"/>
      <c r="I1132" s="5"/>
    </row>
    <row r="1133" ht="21" customHeight="1">
      <c r="A1133" s="3">
        <v>46342</v>
      </c>
      <c r="B1133" t="inlineStr" s="4">
        <is>
          <t>星期一</t>
        </is>
      </c>
      <c r="C1133" t="inlineStr" s="4">
        <is>
          <t>餐饮</t>
        </is>
      </c>
      <c r="D1133" t="inlineStr" s="5">
        <is>
          <t>中餐</t>
        </is>
      </c>
      <c r="E1133" s="6"/>
      <c r="F1133" s="6"/>
      <c r="G1133" s="6">
        <f>IF(AND(E1133="",F1133=""),"",F1133-E1133)</f>
      </c>
      <c r="H1133" s="4"/>
      <c r="I1133" s="5"/>
    </row>
    <row r="1134" ht="21" customHeight="1">
      <c r="A1134" s="3">
        <v>46342</v>
      </c>
      <c r="B1134" t="inlineStr" s="4">
        <is>
          <t>星期一</t>
        </is>
      </c>
      <c r="C1134" t="inlineStr" s="4">
        <is>
          <t>餐饮</t>
        </is>
      </c>
      <c r="D1134" t="inlineStr" s="5">
        <is>
          <t>晚餐</t>
        </is>
      </c>
      <c r="E1134" s="6"/>
      <c r="F1134" s="6"/>
      <c r="G1134" s="6">
        <f>IF(AND(E1134="",F1134=""),"",F1134-E1134)</f>
      </c>
      <c r="H1134" s="4"/>
      <c r="I1134" s="5"/>
    </row>
    <row r="1135" ht="21" customHeight="1">
      <c r="A1135" s="3">
        <v>46342</v>
      </c>
      <c r="B1135" t="inlineStr" s="4">
        <is>
          <t>星期一</t>
        </is>
      </c>
      <c r="C1135" t="inlineStr" s="4">
        <is>
          <t>奶茶/咖啡</t>
        </is>
      </c>
      <c r="D1135" t="inlineStr" s="5">
        <is>
          <t>奶茶/咖啡</t>
        </is>
      </c>
      <c r="E1135" s="6"/>
      <c r="F1135" s="6"/>
      <c r="G1135" s="6">
        <f>IF(AND(E1135="",F1135=""),"",F1135-E1135)</f>
      </c>
      <c r="H1135" s="4"/>
      <c r="I1135" s="5"/>
    </row>
    <row r="1136" ht="21" customHeight="1">
      <c r="A1136" s="3">
        <v>46342</v>
      </c>
      <c r="B1136" t="inlineStr" s="4">
        <is>
          <t>星期一</t>
        </is>
      </c>
      <c r="C1136" t="inlineStr" s="4">
        <is>
          <t>其他</t>
        </is>
      </c>
      <c r="D1136" t="inlineStr" s="5">
        <is>
          <t>其他</t>
        </is>
      </c>
      <c r="E1136" s="6"/>
      <c r="F1136" s="6"/>
      <c r="G1136" s="6">
        <f>IF(AND(E1136="",F1136=""),"",F1136-E1136)</f>
      </c>
      <c r="H1136" s="4"/>
      <c r="I1136" s="5"/>
    </row>
    <row r="1137" ht="21" customHeight="1">
      <c r="A1137" s="3">
        <v>46342</v>
      </c>
      <c r="B1137" t="inlineStr" s="4">
        <is>
          <t>星期一</t>
        </is>
      </c>
      <c r="C1137" t="inlineStr" s="4">
        <is>
          <t>其他</t>
        </is>
      </c>
      <c r="D1137" t="inlineStr" s="5">
        <is>
          <t>其他</t>
        </is>
      </c>
      <c r="E1137" s="6"/>
      <c r="F1137" s="6"/>
      <c r="G1137" s="6">
        <f>IF(AND(E1137="",F1137=""),"",F1137-E1137)</f>
      </c>
      <c r="H1137" s="4"/>
      <c r="I1137" s="5"/>
    </row>
    <row r="1138" ht="21" customHeight="1">
      <c r="A1138" s="3">
        <v>46343</v>
      </c>
      <c r="B1138" t="inlineStr" s="4">
        <is>
          <t>星期二</t>
        </is>
      </c>
      <c r="C1138" t="inlineStr" s="4">
        <is>
          <t>餐饮</t>
        </is>
      </c>
      <c r="D1138" t="inlineStr" s="5">
        <is>
          <t>早餐</t>
        </is>
      </c>
      <c r="E1138" s="6"/>
      <c r="F1138" s="6"/>
      <c r="G1138" s="6">
        <f>IF(AND(E1138="",F1138=""),"",F1138-E1138)</f>
      </c>
      <c r="H1138" s="4"/>
      <c r="I1138" s="5"/>
    </row>
    <row r="1139" ht="21" customHeight="1">
      <c r="A1139" s="3">
        <v>46343</v>
      </c>
      <c r="B1139" t="inlineStr" s="4">
        <is>
          <t>星期二</t>
        </is>
      </c>
      <c r="C1139" t="inlineStr" s="4">
        <is>
          <t>餐饮</t>
        </is>
      </c>
      <c r="D1139" t="inlineStr" s="5">
        <is>
          <t>中餐</t>
        </is>
      </c>
      <c r="E1139" s="6"/>
      <c r="F1139" s="6"/>
      <c r="G1139" s="6">
        <f>IF(AND(E1139="",F1139=""),"",F1139-E1139)</f>
      </c>
      <c r="H1139" s="4"/>
      <c r="I1139" s="5"/>
    </row>
    <row r="1140" ht="21" customHeight="1">
      <c r="A1140" s="3">
        <v>46343</v>
      </c>
      <c r="B1140" t="inlineStr" s="4">
        <is>
          <t>星期二</t>
        </is>
      </c>
      <c r="C1140" t="inlineStr" s="4">
        <is>
          <t>餐饮</t>
        </is>
      </c>
      <c r="D1140" t="inlineStr" s="5">
        <is>
          <t>晚餐</t>
        </is>
      </c>
      <c r="E1140" s="6"/>
      <c r="F1140" s="6"/>
      <c r="G1140" s="6">
        <f>IF(AND(E1140="",F1140=""),"",F1140-E1140)</f>
      </c>
      <c r="H1140" s="4"/>
      <c r="I1140" s="5"/>
    </row>
    <row r="1141" ht="21" customHeight="1">
      <c r="A1141" s="3">
        <v>46343</v>
      </c>
      <c r="B1141" t="inlineStr" s="4">
        <is>
          <t>星期二</t>
        </is>
      </c>
      <c r="C1141" t="inlineStr" s="4">
        <is>
          <t>奶茶/咖啡</t>
        </is>
      </c>
      <c r="D1141" t="inlineStr" s="5">
        <is>
          <t>奶茶/咖啡</t>
        </is>
      </c>
      <c r="E1141" s="6"/>
      <c r="F1141" s="6"/>
      <c r="G1141" s="6">
        <f>IF(AND(E1141="",F1141=""),"",F1141-E1141)</f>
      </c>
      <c r="H1141" s="4"/>
      <c r="I1141" s="5"/>
    </row>
    <row r="1142" ht="21" customHeight="1">
      <c r="A1142" s="3">
        <v>46343</v>
      </c>
      <c r="B1142" t="inlineStr" s="4">
        <is>
          <t>星期二</t>
        </is>
      </c>
      <c r="C1142" t="inlineStr" s="4">
        <is>
          <t>其他</t>
        </is>
      </c>
      <c r="D1142" t="inlineStr" s="5">
        <is>
          <t>其他</t>
        </is>
      </c>
      <c r="E1142" s="6"/>
      <c r="F1142" s="6"/>
      <c r="G1142" s="6">
        <f>IF(AND(E1142="",F1142=""),"",F1142-E1142)</f>
      </c>
      <c r="H1142" s="4"/>
      <c r="I1142" s="5"/>
    </row>
    <row r="1143" ht="21" customHeight="1">
      <c r="A1143" s="3">
        <v>46343</v>
      </c>
      <c r="B1143" t="inlineStr" s="4">
        <is>
          <t>星期二</t>
        </is>
      </c>
      <c r="C1143" t="inlineStr" s="4">
        <is>
          <t>其他</t>
        </is>
      </c>
      <c r="D1143" t="inlineStr" s="5">
        <is>
          <t>其他</t>
        </is>
      </c>
      <c r="E1143" s="6"/>
      <c r="F1143" s="6"/>
      <c r="G1143" s="6">
        <f>IF(AND(E1143="",F1143=""),"",F1143-E1143)</f>
      </c>
      <c r="H1143" s="4"/>
      <c r="I1143" s="5"/>
    </row>
    <row r="1144" ht="21" customHeight="1">
      <c r="A1144" s="3">
        <v>46344</v>
      </c>
      <c r="B1144" t="inlineStr" s="4">
        <is>
          <t>星期三</t>
        </is>
      </c>
      <c r="C1144" t="inlineStr" s="4">
        <is>
          <t>餐饮</t>
        </is>
      </c>
      <c r="D1144" t="inlineStr" s="5">
        <is>
          <t>早餐</t>
        </is>
      </c>
      <c r="E1144" s="6"/>
      <c r="F1144" s="6"/>
      <c r="G1144" s="6">
        <f>IF(AND(E1144="",F1144=""),"",F1144-E1144)</f>
      </c>
      <c r="H1144" s="4"/>
      <c r="I1144" s="5"/>
    </row>
    <row r="1145" ht="21" customHeight="1">
      <c r="A1145" s="3">
        <v>46344</v>
      </c>
      <c r="B1145" t="inlineStr" s="4">
        <is>
          <t>星期三</t>
        </is>
      </c>
      <c r="C1145" t="inlineStr" s="4">
        <is>
          <t>餐饮</t>
        </is>
      </c>
      <c r="D1145" t="inlineStr" s="5">
        <is>
          <t>中餐</t>
        </is>
      </c>
      <c r="E1145" s="6"/>
      <c r="F1145" s="6"/>
      <c r="G1145" s="6">
        <f>IF(AND(E1145="",F1145=""),"",F1145-E1145)</f>
      </c>
      <c r="H1145" s="4"/>
      <c r="I1145" s="5"/>
    </row>
    <row r="1146" ht="21" customHeight="1">
      <c r="A1146" s="3">
        <v>46344</v>
      </c>
      <c r="B1146" t="inlineStr" s="4">
        <is>
          <t>星期三</t>
        </is>
      </c>
      <c r="C1146" t="inlineStr" s="4">
        <is>
          <t>餐饮</t>
        </is>
      </c>
      <c r="D1146" t="inlineStr" s="5">
        <is>
          <t>晚餐</t>
        </is>
      </c>
      <c r="E1146" s="6"/>
      <c r="F1146" s="6"/>
      <c r="G1146" s="6">
        <f>IF(AND(E1146="",F1146=""),"",F1146-E1146)</f>
      </c>
      <c r="H1146" s="4"/>
      <c r="I1146" s="5"/>
    </row>
    <row r="1147" ht="21" customHeight="1">
      <c r="A1147" s="3">
        <v>46344</v>
      </c>
      <c r="B1147" t="inlineStr" s="4">
        <is>
          <t>星期三</t>
        </is>
      </c>
      <c r="C1147" t="inlineStr" s="4">
        <is>
          <t>奶茶/咖啡</t>
        </is>
      </c>
      <c r="D1147" t="inlineStr" s="5">
        <is>
          <t>奶茶/咖啡</t>
        </is>
      </c>
      <c r="E1147" s="6"/>
      <c r="F1147" s="6"/>
      <c r="G1147" s="6">
        <f>IF(AND(E1147="",F1147=""),"",F1147-E1147)</f>
      </c>
      <c r="H1147" s="4"/>
      <c r="I1147" s="5"/>
    </row>
    <row r="1148" ht="21" customHeight="1">
      <c r="A1148" s="3">
        <v>46344</v>
      </c>
      <c r="B1148" t="inlineStr" s="4">
        <is>
          <t>星期三</t>
        </is>
      </c>
      <c r="C1148" t="inlineStr" s="4">
        <is>
          <t>其他</t>
        </is>
      </c>
      <c r="D1148" t="inlineStr" s="5">
        <is>
          <t>其他</t>
        </is>
      </c>
      <c r="E1148" s="6"/>
      <c r="F1148" s="6"/>
      <c r="G1148" s="6">
        <f>IF(AND(E1148="",F1148=""),"",F1148-E1148)</f>
      </c>
      <c r="H1148" s="4"/>
      <c r="I1148" s="5"/>
    </row>
    <row r="1149" ht="21" customHeight="1">
      <c r="A1149" s="3">
        <v>46344</v>
      </c>
      <c r="B1149" t="inlineStr" s="4">
        <is>
          <t>星期三</t>
        </is>
      </c>
      <c r="C1149" t="inlineStr" s="4">
        <is>
          <t>其他</t>
        </is>
      </c>
      <c r="D1149" t="inlineStr" s="5">
        <is>
          <t>其他</t>
        </is>
      </c>
      <c r="E1149" s="6"/>
      <c r="F1149" s="6"/>
      <c r="G1149" s="6">
        <f>IF(AND(E1149="",F1149=""),"",F1149-E1149)</f>
      </c>
      <c r="H1149" s="4"/>
      <c r="I1149" s="5"/>
    </row>
    <row r="1150" ht="21" customHeight="1">
      <c r="A1150" s="3">
        <v>46345</v>
      </c>
      <c r="B1150" t="inlineStr" s="4">
        <is>
          <t>星期四</t>
        </is>
      </c>
      <c r="C1150" t="inlineStr" s="4">
        <is>
          <t>餐饮</t>
        </is>
      </c>
      <c r="D1150" t="inlineStr" s="5">
        <is>
          <t>早餐</t>
        </is>
      </c>
      <c r="E1150" s="6"/>
      <c r="F1150" s="6"/>
      <c r="G1150" s="6">
        <f>IF(AND(E1150="",F1150=""),"",F1150-E1150)</f>
      </c>
      <c r="H1150" s="4"/>
      <c r="I1150" s="5"/>
    </row>
    <row r="1151" ht="21" customHeight="1">
      <c r="A1151" s="3">
        <v>46345</v>
      </c>
      <c r="B1151" t="inlineStr" s="4">
        <is>
          <t>星期四</t>
        </is>
      </c>
      <c r="C1151" t="inlineStr" s="4">
        <is>
          <t>餐饮</t>
        </is>
      </c>
      <c r="D1151" t="inlineStr" s="5">
        <is>
          <t>中餐</t>
        </is>
      </c>
      <c r="E1151" s="6"/>
      <c r="F1151" s="6"/>
      <c r="G1151" s="6">
        <f>IF(AND(E1151="",F1151=""),"",F1151-E1151)</f>
      </c>
      <c r="H1151" s="4"/>
      <c r="I1151" s="5"/>
    </row>
    <row r="1152" ht="21" customHeight="1">
      <c r="A1152" s="3">
        <v>46345</v>
      </c>
      <c r="B1152" t="inlineStr" s="4">
        <is>
          <t>星期四</t>
        </is>
      </c>
      <c r="C1152" t="inlineStr" s="4">
        <is>
          <t>餐饮</t>
        </is>
      </c>
      <c r="D1152" t="inlineStr" s="5">
        <is>
          <t>晚餐</t>
        </is>
      </c>
      <c r="E1152" s="6"/>
      <c r="F1152" s="6"/>
      <c r="G1152" s="6">
        <f>IF(AND(E1152="",F1152=""),"",F1152-E1152)</f>
      </c>
      <c r="H1152" s="4"/>
      <c r="I1152" s="5"/>
    </row>
    <row r="1153" ht="21" customHeight="1">
      <c r="A1153" s="3">
        <v>46345</v>
      </c>
      <c r="B1153" t="inlineStr" s="4">
        <is>
          <t>星期四</t>
        </is>
      </c>
      <c r="C1153" t="inlineStr" s="4">
        <is>
          <t>奶茶/咖啡</t>
        </is>
      </c>
      <c r="D1153" t="inlineStr" s="5">
        <is>
          <t>奶茶/咖啡</t>
        </is>
      </c>
      <c r="E1153" s="6"/>
      <c r="F1153" s="6"/>
      <c r="G1153" s="6">
        <f>IF(AND(E1153="",F1153=""),"",F1153-E1153)</f>
      </c>
      <c r="H1153" s="4"/>
      <c r="I1153" s="5"/>
    </row>
    <row r="1154" ht="21" customHeight="1">
      <c r="A1154" s="3">
        <v>46345</v>
      </c>
      <c r="B1154" t="inlineStr" s="4">
        <is>
          <t>星期四</t>
        </is>
      </c>
      <c r="C1154" t="inlineStr" s="4">
        <is>
          <t>其他</t>
        </is>
      </c>
      <c r="D1154" t="inlineStr" s="5">
        <is>
          <t>其他</t>
        </is>
      </c>
      <c r="E1154" s="6"/>
      <c r="F1154" s="6"/>
      <c r="G1154" s="6">
        <f>IF(AND(E1154="",F1154=""),"",F1154-E1154)</f>
      </c>
      <c r="H1154" s="4"/>
      <c r="I1154" s="5"/>
    </row>
    <row r="1155" ht="21" customHeight="1">
      <c r="A1155" s="3">
        <v>46345</v>
      </c>
      <c r="B1155" t="inlineStr" s="4">
        <is>
          <t>星期四</t>
        </is>
      </c>
      <c r="C1155" t="inlineStr" s="4">
        <is>
          <t>其他</t>
        </is>
      </c>
      <c r="D1155" t="inlineStr" s="5">
        <is>
          <t>其他</t>
        </is>
      </c>
      <c r="E1155" s="6"/>
      <c r="F1155" s="6"/>
      <c r="G1155" s="6">
        <f>IF(AND(E1155="",F1155=""),"",F1155-E1155)</f>
      </c>
      <c r="H1155" s="4"/>
      <c r="I1155" s="5"/>
    </row>
    <row r="1156" ht="21" customHeight="1">
      <c r="A1156" s="3">
        <v>46346</v>
      </c>
      <c r="B1156" t="inlineStr" s="4">
        <is>
          <t>星期五</t>
        </is>
      </c>
      <c r="C1156" t="inlineStr" s="4">
        <is>
          <t>餐饮</t>
        </is>
      </c>
      <c r="D1156" t="inlineStr" s="5">
        <is>
          <t>早餐</t>
        </is>
      </c>
      <c r="E1156" s="6"/>
      <c r="F1156" s="6"/>
      <c r="G1156" s="6">
        <f>IF(AND(E1156="",F1156=""),"",F1156-E1156)</f>
      </c>
      <c r="H1156" s="4"/>
      <c r="I1156" s="5"/>
    </row>
    <row r="1157" ht="21" customHeight="1">
      <c r="A1157" s="3">
        <v>46346</v>
      </c>
      <c r="B1157" t="inlineStr" s="4">
        <is>
          <t>星期五</t>
        </is>
      </c>
      <c r="C1157" t="inlineStr" s="4">
        <is>
          <t>餐饮</t>
        </is>
      </c>
      <c r="D1157" t="inlineStr" s="5">
        <is>
          <t>中餐</t>
        </is>
      </c>
      <c r="E1157" s="6"/>
      <c r="F1157" s="6"/>
      <c r="G1157" s="6">
        <f>IF(AND(E1157="",F1157=""),"",F1157-E1157)</f>
      </c>
      <c r="H1157" s="4"/>
      <c r="I1157" s="5"/>
    </row>
    <row r="1158" ht="21" customHeight="1">
      <c r="A1158" s="3">
        <v>46346</v>
      </c>
      <c r="B1158" t="inlineStr" s="4">
        <is>
          <t>星期五</t>
        </is>
      </c>
      <c r="C1158" t="inlineStr" s="4">
        <is>
          <t>餐饮</t>
        </is>
      </c>
      <c r="D1158" t="inlineStr" s="5">
        <is>
          <t>晚餐</t>
        </is>
      </c>
      <c r="E1158" s="6"/>
      <c r="F1158" s="6"/>
      <c r="G1158" s="6">
        <f>IF(AND(E1158="",F1158=""),"",F1158-E1158)</f>
      </c>
      <c r="H1158" s="4"/>
      <c r="I1158" s="5"/>
    </row>
    <row r="1159" ht="21" customHeight="1">
      <c r="A1159" s="3">
        <v>46346</v>
      </c>
      <c r="B1159" t="inlineStr" s="4">
        <is>
          <t>星期五</t>
        </is>
      </c>
      <c r="C1159" t="inlineStr" s="4">
        <is>
          <t>奶茶/咖啡</t>
        </is>
      </c>
      <c r="D1159" t="inlineStr" s="5">
        <is>
          <t>奶茶/咖啡</t>
        </is>
      </c>
      <c r="E1159" s="6"/>
      <c r="F1159" s="6"/>
      <c r="G1159" s="6">
        <f>IF(AND(E1159="",F1159=""),"",F1159-E1159)</f>
      </c>
      <c r="H1159" s="4"/>
      <c r="I1159" s="5"/>
    </row>
    <row r="1160" ht="21" customHeight="1">
      <c r="A1160" s="3">
        <v>46346</v>
      </c>
      <c r="B1160" t="inlineStr" s="4">
        <is>
          <t>星期五</t>
        </is>
      </c>
      <c r="C1160" t="inlineStr" s="4">
        <is>
          <t>其他</t>
        </is>
      </c>
      <c r="D1160" t="inlineStr" s="5">
        <is>
          <t>其他</t>
        </is>
      </c>
      <c r="E1160" s="6"/>
      <c r="F1160" s="6"/>
      <c r="G1160" s="6">
        <f>IF(AND(E1160="",F1160=""),"",F1160-E1160)</f>
      </c>
      <c r="H1160" s="4"/>
      <c r="I1160" s="5"/>
    </row>
    <row r="1161" ht="21" customHeight="1">
      <c r="A1161" s="3">
        <v>46346</v>
      </c>
      <c r="B1161" t="inlineStr" s="4">
        <is>
          <t>星期五</t>
        </is>
      </c>
      <c r="C1161" t="inlineStr" s="4">
        <is>
          <t>其他</t>
        </is>
      </c>
      <c r="D1161" t="inlineStr" s="5">
        <is>
          <t>其他</t>
        </is>
      </c>
      <c r="E1161" s="6"/>
      <c r="F1161" s="6"/>
      <c r="G1161" s="6">
        <f>IF(AND(E1161="",F1161=""),"",F1161-E1161)</f>
      </c>
      <c r="H1161" s="4"/>
      <c r="I1161" s="5"/>
    </row>
    <row r="1162" ht="21" customHeight="1">
      <c r="A1162" s="3">
        <v>46347</v>
      </c>
      <c r="B1162" t="inlineStr" s="4">
        <is>
          <t>星期六</t>
        </is>
      </c>
      <c r="C1162" t="inlineStr" s="4">
        <is>
          <t>餐饮</t>
        </is>
      </c>
      <c r="D1162" t="inlineStr" s="5">
        <is>
          <t>早餐</t>
        </is>
      </c>
      <c r="E1162" s="6"/>
      <c r="F1162" s="6"/>
      <c r="G1162" s="6">
        <f>IF(AND(E1162="",F1162=""),"",F1162-E1162)</f>
      </c>
      <c r="H1162" s="4"/>
      <c r="I1162" s="5"/>
    </row>
    <row r="1163" ht="21" customHeight="1">
      <c r="A1163" s="3">
        <v>46347</v>
      </c>
      <c r="B1163" t="inlineStr" s="4">
        <is>
          <t>星期六</t>
        </is>
      </c>
      <c r="C1163" t="inlineStr" s="4">
        <is>
          <t>餐饮</t>
        </is>
      </c>
      <c r="D1163" t="inlineStr" s="5">
        <is>
          <t>中餐</t>
        </is>
      </c>
      <c r="E1163" s="6"/>
      <c r="F1163" s="6"/>
      <c r="G1163" s="6">
        <f>IF(AND(E1163="",F1163=""),"",F1163-E1163)</f>
      </c>
      <c r="H1163" s="4"/>
      <c r="I1163" s="5"/>
    </row>
    <row r="1164" ht="21" customHeight="1">
      <c r="A1164" s="3">
        <v>46347</v>
      </c>
      <c r="B1164" t="inlineStr" s="4">
        <is>
          <t>星期六</t>
        </is>
      </c>
      <c r="C1164" t="inlineStr" s="4">
        <is>
          <t>餐饮</t>
        </is>
      </c>
      <c r="D1164" t="inlineStr" s="5">
        <is>
          <t>晚餐</t>
        </is>
      </c>
      <c r="E1164" s="6"/>
      <c r="F1164" s="6"/>
      <c r="G1164" s="6">
        <f>IF(AND(E1164="",F1164=""),"",F1164-E1164)</f>
      </c>
      <c r="H1164" s="4"/>
      <c r="I1164" s="5"/>
    </row>
    <row r="1165" ht="21" customHeight="1">
      <c r="A1165" s="3">
        <v>46347</v>
      </c>
      <c r="B1165" t="inlineStr" s="4">
        <is>
          <t>星期六</t>
        </is>
      </c>
      <c r="C1165" t="inlineStr" s="4">
        <is>
          <t>奶茶/咖啡</t>
        </is>
      </c>
      <c r="D1165" t="inlineStr" s="5">
        <is>
          <t>奶茶/咖啡</t>
        </is>
      </c>
      <c r="E1165" s="6"/>
      <c r="F1165" s="6"/>
      <c r="G1165" s="6">
        <f>IF(AND(E1165="",F1165=""),"",F1165-E1165)</f>
      </c>
      <c r="H1165" s="4"/>
      <c r="I1165" s="5"/>
    </row>
    <row r="1166" ht="21" customHeight="1">
      <c r="A1166" s="3">
        <v>46347</v>
      </c>
      <c r="B1166" t="inlineStr" s="4">
        <is>
          <t>星期六</t>
        </is>
      </c>
      <c r="C1166" t="inlineStr" s="4">
        <is>
          <t>其他</t>
        </is>
      </c>
      <c r="D1166" t="inlineStr" s="5">
        <is>
          <t>其他</t>
        </is>
      </c>
      <c r="E1166" s="6"/>
      <c r="F1166" s="6"/>
      <c r="G1166" s="6">
        <f>IF(AND(E1166="",F1166=""),"",F1166-E1166)</f>
      </c>
      <c r="H1166" s="4"/>
      <c r="I1166" s="5"/>
    </row>
    <row r="1167" ht="21" customHeight="1">
      <c r="A1167" s="3">
        <v>46347</v>
      </c>
      <c r="B1167" t="inlineStr" s="4">
        <is>
          <t>星期六</t>
        </is>
      </c>
      <c r="C1167" t="inlineStr" s="4">
        <is>
          <t>其他</t>
        </is>
      </c>
      <c r="D1167" t="inlineStr" s="5">
        <is>
          <t>其他</t>
        </is>
      </c>
      <c r="E1167" s="6"/>
      <c r="F1167" s="6"/>
      <c r="G1167" s="6">
        <f>IF(AND(E1167="",F1167=""),"",F1167-E1167)</f>
      </c>
      <c r="H1167" s="4"/>
      <c r="I1167" s="5"/>
    </row>
    <row r="1168" ht="21" customHeight="1">
      <c r="A1168" s="3">
        <v>46348</v>
      </c>
      <c r="B1168" t="inlineStr" s="4">
        <is>
          <t>星期日</t>
        </is>
      </c>
      <c r="C1168" t="inlineStr" s="4">
        <is>
          <t>餐饮</t>
        </is>
      </c>
      <c r="D1168" t="inlineStr" s="5">
        <is>
          <t>早餐</t>
        </is>
      </c>
      <c r="E1168" s="6"/>
      <c r="F1168" s="6"/>
      <c r="G1168" s="6">
        <f>IF(AND(E1168="",F1168=""),"",F1168-E1168)</f>
      </c>
      <c r="H1168" s="4"/>
      <c r="I1168" s="5"/>
    </row>
    <row r="1169" ht="21" customHeight="1">
      <c r="A1169" s="3">
        <v>46348</v>
      </c>
      <c r="B1169" t="inlineStr" s="4">
        <is>
          <t>星期日</t>
        </is>
      </c>
      <c r="C1169" t="inlineStr" s="4">
        <is>
          <t>餐饮</t>
        </is>
      </c>
      <c r="D1169" t="inlineStr" s="5">
        <is>
          <t>中餐</t>
        </is>
      </c>
      <c r="E1169" s="6"/>
      <c r="F1169" s="6"/>
      <c r="G1169" s="6">
        <f>IF(AND(E1169="",F1169=""),"",F1169-E1169)</f>
      </c>
      <c r="H1169" s="4"/>
      <c r="I1169" s="5"/>
    </row>
    <row r="1170" ht="21" customHeight="1">
      <c r="A1170" s="3">
        <v>46348</v>
      </c>
      <c r="B1170" t="inlineStr" s="4">
        <is>
          <t>星期日</t>
        </is>
      </c>
      <c r="C1170" t="inlineStr" s="4">
        <is>
          <t>餐饮</t>
        </is>
      </c>
      <c r="D1170" t="inlineStr" s="5">
        <is>
          <t>晚餐</t>
        </is>
      </c>
      <c r="E1170" s="6"/>
      <c r="F1170" s="6"/>
      <c r="G1170" s="6">
        <f>IF(AND(E1170="",F1170=""),"",F1170-E1170)</f>
      </c>
      <c r="H1170" s="4"/>
      <c r="I1170" s="5"/>
    </row>
    <row r="1171" ht="21" customHeight="1">
      <c r="A1171" s="3">
        <v>46348</v>
      </c>
      <c r="B1171" t="inlineStr" s="4">
        <is>
          <t>星期日</t>
        </is>
      </c>
      <c r="C1171" t="inlineStr" s="4">
        <is>
          <t>奶茶/咖啡</t>
        </is>
      </c>
      <c r="D1171" t="inlineStr" s="5">
        <is>
          <t>奶茶/咖啡</t>
        </is>
      </c>
      <c r="E1171" s="6"/>
      <c r="F1171" s="6"/>
      <c r="G1171" s="6">
        <f>IF(AND(E1171="",F1171=""),"",F1171-E1171)</f>
      </c>
      <c r="H1171" s="4"/>
      <c r="I1171" s="5"/>
    </row>
    <row r="1172" ht="21" customHeight="1">
      <c r="A1172" s="3">
        <v>46348</v>
      </c>
      <c r="B1172" t="inlineStr" s="4">
        <is>
          <t>星期日</t>
        </is>
      </c>
      <c r="C1172" t="inlineStr" s="4">
        <is>
          <t>其他</t>
        </is>
      </c>
      <c r="D1172" t="inlineStr" s="5">
        <is>
          <t>其他</t>
        </is>
      </c>
      <c r="E1172" s="6"/>
      <c r="F1172" s="6"/>
      <c r="G1172" s="6">
        <f>IF(AND(E1172="",F1172=""),"",F1172-E1172)</f>
      </c>
      <c r="H1172" s="4"/>
      <c r="I1172" s="5"/>
    </row>
    <row r="1173" ht="21" customHeight="1">
      <c r="A1173" s="3">
        <v>46348</v>
      </c>
      <c r="B1173" t="inlineStr" s="4">
        <is>
          <t>星期日</t>
        </is>
      </c>
      <c r="C1173" t="inlineStr" s="4">
        <is>
          <t>其他</t>
        </is>
      </c>
      <c r="D1173" t="inlineStr" s="5">
        <is>
          <t>其他</t>
        </is>
      </c>
      <c r="E1173" s="6"/>
      <c r="F1173" s="6"/>
      <c r="G1173" s="6">
        <f>IF(AND(E1173="",F1173=""),"",F1173-E1173)</f>
      </c>
      <c r="H1173" s="4"/>
      <c r="I1173" s="5"/>
    </row>
    <row r="1174" ht="23" customHeight="1">
      <c r="A1174" t="inlineStr" s="7">
        <is>
          <t>本周小计</t>
        </is>
      </c>
      <c r="B1174" s="7"/>
      <c r="C1174" s="7"/>
      <c r="D1174" s="7"/>
      <c r="E1174" s="8">
        <f>SUM(E1132:E1173)</f>
      </c>
      <c r="F1174" s="8">
        <f>SUM(F1132:F1173)</f>
      </c>
      <c r="G1174" s="8">
        <f>SUM(G1132:G1173)</f>
      </c>
      <c r="H1174" s="7"/>
      <c r="I1174" s="7"/>
    </row>
    <row r="1175" ht="18" customHeight="1">
      <c r="A1175" s="9"/>
      <c r="B1175" s="9"/>
      <c r="C1175" s="9"/>
      <c r="D1175" s="9"/>
      <c r="E1175" s="9"/>
      <c r="F1175" s="9"/>
      <c r="G1175" s="9"/>
      <c r="H1175" s="9"/>
      <c r="I1175" s="9"/>
    </row>
    <row r="1176" ht="18" customHeight="1">
      <c r="A1176" s="9"/>
      <c r="B1176" s="9"/>
      <c r="C1176" s="9"/>
      <c r="D1176" s="9"/>
      <c r="E1176" s="9"/>
      <c r="F1176" s="9"/>
      <c r="G1176" s="9"/>
      <c r="H1176" s="9"/>
      <c r="I1176" s="9"/>
    </row>
    <row r="1177" ht="26" customHeight="1">
      <c r="A1177" t="inlineStr" s="2">
        <is>
          <t>2026年11月｜第四周（11月23日 - 11月29日）</t>
        </is>
      </c>
      <c r="B1177" s="2"/>
      <c r="C1177" s="2"/>
      <c r="D1177" s="2"/>
      <c r="E1177" s="2"/>
      <c r="F1177" s="2"/>
      <c r="G1177" s="2"/>
      <c r="H1177" s="2"/>
      <c r="I1177" s="2"/>
    </row>
    <row r="1178" ht="22" customHeight="1">
      <c r="A1178" t="inlineStr" s="1">
        <is>
          <t>日期</t>
        </is>
      </c>
      <c r="B1178" t="inlineStr" s="1">
        <is>
          <t>星期</t>
        </is>
      </c>
      <c r="C1178" t="inlineStr" s="1">
        <is>
          <t>分类</t>
        </is>
      </c>
      <c r="D1178" t="inlineStr" s="1">
        <is>
          <t>事项</t>
        </is>
      </c>
      <c r="E1178" t="inlineStr" s="1">
        <is>
          <t>支出金额</t>
        </is>
      </c>
      <c r="F1178" t="inlineStr" s="1">
        <is>
          <t>收入金额</t>
        </is>
      </c>
      <c r="G1178" t="inlineStr" s="1">
        <is>
          <t>当笔净额</t>
        </is>
      </c>
      <c r="H1178" t="inlineStr" s="1">
        <is>
          <t>支付方式</t>
        </is>
      </c>
      <c r="I1178" t="inlineStr" s="1">
        <is>
          <t>备注</t>
        </is>
      </c>
    </row>
    <row r="1179" ht="21" customHeight="1">
      <c r="A1179" s="3">
        <v>46349</v>
      </c>
      <c r="B1179" t="inlineStr" s="4">
        <is>
          <t>星期一</t>
        </is>
      </c>
      <c r="C1179" t="inlineStr" s="4">
        <is>
          <t>餐饮</t>
        </is>
      </c>
      <c r="D1179" t="inlineStr" s="5">
        <is>
          <t>早餐</t>
        </is>
      </c>
      <c r="E1179" s="6"/>
      <c r="F1179" s="6"/>
      <c r="G1179" s="6">
        <f>IF(AND(E1179="",F1179=""),"",F1179-E1179)</f>
      </c>
      <c r="H1179" s="4"/>
      <c r="I1179" s="5"/>
    </row>
    <row r="1180" ht="21" customHeight="1">
      <c r="A1180" s="3">
        <v>46349</v>
      </c>
      <c r="B1180" t="inlineStr" s="4">
        <is>
          <t>星期一</t>
        </is>
      </c>
      <c r="C1180" t="inlineStr" s="4">
        <is>
          <t>餐饮</t>
        </is>
      </c>
      <c r="D1180" t="inlineStr" s="5">
        <is>
          <t>中餐</t>
        </is>
      </c>
      <c r="E1180" s="6"/>
      <c r="F1180" s="6"/>
      <c r="G1180" s="6">
        <f>IF(AND(E1180="",F1180=""),"",F1180-E1180)</f>
      </c>
      <c r="H1180" s="4"/>
      <c r="I1180" s="5"/>
    </row>
    <row r="1181" ht="21" customHeight="1">
      <c r="A1181" s="3">
        <v>46349</v>
      </c>
      <c r="B1181" t="inlineStr" s="4">
        <is>
          <t>星期一</t>
        </is>
      </c>
      <c r="C1181" t="inlineStr" s="4">
        <is>
          <t>餐饮</t>
        </is>
      </c>
      <c r="D1181" t="inlineStr" s="5">
        <is>
          <t>晚餐</t>
        </is>
      </c>
      <c r="E1181" s="6"/>
      <c r="F1181" s="6"/>
      <c r="G1181" s="6">
        <f>IF(AND(E1181="",F1181=""),"",F1181-E1181)</f>
      </c>
      <c r="H1181" s="4"/>
      <c r="I1181" s="5"/>
    </row>
    <row r="1182" ht="21" customHeight="1">
      <c r="A1182" s="3">
        <v>46349</v>
      </c>
      <c r="B1182" t="inlineStr" s="4">
        <is>
          <t>星期一</t>
        </is>
      </c>
      <c r="C1182" t="inlineStr" s="4">
        <is>
          <t>奶茶/咖啡</t>
        </is>
      </c>
      <c r="D1182" t="inlineStr" s="5">
        <is>
          <t>奶茶/咖啡</t>
        </is>
      </c>
      <c r="E1182" s="6"/>
      <c r="F1182" s="6"/>
      <c r="G1182" s="6">
        <f>IF(AND(E1182="",F1182=""),"",F1182-E1182)</f>
      </c>
      <c r="H1182" s="4"/>
      <c r="I1182" s="5"/>
    </row>
    <row r="1183" ht="21" customHeight="1">
      <c r="A1183" s="3">
        <v>46349</v>
      </c>
      <c r="B1183" t="inlineStr" s="4">
        <is>
          <t>星期一</t>
        </is>
      </c>
      <c r="C1183" t="inlineStr" s="4">
        <is>
          <t>其他</t>
        </is>
      </c>
      <c r="D1183" t="inlineStr" s="5">
        <is>
          <t>其他</t>
        </is>
      </c>
      <c r="E1183" s="6"/>
      <c r="F1183" s="6"/>
      <c r="G1183" s="6">
        <f>IF(AND(E1183="",F1183=""),"",F1183-E1183)</f>
      </c>
      <c r="H1183" s="4"/>
      <c r="I1183" s="5"/>
    </row>
    <row r="1184" ht="21" customHeight="1">
      <c r="A1184" s="3">
        <v>46349</v>
      </c>
      <c r="B1184" t="inlineStr" s="4">
        <is>
          <t>星期一</t>
        </is>
      </c>
      <c r="C1184" t="inlineStr" s="4">
        <is>
          <t>其他</t>
        </is>
      </c>
      <c r="D1184" t="inlineStr" s="5">
        <is>
          <t>其他</t>
        </is>
      </c>
      <c r="E1184" s="6"/>
      <c r="F1184" s="6"/>
      <c r="G1184" s="6">
        <f>IF(AND(E1184="",F1184=""),"",F1184-E1184)</f>
      </c>
      <c r="H1184" s="4"/>
      <c r="I1184" s="5"/>
    </row>
    <row r="1185" ht="21" customHeight="1">
      <c r="A1185" s="3">
        <v>46350</v>
      </c>
      <c r="B1185" t="inlineStr" s="4">
        <is>
          <t>星期二</t>
        </is>
      </c>
      <c r="C1185" t="inlineStr" s="4">
        <is>
          <t>餐饮</t>
        </is>
      </c>
      <c r="D1185" t="inlineStr" s="5">
        <is>
          <t>早餐</t>
        </is>
      </c>
      <c r="E1185" s="6"/>
      <c r="F1185" s="6"/>
      <c r="G1185" s="6">
        <f>IF(AND(E1185="",F1185=""),"",F1185-E1185)</f>
      </c>
      <c r="H1185" s="4"/>
      <c r="I1185" s="5"/>
    </row>
    <row r="1186" ht="21" customHeight="1">
      <c r="A1186" s="3">
        <v>46350</v>
      </c>
      <c r="B1186" t="inlineStr" s="4">
        <is>
          <t>星期二</t>
        </is>
      </c>
      <c r="C1186" t="inlineStr" s="4">
        <is>
          <t>餐饮</t>
        </is>
      </c>
      <c r="D1186" t="inlineStr" s="5">
        <is>
          <t>中餐</t>
        </is>
      </c>
      <c r="E1186" s="6"/>
      <c r="F1186" s="6"/>
      <c r="G1186" s="6">
        <f>IF(AND(E1186="",F1186=""),"",F1186-E1186)</f>
      </c>
      <c r="H1186" s="4"/>
      <c r="I1186" s="5"/>
    </row>
    <row r="1187" ht="21" customHeight="1">
      <c r="A1187" s="3">
        <v>46350</v>
      </c>
      <c r="B1187" t="inlineStr" s="4">
        <is>
          <t>星期二</t>
        </is>
      </c>
      <c r="C1187" t="inlineStr" s="4">
        <is>
          <t>餐饮</t>
        </is>
      </c>
      <c r="D1187" t="inlineStr" s="5">
        <is>
          <t>晚餐</t>
        </is>
      </c>
      <c r="E1187" s="6"/>
      <c r="F1187" s="6"/>
      <c r="G1187" s="6">
        <f>IF(AND(E1187="",F1187=""),"",F1187-E1187)</f>
      </c>
      <c r="H1187" s="4"/>
      <c r="I1187" s="5"/>
    </row>
    <row r="1188" ht="21" customHeight="1">
      <c r="A1188" s="3">
        <v>46350</v>
      </c>
      <c r="B1188" t="inlineStr" s="4">
        <is>
          <t>星期二</t>
        </is>
      </c>
      <c r="C1188" t="inlineStr" s="4">
        <is>
          <t>奶茶/咖啡</t>
        </is>
      </c>
      <c r="D1188" t="inlineStr" s="5">
        <is>
          <t>奶茶/咖啡</t>
        </is>
      </c>
      <c r="E1188" s="6"/>
      <c r="F1188" s="6"/>
      <c r="G1188" s="6">
        <f>IF(AND(E1188="",F1188=""),"",F1188-E1188)</f>
      </c>
      <c r="H1188" s="4"/>
      <c r="I1188" s="5"/>
    </row>
    <row r="1189" ht="21" customHeight="1">
      <c r="A1189" s="3">
        <v>46350</v>
      </c>
      <c r="B1189" t="inlineStr" s="4">
        <is>
          <t>星期二</t>
        </is>
      </c>
      <c r="C1189" t="inlineStr" s="4">
        <is>
          <t>其他</t>
        </is>
      </c>
      <c r="D1189" t="inlineStr" s="5">
        <is>
          <t>其他</t>
        </is>
      </c>
      <c r="E1189" s="6"/>
      <c r="F1189" s="6"/>
      <c r="G1189" s="6">
        <f>IF(AND(E1189="",F1189=""),"",F1189-E1189)</f>
      </c>
      <c r="H1189" s="4"/>
      <c r="I1189" s="5"/>
    </row>
    <row r="1190" ht="21" customHeight="1">
      <c r="A1190" s="3">
        <v>46350</v>
      </c>
      <c r="B1190" t="inlineStr" s="4">
        <is>
          <t>星期二</t>
        </is>
      </c>
      <c r="C1190" t="inlineStr" s="4">
        <is>
          <t>其他</t>
        </is>
      </c>
      <c r="D1190" t="inlineStr" s="5">
        <is>
          <t>其他</t>
        </is>
      </c>
      <c r="E1190" s="6"/>
      <c r="F1190" s="6"/>
      <c r="G1190" s="6">
        <f>IF(AND(E1190="",F1190=""),"",F1190-E1190)</f>
      </c>
      <c r="H1190" s="4"/>
      <c r="I1190" s="5"/>
    </row>
    <row r="1191" ht="21" customHeight="1">
      <c r="A1191" s="3">
        <v>46351</v>
      </c>
      <c r="B1191" t="inlineStr" s="4">
        <is>
          <t>星期三</t>
        </is>
      </c>
      <c r="C1191" t="inlineStr" s="4">
        <is>
          <t>餐饮</t>
        </is>
      </c>
      <c r="D1191" t="inlineStr" s="5">
        <is>
          <t>早餐</t>
        </is>
      </c>
      <c r="E1191" s="6"/>
      <c r="F1191" s="6"/>
      <c r="G1191" s="6">
        <f>IF(AND(E1191="",F1191=""),"",F1191-E1191)</f>
      </c>
      <c r="H1191" s="4"/>
      <c r="I1191" s="5"/>
    </row>
    <row r="1192" ht="21" customHeight="1">
      <c r="A1192" s="3">
        <v>46351</v>
      </c>
      <c r="B1192" t="inlineStr" s="4">
        <is>
          <t>星期三</t>
        </is>
      </c>
      <c r="C1192" t="inlineStr" s="4">
        <is>
          <t>餐饮</t>
        </is>
      </c>
      <c r="D1192" t="inlineStr" s="5">
        <is>
          <t>中餐</t>
        </is>
      </c>
      <c r="E1192" s="6"/>
      <c r="F1192" s="6"/>
      <c r="G1192" s="6">
        <f>IF(AND(E1192="",F1192=""),"",F1192-E1192)</f>
      </c>
      <c r="H1192" s="4"/>
      <c r="I1192" s="5"/>
    </row>
    <row r="1193" ht="21" customHeight="1">
      <c r="A1193" s="3">
        <v>46351</v>
      </c>
      <c r="B1193" t="inlineStr" s="4">
        <is>
          <t>星期三</t>
        </is>
      </c>
      <c r="C1193" t="inlineStr" s="4">
        <is>
          <t>餐饮</t>
        </is>
      </c>
      <c r="D1193" t="inlineStr" s="5">
        <is>
          <t>晚餐</t>
        </is>
      </c>
      <c r="E1193" s="6"/>
      <c r="F1193" s="6"/>
      <c r="G1193" s="6">
        <f>IF(AND(E1193="",F1193=""),"",F1193-E1193)</f>
      </c>
      <c r="H1193" s="4"/>
      <c r="I1193" s="5"/>
    </row>
    <row r="1194" ht="21" customHeight="1">
      <c r="A1194" s="3">
        <v>46351</v>
      </c>
      <c r="B1194" t="inlineStr" s="4">
        <is>
          <t>星期三</t>
        </is>
      </c>
      <c r="C1194" t="inlineStr" s="4">
        <is>
          <t>奶茶/咖啡</t>
        </is>
      </c>
      <c r="D1194" t="inlineStr" s="5">
        <is>
          <t>奶茶/咖啡</t>
        </is>
      </c>
      <c r="E1194" s="6"/>
      <c r="F1194" s="6"/>
      <c r="G1194" s="6">
        <f>IF(AND(E1194="",F1194=""),"",F1194-E1194)</f>
      </c>
      <c r="H1194" s="4"/>
      <c r="I1194" s="5"/>
    </row>
    <row r="1195" ht="21" customHeight="1">
      <c r="A1195" s="3">
        <v>46351</v>
      </c>
      <c r="B1195" t="inlineStr" s="4">
        <is>
          <t>星期三</t>
        </is>
      </c>
      <c r="C1195" t="inlineStr" s="4">
        <is>
          <t>其他</t>
        </is>
      </c>
      <c r="D1195" t="inlineStr" s="5">
        <is>
          <t>其他</t>
        </is>
      </c>
      <c r="E1195" s="6"/>
      <c r="F1195" s="6"/>
      <c r="G1195" s="6">
        <f>IF(AND(E1195="",F1195=""),"",F1195-E1195)</f>
      </c>
      <c r="H1195" s="4"/>
      <c r="I1195" s="5"/>
    </row>
    <row r="1196" ht="21" customHeight="1">
      <c r="A1196" s="3">
        <v>46351</v>
      </c>
      <c r="B1196" t="inlineStr" s="4">
        <is>
          <t>星期三</t>
        </is>
      </c>
      <c r="C1196" t="inlineStr" s="4">
        <is>
          <t>其他</t>
        </is>
      </c>
      <c r="D1196" t="inlineStr" s="5">
        <is>
          <t>其他</t>
        </is>
      </c>
      <c r="E1196" s="6"/>
      <c r="F1196" s="6"/>
      <c r="G1196" s="6">
        <f>IF(AND(E1196="",F1196=""),"",F1196-E1196)</f>
      </c>
      <c r="H1196" s="4"/>
      <c r="I1196" s="5"/>
    </row>
    <row r="1197" ht="21" customHeight="1">
      <c r="A1197" s="3">
        <v>46352</v>
      </c>
      <c r="B1197" t="inlineStr" s="4">
        <is>
          <t>星期四</t>
        </is>
      </c>
      <c r="C1197" t="inlineStr" s="4">
        <is>
          <t>餐饮</t>
        </is>
      </c>
      <c r="D1197" t="inlineStr" s="5">
        <is>
          <t>早餐</t>
        </is>
      </c>
      <c r="E1197" s="6"/>
      <c r="F1197" s="6"/>
      <c r="G1197" s="6">
        <f>IF(AND(E1197="",F1197=""),"",F1197-E1197)</f>
      </c>
      <c r="H1197" s="4"/>
      <c r="I1197" s="5"/>
    </row>
    <row r="1198" ht="21" customHeight="1">
      <c r="A1198" s="3">
        <v>46352</v>
      </c>
      <c r="B1198" t="inlineStr" s="4">
        <is>
          <t>星期四</t>
        </is>
      </c>
      <c r="C1198" t="inlineStr" s="4">
        <is>
          <t>餐饮</t>
        </is>
      </c>
      <c r="D1198" t="inlineStr" s="5">
        <is>
          <t>中餐</t>
        </is>
      </c>
      <c r="E1198" s="6"/>
      <c r="F1198" s="6"/>
      <c r="G1198" s="6">
        <f>IF(AND(E1198="",F1198=""),"",F1198-E1198)</f>
      </c>
      <c r="H1198" s="4"/>
      <c r="I1198" s="5"/>
    </row>
    <row r="1199" ht="21" customHeight="1">
      <c r="A1199" s="3">
        <v>46352</v>
      </c>
      <c r="B1199" t="inlineStr" s="4">
        <is>
          <t>星期四</t>
        </is>
      </c>
      <c r="C1199" t="inlineStr" s="4">
        <is>
          <t>餐饮</t>
        </is>
      </c>
      <c r="D1199" t="inlineStr" s="5">
        <is>
          <t>晚餐</t>
        </is>
      </c>
      <c r="E1199" s="6"/>
      <c r="F1199" s="6"/>
      <c r="G1199" s="6">
        <f>IF(AND(E1199="",F1199=""),"",F1199-E1199)</f>
      </c>
      <c r="H1199" s="4"/>
      <c r="I1199" s="5"/>
    </row>
    <row r="1200" ht="21" customHeight="1">
      <c r="A1200" s="3">
        <v>46352</v>
      </c>
      <c r="B1200" t="inlineStr" s="4">
        <is>
          <t>星期四</t>
        </is>
      </c>
      <c r="C1200" t="inlineStr" s="4">
        <is>
          <t>奶茶/咖啡</t>
        </is>
      </c>
      <c r="D1200" t="inlineStr" s="5">
        <is>
          <t>奶茶/咖啡</t>
        </is>
      </c>
      <c r="E1200" s="6"/>
      <c r="F1200" s="6"/>
      <c r="G1200" s="6">
        <f>IF(AND(E1200="",F1200=""),"",F1200-E1200)</f>
      </c>
      <c r="H1200" s="4"/>
      <c r="I1200" s="5"/>
    </row>
    <row r="1201" ht="21" customHeight="1">
      <c r="A1201" s="3">
        <v>46352</v>
      </c>
      <c r="B1201" t="inlineStr" s="4">
        <is>
          <t>星期四</t>
        </is>
      </c>
      <c r="C1201" t="inlineStr" s="4">
        <is>
          <t>其他</t>
        </is>
      </c>
      <c r="D1201" t="inlineStr" s="5">
        <is>
          <t>其他</t>
        </is>
      </c>
      <c r="E1201" s="6"/>
      <c r="F1201" s="6"/>
      <c r="G1201" s="6">
        <f>IF(AND(E1201="",F1201=""),"",F1201-E1201)</f>
      </c>
      <c r="H1201" s="4"/>
      <c r="I1201" s="5"/>
    </row>
    <row r="1202" ht="21" customHeight="1">
      <c r="A1202" s="3">
        <v>46352</v>
      </c>
      <c r="B1202" t="inlineStr" s="4">
        <is>
          <t>星期四</t>
        </is>
      </c>
      <c r="C1202" t="inlineStr" s="4">
        <is>
          <t>其他</t>
        </is>
      </c>
      <c r="D1202" t="inlineStr" s="5">
        <is>
          <t>其他</t>
        </is>
      </c>
      <c r="E1202" s="6"/>
      <c r="F1202" s="6"/>
      <c r="G1202" s="6">
        <f>IF(AND(E1202="",F1202=""),"",F1202-E1202)</f>
      </c>
      <c r="H1202" s="4"/>
      <c r="I1202" s="5"/>
    </row>
    <row r="1203" ht="21" customHeight="1">
      <c r="A1203" s="3">
        <v>46353</v>
      </c>
      <c r="B1203" t="inlineStr" s="4">
        <is>
          <t>星期五</t>
        </is>
      </c>
      <c r="C1203" t="inlineStr" s="4">
        <is>
          <t>餐饮</t>
        </is>
      </c>
      <c r="D1203" t="inlineStr" s="5">
        <is>
          <t>早餐</t>
        </is>
      </c>
      <c r="E1203" s="6"/>
      <c r="F1203" s="6"/>
      <c r="G1203" s="6">
        <f>IF(AND(E1203="",F1203=""),"",F1203-E1203)</f>
      </c>
      <c r="H1203" s="4"/>
      <c r="I1203" s="5"/>
    </row>
    <row r="1204" ht="21" customHeight="1">
      <c r="A1204" s="3">
        <v>46353</v>
      </c>
      <c r="B1204" t="inlineStr" s="4">
        <is>
          <t>星期五</t>
        </is>
      </c>
      <c r="C1204" t="inlineStr" s="4">
        <is>
          <t>餐饮</t>
        </is>
      </c>
      <c r="D1204" t="inlineStr" s="5">
        <is>
          <t>中餐</t>
        </is>
      </c>
      <c r="E1204" s="6"/>
      <c r="F1204" s="6"/>
      <c r="G1204" s="6">
        <f>IF(AND(E1204="",F1204=""),"",F1204-E1204)</f>
      </c>
      <c r="H1204" s="4"/>
      <c r="I1204" s="5"/>
    </row>
    <row r="1205" ht="21" customHeight="1">
      <c r="A1205" s="3">
        <v>46353</v>
      </c>
      <c r="B1205" t="inlineStr" s="4">
        <is>
          <t>星期五</t>
        </is>
      </c>
      <c r="C1205" t="inlineStr" s="4">
        <is>
          <t>餐饮</t>
        </is>
      </c>
      <c r="D1205" t="inlineStr" s="5">
        <is>
          <t>晚餐</t>
        </is>
      </c>
      <c r="E1205" s="6"/>
      <c r="F1205" s="6"/>
      <c r="G1205" s="6">
        <f>IF(AND(E1205="",F1205=""),"",F1205-E1205)</f>
      </c>
      <c r="H1205" s="4"/>
      <c r="I1205" s="5"/>
    </row>
    <row r="1206" ht="21" customHeight="1">
      <c r="A1206" s="3">
        <v>46353</v>
      </c>
      <c r="B1206" t="inlineStr" s="4">
        <is>
          <t>星期五</t>
        </is>
      </c>
      <c r="C1206" t="inlineStr" s="4">
        <is>
          <t>奶茶/咖啡</t>
        </is>
      </c>
      <c r="D1206" t="inlineStr" s="5">
        <is>
          <t>奶茶/咖啡</t>
        </is>
      </c>
      <c r="E1206" s="6"/>
      <c r="F1206" s="6"/>
      <c r="G1206" s="6">
        <f>IF(AND(E1206="",F1206=""),"",F1206-E1206)</f>
      </c>
      <c r="H1206" s="4"/>
      <c r="I1206" s="5"/>
    </row>
    <row r="1207" ht="21" customHeight="1">
      <c r="A1207" s="3">
        <v>46353</v>
      </c>
      <c r="B1207" t="inlineStr" s="4">
        <is>
          <t>星期五</t>
        </is>
      </c>
      <c r="C1207" t="inlineStr" s="4">
        <is>
          <t>其他</t>
        </is>
      </c>
      <c r="D1207" t="inlineStr" s="5">
        <is>
          <t>其他</t>
        </is>
      </c>
      <c r="E1207" s="6"/>
      <c r="F1207" s="6"/>
      <c r="G1207" s="6">
        <f>IF(AND(E1207="",F1207=""),"",F1207-E1207)</f>
      </c>
      <c r="H1207" s="4"/>
      <c r="I1207" s="5"/>
    </row>
    <row r="1208" ht="21" customHeight="1">
      <c r="A1208" s="3">
        <v>46353</v>
      </c>
      <c r="B1208" t="inlineStr" s="4">
        <is>
          <t>星期五</t>
        </is>
      </c>
      <c r="C1208" t="inlineStr" s="4">
        <is>
          <t>其他</t>
        </is>
      </c>
      <c r="D1208" t="inlineStr" s="5">
        <is>
          <t>其他</t>
        </is>
      </c>
      <c r="E1208" s="6"/>
      <c r="F1208" s="6"/>
      <c r="G1208" s="6">
        <f>IF(AND(E1208="",F1208=""),"",F1208-E1208)</f>
      </c>
      <c r="H1208" s="4"/>
      <c r="I1208" s="5"/>
    </row>
    <row r="1209" ht="21" customHeight="1">
      <c r="A1209" s="3">
        <v>46354</v>
      </c>
      <c r="B1209" t="inlineStr" s="4">
        <is>
          <t>星期六</t>
        </is>
      </c>
      <c r="C1209" t="inlineStr" s="4">
        <is>
          <t>餐饮</t>
        </is>
      </c>
      <c r="D1209" t="inlineStr" s="5">
        <is>
          <t>早餐</t>
        </is>
      </c>
      <c r="E1209" s="6"/>
      <c r="F1209" s="6"/>
      <c r="G1209" s="6">
        <f>IF(AND(E1209="",F1209=""),"",F1209-E1209)</f>
      </c>
      <c r="H1209" s="4"/>
      <c r="I1209" s="5"/>
    </row>
    <row r="1210" ht="21" customHeight="1">
      <c r="A1210" s="3">
        <v>46354</v>
      </c>
      <c r="B1210" t="inlineStr" s="4">
        <is>
          <t>星期六</t>
        </is>
      </c>
      <c r="C1210" t="inlineStr" s="4">
        <is>
          <t>餐饮</t>
        </is>
      </c>
      <c r="D1210" t="inlineStr" s="5">
        <is>
          <t>中餐</t>
        </is>
      </c>
      <c r="E1210" s="6"/>
      <c r="F1210" s="6"/>
      <c r="G1210" s="6">
        <f>IF(AND(E1210="",F1210=""),"",F1210-E1210)</f>
      </c>
      <c r="H1210" s="4"/>
      <c r="I1210" s="5"/>
    </row>
    <row r="1211" ht="21" customHeight="1">
      <c r="A1211" s="3">
        <v>46354</v>
      </c>
      <c r="B1211" t="inlineStr" s="4">
        <is>
          <t>星期六</t>
        </is>
      </c>
      <c r="C1211" t="inlineStr" s="4">
        <is>
          <t>餐饮</t>
        </is>
      </c>
      <c r="D1211" t="inlineStr" s="5">
        <is>
          <t>晚餐</t>
        </is>
      </c>
      <c r="E1211" s="6"/>
      <c r="F1211" s="6"/>
      <c r="G1211" s="6">
        <f>IF(AND(E1211="",F1211=""),"",F1211-E1211)</f>
      </c>
      <c r="H1211" s="4"/>
      <c r="I1211" s="5"/>
    </row>
    <row r="1212" ht="21" customHeight="1">
      <c r="A1212" s="3">
        <v>46354</v>
      </c>
      <c r="B1212" t="inlineStr" s="4">
        <is>
          <t>星期六</t>
        </is>
      </c>
      <c r="C1212" t="inlineStr" s="4">
        <is>
          <t>奶茶/咖啡</t>
        </is>
      </c>
      <c r="D1212" t="inlineStr" s="5">
        <is>
          <t>奶茶/咖啡</t>
        </is>
      </c>
      <c r="E1212" s="6"/>
      <c r="F1212" s="6"/>
      <c r="G1212" s="6">
        <f>IF(AND(E1212="",F1212=""),"",F1212-E1212)</f>
      </c>
      <c r="H1212" s="4"/>
      <c r="I1212" s="5"/>
    </row>
    <row r="1213" ht="21" customHeight="1">
      <c r="A1213" s="3">
        <v>46354</v>
      </c>
      <c r="B1213" t="inlineStr" s="4">
        <is>
          <t>星期六</t>
        </is>
      </c>
      <c r="C1213" t="inlineStr" s="4">
        <is>
          <t>其他</t>
        </is>
      </c>
      <c r="D1213" t="inlineStr" s="5">
        <is>
          <t>其他</t>
        </is>
      </c>
      <c r="E1213" s="6"/>
      <c r="F1213" s="6"/>
      <c r="G1213" s="6">
        <f>IF(AND(E1213="",F1213=""),"",F1213-E1213)</f>
      </c>
      <c r="H1213" s="4"/>
      <c r="I1213" s="5"/>
    </row>
    <row r="1214" ht="21" customHeight="1">
      <c r="A1214" s="3">
        <v>46354</v>
      </c>
      <c r="B1214" t="inlineStr" s="4">
        <is>
          <t>星期六</t>
        </is>
      </c>
      <c r="C1214" t="inlineStr" s="4">
        <is>
          <t>其他</t>
        </is>
      </c>
      <c r="D1214" t="inlineStr" s="5">
        <is>
          <t>其他</t>
        </is>
      </c>
      <c r="E1214" s="6"/>
      <c r="F1214" s="6"/>
      <c r="G1214" s="6">
        <f>IF(AND(E1214="",F1214=""),"",F1214-E1214)</f>
      </c>
      <c r="H1214" s="4"/>
      <c r="I1214" s="5"/>
    </row>
    <row r="1215" ht="21" customHeight="1">
      <c r="A1215" s="3">
        <v>46355</v>
      </c>
      <c r="B1215" t="inlineStr" s="4">
        <is>
          <t>星期日</t>
        </is>
      </c>
      <c r="C1215" t="inlineStr" s="4">
        <is>
          <t>餐饮</t>
        </is>
      </c>
      <c r="D1215" t="inlineStr" s="5">
        <is>
          <t>早餐</t>
        </is>
      </c>
      <c r="E1215" s="6"/>
      <c r="F1215" s="6"/>
      <c r="G1215" s="6">
        <f>IF(AND(E1215="",F1215=""),"",F1215-E1215)</f>
      </c>
      <c r="H1215" s="4"/>
      <c r="I1215" s="5"/>
    </row>
    <row r="1216" ht="21" customHeight="1">
      <c r="A1216" s="3">
        <v>46355</v>
      </c>
      <c r="B1216" t="inlineStr" s="4">
        <is>
          <t>星期日</t>
        </is>
      </c>
      <c r="C1216" t="inlineStr" s="4">
        <is>
          <t>餐饮</t>
        </is>
      </c>
      <c r="D1216" t="inlineStr" s="5">
        <is>
          <t>中餐</t>
        </is>
      </c>
      <c r="E1216" s="6"/>
      <c r="F1216" s="6"/>
      <c r="G1216" s="6">
        <f>IF(AND(E1216="",F1216=""),"",F1216-E1216)</f>
      </c>
      <c r="H1216" s="4"/>
      <c r="I1216" s="5"/>
    </row>
    <row r="1217" ht="21" customHeight="1">
      <c r="A1217" s="3">
        <v>46355</v>
      </c>
      <c r="B1217" t="inlineStr" s="4">
        <is>
          <t>星期日</t>
        </is>
      </c>
      <c r="C1217" t="inlineStr" s="4">
        <is>
          <t>餐饮</t>
        </is>
      </c>
      <c r="D1217" t="inlineStr" s="5">
        <is>
          <t>晚餐</t>
        </is>
      </c>
      <c r="E1217" s="6"/>
      <c r="F1217" s="6"/>
      <c r="G1217" s="6">
        <f>IF(AND(E1217="",F1217=""),"",F1217-E1217)</f>
      </c>
      <c r="H1217" s="4"/>
      <c r="I1217" s="5"/>
    </row>
    <row r="1218" ht="21" customHeight="1">
      <c r="A1218" s="3">
        <v>46355</v>
      </c>
      <c r="B1218" t="inlineStr" s="4">
        <is>
          <t>星期日</t>
        </is>
      </c>
      <c r="C1218" t="inlineStr" s="4">
        <is>
          <t>奶茶/咖啡</t>
        </is>
      </c>
      <c r="D1218" t="inlineStr" s="5">
        <is>
          <t>奶茶/咖啡</t>
        </is>
      </c>
      <c r="E1218" s="6"/>
      <c r="F1218" s="6"/>
      <c r="G1218" s="6">
        <f>IF(AND(E1218="",F1218=""),"",F1218-E1218)</f>
      </c>
      <c r="H1218" s="4"/>
      <c r="I1218" s="5"/>
    </row>
    <row r="1219" ht="21" customHeight="1">
      <c r="A1219" s="3">
        <v>46355</v>
      </c>
      <c r="B1219" t="inlineStr" s="4">
        <is>
          <t>星期日</t>
        </is>
      </c>
      <c r="C1219" t="inlineStr" s="4">
        <is>
          <t>其他</t>
        </is>
      </c>
      <c r="D1219" t="inlineStr" s="5">
        <is>
          <t>其他</t>
        </is>
      </c>
      <c r="E1219" s="6"/>
      <c r="F1219" s="6"/>
      <c r="G1219" s="6">
        <f>IF(AND(E1219="",F1219=""),"",F1219-E1219)</f>
      </c>
      <c r="H1219" s="4"/>
      <c r="I1219" s="5"/>
    </row>
    <row r="1220" ht="21" customHeight="1">
      <c r="A1220" s="3">
        <v>46355</v>
      </c>
      <c r="B1220" t="inlineStr" s="4">
        <is>
          <t>星期日</t>
        </is>
      </c>
      <c r="C1220" t="inlineStr" s="4">
        <is>
          <t>其他</t>
        </is>
      </c>
      <c r="D1220" t="inlineStr" s="5">
        <is>
          <t>其他</t>
        </is>
      </c>
      <c r="E1220" s="6"/>
      <c r="F1220" s="6"/>
      <c r="G1220" s="6">
        <f>IF(AND(E1220="",F1220=""),"",F1220-E1220)</f>
      </c>
      <c r="H1220" s="4"/>
      <c r="I1220" s="5"/>
    </row>
    <row r="1221" ht="23" customHeight="1">
      <c r="A1221" t="inlineStr" s="7">
        <is>
          <t>本周小计</t>
        </is>
      </c>
      <c r="B1221" s="7"/>
      <c r="C1221" s="7"/>
      <c r="D1221" s="7"/>
      <c r="E1221" s="8">
        <f>SUM(E1179:E1220)</f>
      </c>
      <c r="F1221" s="8">
        <f>SUM(F1179:F1220)</f>
      </c>
      <c r="G1221" s="8">
        <f>SUM(G1179:G1220)</f>
      </c>
      <c r="H1221" s="7"/>
      <c r="I1221" s="7"/>
    </row>
    <row r="1222" ht="18" customHeight="1">
      <c r="A1222" s="9"/>
      <c r="B1222" s="9"/>
      <c r="C1222" s="9"/>
      <c r="D1222" s="9"/>
      <c r="E1222" s="9"/>
      <c r="F1222" s="9"/>
      <c r="G1222" s="9"/>
      <c r="H1222" s="9"/>
      <c r="I1222" s="9"/>
    </row>
    <row r="1223" ht="18" customHeight="1">
      <c r="A1223" s="9"/>
      <c r="B1223" s="9"/>
      <c r="C1223" s="9"/>
      <c r="D1223" s="9"/>
      <c r="E1223" s="9"/>
      <c r="F1223" s="9"/>
      <c r="G1223" s="9"/>
      <c r="H1223" s="9"/>
      <c r="I1223" s="9"/>
    </row>
    <row r="1224" ht="26" customHeight="1">
      <c r="A1224" t="inlineStr" s="2">
        <is>
          <t>2026年11月-12月｜第五周（11月30日 - 12月6日）</t>
        </is>
      </c>
      <c r="B1224" s="2"/>
      <c r="C1224" s="2"/>
      <c r="D1224" s="2"/>
      <c r="E1224" s="2"/>
      <c r="F1224" s="2"/>
      <c r="G1224" s="2"/>
      <c r="H1224" s="2"/>
      <c r="I1224" s="2"/>
    </row>
    <row r="1225" ht="22" customHeight="1">
      <c r="A1225" t="inlineStr" s="1">
        <is>
          <t>日期</t>
        </is>
      </c>
      <c r="B1225" t="inlineStr" s="1">
        <is>
          <t>星期</t>
        </is>
      </c>
      <c r="C1225" t="inlineStr" s="1">
        <is>
          <t>分类</t>
        </is>
      </c>
      <c r="D1225" t="inlineStr" s="1">
        <is>
          <t>事项</t>
        </is>
      </c>
      <c r="E1225" t="inlineStr" s="1">
        <is>
          <t>支出金额</t>
        </is>
      </c>
      <c r="F1225" t="inlineStr" s="1">
        <is>
          <t>收入金额</t>
        </is>
      </c>
      <c r="G1225" t="inlineStr" s="1">
        <is>
          <t>当笔净额</t>
        </is>
      </c>
      <c r="H1225" t="inlineStr" s="1">
        <is>
          <t>支付方式</t>
        </is>
      </c>
      <c r="I1225" t="inlineStr" s="1">
        <is>
          <t>备注</t>
        </is>
      </c>
    </row>
    <row r="1226" ht="21" customHeight="1">
      <c r="A1226" s="3">
        <v>46356</v>
      </c>
      <c r="B1226" t="inlineStr" s="4">
        <is>
          <t>星期一</t>
        </is>
      </c>
      <c r="C1226" t="inlineStr" s="4">
        <is>
          <t>餐饮</t>
        </is>
      </c>
      <c r="D1226" t="inlineStr" s="5">
        <is>
          <t>早餐</t>
        </is>
      </c>
      <c r="E1226" s="6"/>
      <c r="F1226" s="6"/>
      <c r="G1226" s="6">
        <f>IF(AND(E1226="",F1226=""),"",F1226-E1226)</f>
      </c>
      <c r="H1226" s="4"/>
      <c r="I1226" s="5"/>
    </row>
    <row r="1227" ht="21" customHeight="1">
      <c r="A1227" s="3">
        <v>46356</v>
      </c>
      <c r="B1227" t="inlineStr" s="4">
        <is>
          <t>星期一</t>
        </is>
      </c>
      <c r="C1227" t="inlineStr" s="4">
        <is>
          <t>餐饮</t>
        </is>
      </c>
      <c r="D1227" t="inlineStr" s="5">
        <is>
          <t>中餐</t>
        </is>
      </c>
      <c r="E1227" s="6"/>
      <c r="F1227" s="6"/>
      <c r="G1227" s="6">
        <f>IF(AND(E1227="",F1227=""),"",F1227-E1227)</f>
      </c>
      <c r="H1227" s="4"/>
      <c r="I1227" s="5"/>
    </row>
    <row r="1228" ht="21" customHeight="1">
      <c r="A1228" s="3">
        <v>46356</v>
      </c>
      <c r="B1228" t="inlineStr" s="4">
        <is>
          <t>星期一</t>
        </is>
      </c>
      <c r="C1228" t="inlineStr" s="4">
        <is>
          <t>餐饮</t>
        </is>
      </c>
      <c r="D1228" t="inlineStr" s="5">
        <is>
          <t>晚餐</t>
        </is>
      </c>
      <c r="E1228" s="6"/>
      <c r="F1228" s="6"/>
      <c r="G1228" s="6">
        <f>IF(AND(E1228="",F1228=""),"",F1228-E1228)</f>
      </c>
      <c r="H1228" s="4"/>
      <c r="I1228" s="5"/>
    </row>
    <row r="1229" ht="21" customHeight="1">
      <c r="A1229" s="3">
        <v>46356</v>
      </c>
      <c r="B1229" t="inlineStr" s="4">
        <is>
          <t>星期一</t>
        </is>
      </c>
      <c r="C1229" t="inlineStr" s="4">
        <is>
          <t>奶茶/咖啡</t>
        </is>
      </c>
      <c r="D1229" t="inlineStr" s="5">
        <is>
          <t>奶茶/咖啡</t>
        </is>
      </c>
      <c r="E1229" s="6"/>
      <c r="F1229" s="6"/>
      <c r="G1229" s="6">
        <f>IF(AND(E1229="",F1229=""),"",F1229-E1229)</f>
      </c>
      <c r="H1229" s="4"/>
      <c r="I1229" s="5"/>
    </row>
    <row r="1230" ht="21" customHeight="1">
      <c r="A1230" s="3">
        <v>46356</v>
      </c>
      <c r="B1230" t="inlineStr" s="4">
        <is>
          <t>星期一</t>
        </is>
      </c>
      <c r="C1230" t="inlineStr" s="4">
        <is>
          <t>其他</t>
        </is>
      </c>
      <c r="D1230" t="inlineStr" s="5">
        <is>
          <t>其他</t>
        </is>
      </c>
      <c r="E1230" s="6"/>
      <c r="F1230" s="6"/>
      <c r="G1230" s="6">
        <f>IF(AND(E1230="",F1230=""),"",F1230-E1230)</f>
      </c>
      <c r="H1230" s="4"/>
      <c r="I1230" s="5"/>
    </row>
    <row r="1231" ht="21" customHeight="1">
      <c r="A1231" s="3">
        <v>46356</v>
      </c>
      <c r="B1231" t="inlineStr" s="4">
        <is>
          <t>星期一</t>
        </is>
      </c>
      <c r="C1231" t="inlineStr" s="4">
        <is>
          <t>其他</t>
        </is>
      </c>
      <c r="D1231" t="inlineStr" s="5">
        <is>
          <t>其他</t>
        </is>
      </c>
      <c r="E1231" s="6"/>
      <c r="F1231" s="6"/>
      <c r="G1231" s="6">
        <f>IF(AND(E1231="",F1231=""),"",F1231-E1231)</f>
      </c>
      <c r="H1231" s="4"/>
      <c r="I1231" s="5"/>
    </row>
    <row r="1232" ht="21" customHeight="1">
      <c r="A1232" s="3">
        <v>46357</v>
      </c>
      <c r="B1232" t="inlineStr" s="4">
        <is>
          <t>星期二</t>
        </is>
      </c>
      <c r="C1232" t="inlineStr" s="4">
        <is>
          <t>餐饮</t>
        </is>
      </c>
      <c r="D1232" t="inlineStr" s="5">
        <is>
          <t>早餐</t>
        </is>
      </c>
      <c r="E1232" s="6"/>
      <c r="F1232" s="6"/>
      <c r="G1232" s="6">
        <f>IF(AND(E1232="",F1232=""),"",F1232-E1232)</f>
      </c>
      <c r="H1232" s="4"/>
      <c r="I1232" s="5"/>
    </row>
    <row r="1233" ht="21" customHeight="1">
      <c r="A1233" s="3">
        <v>46357</v>
      </c>
      <c r="B1233" t="inlineStr" s="4">
        <is>
          <t>星期二</t>
        </is>
      </c>
      <c r="C1233" t="inlineStr" s="4">
        <is>
          <t>餐饮</t>
        </is>
      </c>
      <c r="D1233" t="inlineStr" s="5">
        <is>
          <t>中餐</t>
        </is>
      </c>
      <c r="E1233" s="6"/>
      <c r="F1233" s="6"/>
      <c r="G1233" s="6">
        <f>IF(AND(E1233="",F1233=""),"",F1233-E1233)</f>
      </c>
      <c r="H1233" s="4"/>
      <c r="I1233" s="5"/>
    </row>
    <row r="1234" ht="21" customHeight="1">
      <c r="A1234" s="3">
        <v>46357</v>
      </c>
      <c r="B1234" t="inlineStr" s="4">
        <is>
          <t>星期二</t>
        </is>
      </c>
      <c r="C1234" t="inlineStr" s="4">
        <is>
          <t>餐饮</t>
        </is>
      </c>
      <c r="D1234" t="inlineStr" s="5">
        <is>
          <t>晚餐</t>
        </is>
      </c>
      <c r="E1234" s="6"/>
      <c r="F1234" s="6"/>
      <c r="G1234" s="6">
        <f>IF(AND(E1234="",F1234=""),"",F1234-E1234)</f>
      </c>
      <c r="H1234" s="4"/>
      <c r="I1234" s="5"/>
    </row>
    <row r="1235" ht="21" customHeight="1">
      <c r="A1235" s="3">
        <v>46357</v>
      </c>
      <c r="B1235" t="inlineStr" s="4">
        <is>
          <t>星期二</t>
        </is>
      </c>
      <c r="C1235" t="inlineStr" s="4">
        <is>
          <t>奶茶/咖啡</t>
        </is>
      </c>
      <c r="D1235" t="inlineStr" s="5">
        <is>
          <t>奶茶/咖啡</t>
        </is>
      </c>
      <c r="E1235" s="6"/>
      <c r="F1235" s="6"/>
      <c r="G1235" s="6">
        <f>IF(AND(E1235="",F1235=""),"",F1235-E1235)</f>
      </c>
      <c r="H1235" s="4"/>
      <c r="I1235" s="5"/>
    </row>
    <row r="1236" ht="21" customHeight="1">
      <c r="A1236" s="3">
        <v>46357</v>
      </c>
      <c r="B1236" t="inlineStr" s="4">
        <is>
          <t>星期二</t>
        </is>
      </c>
      <c r="C1236" t="inlineStr" s="4">
        <is>
          <t>其他</t>
        </is>
      </c>
      <c r="D1236" t="inlineStr" s="5">
        <is>
          <t>其他</t>
        </is>
      </c>
      <c r="E1236" s="6"/>
      <c r="F1236" s="6"/>
      <c r="G1236" s="6">
        <f>IF(AND(E1236="",F1236=""),"",F1236-E1236)</f>
      </c>
      <c r="H1236" s="4"/>
      <c r="I1236" s="5"/>
    </row>
    <row r="1237" ht="21" customHeight="1">
      <c r="A1237" s="3">
        <v>46357</v>
      </c>
      <c r="B1237" t="inlineStr" s="4">
        <is>
          <t>星期二</t>
        </is>
      </c>
      <c r="C1237" t="inlineStr" s="4">
        <is>
          <t>其他</t>
        </is>
      </c>
      <c r="D1237" t="inlineStr" s="5">
        <is>
          <t>其他</t>
        </is>
      </c>
      <c r="E1237" s="6"/>
      <c r="F1237" s="6"/>
      <c r="G1237" s="6">
        <f>IF(AND(E1237="",F1237=""),"",F1237-E1237)</f>
      </c>
      <c r="H1237" s="4"/>
      <c r="I1237" s="5"/>
    </row>
    <row r="1238" ht="21" customHeight="1">
      <c r="A1238" s="3">
        <v>46358</v>
      </c>
      <c r="B1238" t="inlineStr" s="4">
        <is>
          <t>星期三</t>
        </is>
      </c>
      <c r="C1238" t="inlineStr" s="4">
        <is>
          <t>餐饮</t>
        </is>
      </c>
      <c r="D1238" t="inlineStr" s="5">
        <is>
          <t>早餐</t>
        </is>
      </c>
      <c r="E1238" s="6"/>
      <c r="F1238" s="6"/>
      <c r="G1238" s="6">
        <f>IF(AND(E1238="",F1238=""),"",F1238-E1238)</f>
      </c>
      <c r="H1238" s="4"/>
      <c r="I1238" s="5"/>
    </row>
    <row r="1239" ht="21" customHeight="1">
      <c r="A1239" s="3">
        <v>46358</v>
      </c>
      <c r="B1239" t="inlineStr" s="4">
        <is>
          <t>星期三</t>
        </is>
      </c>
      <c r="C1239" t="inlineStr" s="4">
        <is>
          <t>餐饮</t>
        </is>
      </c>
      <c r="D1239" t="inlineStr" s="5">
        <is>
          <t>中餐</t>
        </is>
      </c>
      <c r="E1239" s="6"/>
      <c r="F1239" s="6"/>
      <c r="G1239" s="6">
        <f>IF(AND(E1239="",F1239=""),"",F1239-E1239)</f>
      </c>
      <c r="H1239" s="4"/>
      <c r="I1239" s="5"/>
    </row>
    <row r="1240" ht="21" customHeight="1">
      <c r="A1240" s="3">
        <v>46358</v>
      </c>
      <c r="B1240" t="inlineStr" s="4">
        <is>
          <t>星期三</t>
        </is>
      </c>
      <c r="C1240" t="inlineStr" s="4">
        <is>
          <t>餐饮</t>
        </is>
      </c>
      <c r="D1240" t="inlineStr" s="5">
        <is>
          <t>晚餐</t>
        </is>
      </c>
      <c r="E1240" s="6"/>
      <c r="F1240" s="6"/>
      <c r="G1240" s="6">
        <f>IF(AND(E1240="",F1240=""),"",F1240-E1240)</f>
      </c>
      <c r="H1240" s="4"/>
      <c r="I1240" s="5"/>
    </row>
    <row r="1241" ht="21" customHeight="1">
      <c r="A1241" s="3">
        <v>46358</v>
      </c>
      <c r="B1241" t="inlineStr" s="4">
        <is>
          <t>星期三</t>
        </is>
      </c>
      <c r="C1241" t="inlineStr" s="4">
        <is>
          <t>奶茶/咖啡</t>
        </is>
      </c>
      <c r="D1241" t="inlineStr" s="5">
        <is>
          <t>奶茶/咖啡</t>
        </is>
      </c>
      <c r="E1241" s="6"/>
      <c r="F1241" s="6"/>
      <c r="G1241" s="6">
        <f>IF(AND(E1241="",F1241=""),"",F1241-E1241)</f>
      </c>
      <c r="H1241" s="4"/>
      <c r="I1241" s="5"/>
    </row>
    <row r="1242" ht="21" customHeight="1">
      <c r="A1242" s="3">
        <v>46358</v>
      </c>
      <c r="B1242" t="inlineStr" s="4">
        <is>
          <t>星期三</t>
        </is>
      </c>
      <c r="C1242" t="inlineStr" s="4">
        <is>
          <t>其他</t>
        </is>
      </c>
      <c r="D1242" t="inlineStr" s="5">
        <is>
          <t>其他</t>
        </is>
      </c>
      <c r="E1242" s="6"/>
      <c r="F1242" s="6"/>
      <c r="G1242" s="6">
        <f>IF(AND(E1242="",F1242=""),"",F1242-E1242)</f>
      </c>
      <c r="H1242" s="4"/>
      <c r="I1242" s="5"/>
    </row>
    <row r="1243" ht="21" customHeight="1">
      <c r="A1243" s="3">
        <v>46358</v>
      </c>
      <c r="B1243" t="inlineStr" s="4">
        <is>
          <t>星期三</t>
        </is>
      </c>
      <c r="C1243" t="inlineStr" s="4">
        <is>
          <t>其他</t>
        </is>
      </c>
      <c r="D1243" t="inlineStr" s="5">
        <is>
          <t>其他</t>
        </is>
      </c>
      <c r="E1243" s="6"/>
      <c r="F1243" s="6"/>
      <c r="G1243" s="6">
        <f>IF(AND(E1243="",F1243=""),"",F1243-E1243)</f>
      </c>
      <c r="H1243" s="4"/>
      <c r="I1243" s="5"/>
    </row>
    <row r="1244" ht="21" customHeight="1">
      <c r="A1244" s="3">
        <v>46359</v>
      </c>
      <c r="B1244" t="inlineStr" s="4">
        <is>
          <t>星期四</t>
        </is>
      </c>
      <c r="C1244" t="inlineStr" s="4">
        <is>
          <t>餐饮</t>
        </is>
      </c>
      <c r="D1244" t="inlineStr" s="5">
        <is>
          <t>早餐</t>
        </is>
      </c>
      <c r="E1244" s="6"/>
      <c r="F1244" s="6"/>
      <c r="G1244" s="6">
        <f>IF(AND(E1244="",F1244=""),"",F1244-E1244)</f>
      </c>
      <c r="H1244" s="4"/>
      <c r="I1244" s="5"/>
    </row>
    <row r="1245" ht="21" customHeight="1">
      <c r="A1245" s="3">
        <v>46359</v>
      </c>
      <c r="B1245" t="inlineStr" s="4">
        <is>
          <t>星期四</t>
        </is>
      </c>
      <c r="C1245" t="inlineStr" s="4">
        <is>
          <t>餐饮</t>
        </is>
      </c>
      <c r="D1245" t="inlineStr" s="5">
        <is>
          <t>中餐</t>
        </is>
      </c>
      <c r="E1245" s="6"/>
      <c r="F1245" s="6"/>
      <c r="G1245" s="6">
        <f>IF(AND(E1245="",F1245=""),"",F1245-E1245)</f>
      </c>
      <c r="H1245" s="4"/>
      <c r="I1245" s="5"/>
    </row>
    <row r="1246" ht="21" customHeight="1">
      <c r="A1246" s="3">
        <v>46359</v>
      </c>
      <c r="B1246" t="inlineStr" s="4">
        <is>
          <t>星期四</t>
        </is>
      </c>
      <c r="C1246" t="inlineStr" s="4">
        <is>
          <t>餐饮</t>
        </is>
      </c>
      <c r="D1246" t="inlineStr" s="5">
        <is>
          <t>晚餐</t>
        </is>
      </c>
      <c r="E1246" s="6"/>
      <c r="F1246" s="6"/>
      <c r="G1246" s="6">
        <f>IF(AND(E1246="",F1246=""),"",F1246-E1246)</f>
      </c>
      <c r="H1246" s="4"/>
      <c r="I1246" s="5"/>
    </row>
    <row r="1247" ht="21" customHeight="1">
      <c r="A1247" s="3">
        <v>46359</v>
      </c>
      <c r="B1247" t="inlineStr" s="4">
        <is>
          <t>星期四</t>
        </is>
      </c>
      <c r="C1247" t="inlineStr" s="4">
        <is>
          <t>奶茶/咖啡</t>
        </is>
      </c>
      <c r="D1247" t="inlineStr" s="5">
        <is>
          <t>奶茶/咖啡</t>
        </is>
      </c>
      <c r="E1247" s="6"/>
      <c r="F1247" s="6"/>
      <c r="G1247" s="6">
        <f>IF(AND(E1247="",F1247=""),"",F1247-E1247)</f>
      </c>
      <c r="H1247" s="4"/>
      <c r="I1247" s="5"/>
    </row>
    <row r="1248" ht="21" customHeight="1">
      <c r="A1248" s="3">
        <v>46359</v>
      </c>
      <c r="B1248" t="inlineStr" s="4">
        <is>
          <t>星期四</t>
        </is>
      </c>
      <c r="C1248" t="inlineStr" s="4">
        <is>
          <t>其他</t>
        </is>
      </c>
      <c r="D1248" t="inlineStr" s="5">
        <is>
          <t>其他</t>
        </is>
      </c>
      <c r="E1248" s="6"/>
      <c r="F1248" s="6"/>
      <c r="G1248" s="6">
        <f>IF(AND(E1248="",F1248=""),"",F1248-E1248)</f>
      </c>
      <c r="H1248" s="4"/>
      <c r="I1248" s="5"/>
    </row>
    <row r="1249" ht="21" customHeight="1">
      <c r="A1249" s="3">
        <v>46359</v>
      </c>
      <c r="B1249" t="inlineStr" s="4">
        <is>
          <t>星期四</t>
        </is>
      </c>
      <c r="C1249" t="inlineStr" s="4">
        <is>
          <t>其他</t>
        </is>
      </c>
      <c r="D1249" t="inlineStr" s="5">
        <is>
          <t>其他</t>
        </is>
      </c>
      <c r="E1249" s="6"/>
      <c r="F1249" s="6"/>
      <c r="G1249" s="6">
        <f>IF(AND(E1249="",F1249=""),"",F1249-E1249)</f>
      </c>
      <c r="H1249" s="4"/>
      <c r="I1249" s="5"/>
    </row>
    <row r="1250" ht="21" customHeight="1">
      <c r="A1250" s="3">
        <v>46360</v>
      </c>
      <c r="B1250" t="inlineStr" s="4">
        <is>
          <t>星期五</t>
        </is>
      </c>
      <c r="C1250" t="inlineStr" s="4">
        <is>
          <t>餐饮</t>
        </is>
      </c>
      <c r="D1250" t="inlineStr" s="5">
        <is>
          <t>早餐</t>
        </is>
      </c>
      <c r="E1250" s="6"/>
      <c r="F1250" s="6"/>
      <c r="G1250" s="6">
        <f>IF(AND(E1250="",F1250=""),"",F1250-E1250)</f>
      </c>
      <c r="H1250" s="4"/>
      <c r="I1250" s="5"/>
    </row>
    <row r="1251" ht="21" customHeight="1">
      <c r="A1251" s="3">
        <v>46360</v>
      </c>
      <c r="B1251" t="inlineStr" s="4">
        <is>
          <t>星期五</t>
        </is>
      </c>
      <c r="C1251" t="inlineStr" s="4">
        <is>
          <t>餐饮</t>
        </is>
      </c>
      <c r="D1251" t="inlineStr" s="5">
        <is>
          <t>中餐</t>
        </is>
      </c>
      <c r="E1251" s="6"/>
      <c r="F1251" s="6"/>
      <c r="G1251" s="6">
        <f>IF(AND(E1251="",F1251=""),"",F1251-E1251)</f>
      </c>
      <c r="H1251" s="4"/>
      <c r="I1251" s="5"/>
    </row>
    <row r="1252" ht="21" customHeight="1">
      <c r="A1252" s="3">
        <v>46360</v>
      </c>
      <c r="B1252" t="inlineStr" s="4">
        <is>
          <t>星期五</t>
        </is>
      </c>
      <c r="C1252" t="inlineStr" s="4">
        <is>
          <t>餐饮</t>
        </is>
      </c>
      <c r="D1252" t="inlineStr" s="5">
        <is>
          <t>晚餐</t>
        </is>
      </c>
      <c r="E1252" s="6"/>
      <c r="F1252" s="6"/>
      <c r="G1252" s="6">
        <f>IF(AND(E1252="",F1252=""),"",F1252-E1252)</f>
      </c>
      <c r="H1252" s="4"/>
      <c r="I1252" s="5"/>
    </row>
    <row r="1253" ht="21" customHeight="1">
      <c r="A1253" s="3">
        <v>46360</v>
      </c>
      <c r="B1253" t="inlineStr" s="4">
        <is>
          <t>星期五</t>
        </is>
      </c>
      <c r="C1253" t="inlineStr" s="4">
        <is>
          <t>奶茶/咖啡</t>
        </is>
      </c>
      <c r="D1253" t="inlineStr" s="5">
        <is>
          <t>奶茶/咖啡</t>
        </is>
      </c>
      <c r="E1253" s="6"/>
      <c r="F1253" s="6"/>
      <c r="G1253" s="6">
        <f>IF(AND(E1253="",F1253=""),"",F1253-E1253)</f>
      </c>
      <c r="H1253" s="4"/>
      <c r="I1253" s="5"/>
    </row>
    <row r="1254" ht="21" customHeight="1">
      <c r="A1254" s="3">
        <v>46360</v>
      </c>
      <c r="B1254" t="inlineStr" s="4">
        <is>
          <t>星期五</t>
        </is>
      </c>
      <c r="C1254" t="inlineStr" s="4">
        <is>
          <t>其他</t>
        </is>
      </c>
      <c r="D1254" t="inlineStr" s="5">
        <is>
          <t>其他</t>
        </is>
      </c>
      <c r="E1254" s="6"/>
      <c r="F1254" s="6"/>
      <c r="G1254" s="6">
        <f>IF(AND(E1254="",F1254=""),"",F1254-E1254)</f>
      </c>
      <c r="H1254" s="4"/>
      <c r="I1254" s="5"/>
    </row>
    <row r="1255" ht="21" customHeight="1">
      <c r="A1255" s="3">
        <v>46360</v>
      </c>
      <c r="B1255" t="inlineStr" s="4">
        <is>
          <t>星期五</t>
        </is>
      </c>
      <c r="C1255" t="inlineStr" s="4">
        <is>
          <t>其他</t>
        </is>
      </c>
      <c r="D1255" t="inlineStr" s="5">
        <is>
          <t>其他</t>
        </is>
      </c>
      <c r="E1255" s="6"/>
      <c r="F1255" s="6"/>
      <c r="G1255" s="6">
        <f>IF(AND(E1255="",F1255=""),"",F1255-E1255)</f>
      </c>
      <c r="H1255" s="4"/>
      <c r="I1255" s="5"/>
    </row>
    <row r="1256" ht="21" customHeight="1">
      <c r="A1256" s="3">
        <v>46361</v>
      </c>
      <c r="B1256" t="inlineStr" s="4">
        <is>
          <t>星期六</t>
        </is>
      </c>
      <c r="C1256" t="inlineStr" s="4">
        <is>
          <t>餐饮</t>
        </is>
      </c>
      <c r="D1256" t="inlineStr" s="5">
        <is>
          <t>早餐</t>
        </is>
      </c>
      <c r="E1256" s="6"/>
      <c r="F1256" s="6"/>
      <c r="G1256" s="6">
        <f>IF(AND(E1256="",F1256=""),"",F1256-E1256)</f>
      </c>
      <c r="H1256" s="4"/>
      <c r="I1256" s="5"/>
    </row>
    <row r="1257" ht="21" customHeight="1">
      <c r="A1257" s="3">
        <v>46361</v>
      </c>
      <c r="B1257" t="inlineStr" s="4">
        <is>
          <t>星期六</t>
        </is>
      </c>
      <c r="C1257" t="inlineStr" s="4">
        <is>
          <t>餐饮</t>
        </is>
      </c>
      <c r="D1257" t="inlineStr" s="5">
        <is>
          <t>中餐</t>
        </is>
      </c>
      <c r="E1257" s="6"/>
      <c r="F1257" s="6"/>
      <c r="G1257" s="6">
        <f>IF(AND(E1257="",F1257=""),"",F1257-E1257)</f>
      </c>
      <c r="H1257" s="4"/>
      <c r="I1257" s="5"/>
    </row>
    <row r="1258" ht="21" customHeight="1">
      <c r="A1258" s="3">
        <v>46361</v>
      </c>
      <c r="B1258" t="inlineStr" s="4">
        <is>
          <t>星期六</t>
        </is>
      </c>
      <c r="C1258" t="inlineStr" s="4">
        <is>
          <t>餐饮</t>
        </is>
      </c>
      <c r="D1258" t="inlineStr" s="5">
        <is>
          <t>晚餐</t>
        </is>
      </c>
      <c r="E1258" s="6"/>
      <c r="F1258" s="6"/>
      <c r="G1258" s="6">
        <f>IF(AND(E1258="",F1258=""),"",F1258-E1258)</f>
      </c>
      <c r="H1258" s="4"/>
      <c r="I1258" s="5"/>
    </row>
    <row r="1259" ht="21" customHeight="1">
      <c r="A1259" s="3">
        <v>46361</v>
      </c>
      <c r="B1259" t="inlineStr" s="4">
        <is>
          <t>星期六</t>
        </is>
      </c>
      <c r="C1259" t="inlineStr" s="4">
        <is>
          <t>奶茶/咖啡</t>
        </is>
      </c>
      <c r="D1259" t="inlineStr" s="5">
        <is>
          <t>奶茶/咖啡</t>
        </is>
      </c>
      <c r="E1259" s="6"/>
      <c r="F1259" s="6"/>
      <c r="G1259" s="6">
        <f>IF(AND(E1259="",F1259=""),"",F1259-E1259)</f>
      </c>
      <c r="H1259" s="4"/>
      <c r="I1259" s="5"/>
    </row>
    <row r="1260" ht="21" customHeight="1">
      <c r="A1260" s="3">
        <v>46361</v>
      </c>
      <c r="B1260" t="inlineStr" s="4">
        <is>
          <t>星期六</t>
        </is>
      </c>
      <c r="C1260" t="inlineStr" s="4">
        <is>
          <t>其他</t>
        </is>
      </c>
      <c r="D1260" t="inlineStr" s="5">
        <is>
          <t>其他</t>
        </is>
      </c>
      <c r="E1260" s="6"/>
      <c r="F1260" s="6"/>
      <c r="G1260" s="6">
        <f>IF(AND(E1260="",F1260=""),"",F1260-E1260)</f>
      </c>
      <c r="H1260" s="4"/>
      <c r="I1260" s="5"/>
    </row>
    <row r="1261" ht="21" customHeight="1">
      <c r="A1261" s="3">
        <v>46361</v>
      </c>
      <c r="B1261" t="inlineStr" s="4">
        <is>
          <t>星期六</t>
        </is>
      </c>
      <c r="C1261" t="inlineStr" s="4">
        <is>
          <t>其他</t>
        </is>
      </c>
      <c r="D1261" t="inlineStr" s="5">
        <is>
          <t>其他</t>
        </is>
      </c>
      <c r="E1261" s="6"/>
      <c r="F1261" s="6"/>
      <c r="G1261" s="6">
        <f>IF(AND(E1261="",F1261=""),"",F1261-E1261)</f>
      </c>
      <c r="H1261" s="4"/>
      <c r="I1261" s="5"/>
    </row>
    <row r="1262" ht="21" customHeight="1">
      <c r="A1262" s="3">
        <v>46362</v>
      </c>
      <c r="B1262" t="inlineStr" s="4">
        <is>
          <t>星期日</t>
        </is>
      </c>
      <c r="C1262" t="inlineStr" s="4">
        <is>
          <t>餐饮</t>
        </is>
      </c>
      <c r="D1262" t="inlineStr" s="5">
        <is>
          <t>早餐</t>
        </is>
      </c>
      <c r="E1262" s="6"/>
      <c r="F1262" s="6"/>
      <c r="G1262" s="6">
        <f>IF(AND(E1262="",F1262=""),"",F1262-E1262)</f>
      </c>
      <c r="H1262" s="4"/>
      <c r="I1262" s="5"/>
    </row>
    <row r="1263" ht="21" customHeight="1">
      <c r="A1263" s="3">
        <v>46362</v>
      </c>
      <c r="B1263" t="inlineStr" s="4">
        <is>
          <t>星期日</t>
        </is>
      </c>
      <c r="C1263" t="inlineStr" s="4">
        <is>
          <t>餐饮</t>
        </is>
      </c>
      <c r="D1263" t="inlineStr" s="5">
        <is>
          <t>中餐</t>
        </is>
      </c>
      <c r="E1263" s="6"/>
      <c r="F1263" s="6"/>
      <c r="G1263" s="6">
        <f>IF(AND(E1263="",F1263=""),"",F1263-E1263)</f>
      </c>
      <c r="H1263" s="4"/>
      <c r="I1263" s="5"/>
    </row>
    <row r="1264" ht="21" customHeight="1">
      <c r="A1264" s="3">
        <v>46362</v>
      </c>
      <c r="B1264" t="inlineStr" s="4">
        <is>
          <t>星期日</t>
        </is>
      </c>
      <c r="C1264" t="inlineStr" s="4">
        <is>
          <t>餐饮</t>
        </is>
      </c>
      <c r="D1264" t="inlineStr" s="5">
        <is>
          <t>晚餐</t>
        </is>
      </c>
      <c r="E1264" s="6"/>
      <c r="F1264" s="6"/>
      <c r="G1264" s="6">
        <f>IF(AND(E1264="",F1264=""),"",F1264-E1264)</f>
      </c>
      <c r="H1264" s="4"/>
      <c r="I1264" s="5"/>
    </row>
    <row r="1265" ht="21" customHeight="1">
      <c r="A1265" s="3">
        <v>46362</v>
      </c>
      <c r="B1265" t="inlineStr" s="4">
        <is>
          <t>星期日</t>
        </is>
      </c>
      <c r="C1265" t="inlineStr" s="4">
        <is>
          <t>奶茶/咖啡</t>
        </is>
      </c>
      <c r="D1265" t="inlineStr" s="5">
        <is>
          <t>奶茶/咖啡</t>
        </is>
      </c>
      <c r="E1265" s="6"/>
      <c r="F1265" s="6"/>
      <c r="G1265" s="6">
        <f>IF(AND(E1265="",F1265=""),"",F1265-E1265)</f>
      </c>
      <c r="H1265" s="4"/>
      <c r="I1265" s="5"/>
    </row>
    <row r="1266" ht="21" customHeight="1">
      <c r="A1266" s="3">
        <v>46362</v>
      </c>
      <c r="B1266" t="inlineStr" s="4">
        <is>
          <t>星期日</t>
        </is>
      </c>
      <c r="C1266" t="inlineStr" s="4">
        <is>
          <t>其他</t>
        </is>
      </c>
      <c r="D1266" t="inlineStr" s="5">
        <is>
          <t>其他</t>
        </is>
      </c>
      <c r="E1266" s="6"/>
      <c r="F1266" s="6"/>
      <c r="G1266" s="6">
        <f>IF(AND(E1266="",F1266=""),"",F1266-E1266)</f>
      </c>
      <c r="H1266" s="4"/>
      <c r="I1266" s="5"/>
    </row>
    <row r="1267" ht="21" customHeight="1">
      <c r="A1267" s="3">
        <v>46362</v>
      </c>
      <c r="B1267" t="inlineStr" s="4">
        <is>
          <t>星期日</t>
        </is>
      </c>
      <c r="C1267" t="inlineStr" s="4">
        <is>
          <t>其他</t>
        </is>
      </c>
      <c r="D1267" t="inlineStr" s="5">
        <is>
          <t>其他</t>
        </is>
      </c>
      <c r="E1267" s="6"/>
      <c r="F1267" s="6"/>
      <c r="G1267" s="6">
        <f>IF(AND(E1267="",F1267=""),"",F1267-E1267)</f>
      </c>
      <c r="H1267" s="4"/>
      <c r="I1267" s="5"/>
    </row>
    <row r="1268" ht="23" customHeight="1">
      <c r="A1268" t="inlineStr" s="7">
        <is>
          <t>本周小计</t>
        </is>
      </c>
      <c r="B1268" s="7"/>
      <c r="C1268" s="7"/>
      <c r="D1268" s="7"/>
      <c r="E1268" s="8">
        <f>SUM(E1226:E1267)</f>
      </c>
      <c r="F1268" s="8">
        <f>SUM(F1226:F1267)</f>
      </c>
      <c r="G1268" s="8">
        <f>SUM(G1226:G1267)</f>
      </c>
      <c r="H1268" s="7"/>
      <c r="I1268" s="7"/>
    </row>
    <row r="1269" ht="18" customHeight="1">
      <c r="A1269" s="9"/>
      <c r="B1269" s="9"/>
      <c r="C1269" s="9"/>
      <c r="D1269" s="9"/>
      <c r="E1269" s="9"/>
      <c r="F1269" s="9"/>
      <c r="G1269" s="9"/>
      <c r="H1269" s="9"/>
      <c r="I1269" s="9"/>
    </row>
    <row r="1270" ht="18" customHeight="1">
      <c r="A1270" s="9"/>
      <c r="B1270" s="9"/>
      <c r="C1270" s="9"/>
      <c r="D1270" s="9"/>
      <c r="E1270" s="9"/>
      <c r="F1270" s="9"/>
      <c r="G1270" s="9"/>
      <c r="H1270" s="9"/>
      <c r="I1270" s="9"/>
    </row>
    <row r="1271" ht="26" customHeight="1">
      <c r="A1271" t="inlineStr" s="2">
        <is>
          <t>2026年12月｜第一周（12月7日 - 12月13日）</t>
        </is>
      </c>
      <c r="B1271" s="2"/>
      <c r="C1271" s="2"/>
      <c r="D1271" s="2"/>
      <c r="E1271" s="2"/>
      <c r="F1271" s="2"/>
      <c r="G1271" s="2"/>
      <c r="H1271" s="2"/>
      <c r="I1271" s="2"/>
    </row>
    <row r="1272" ht="22" customHeight="1">
      <c r="A1272" t="inlineStr" s="1">
        <is>
          <t>日期</t>
        </is>
      </c>
      <c r="B1272" t="inlineStr" s="1">
        <is>
          <t>星期</t>
        </is>
      </c>
      <c r="C1272" t="inlineStr" s="1">
        <is>
          <t>分类</t>
        </is>
      </c>
      <c r="D1272" t="inlineStr" s="1">
        <is>
          <t>事项</t>
        </is>
      </c>
      <c r="E1272" t="inlineStr" s="1">
        <is>
          <t>支出金额</t>
        </is>
      </c>
      <c r="F1272" t="inlineStr" s="1">
        <is>
          <t>收入金额</t>
        </is>
      </c>
      <c r="G1272" t="inlineStr" s="1">
        <is>
          <t>当笔净额</t>
        </is>
      </c>
      <c r="H1272" t="inlineStr" s="1">
        <is>
          <t>支付方式</t>
        </is>
      </c>
      <c r="I1272" t="inlineStr" s="1">
        <is>
          <t>备注</t>
        </is>
      </c>
    </row>
    <row r="1273" ht="21" customHeight="1">
      <c r="A1273" s="3">
        <v>46363</v>
      </c>
      <c r="B1273" t="inlineStr" s="4">
        <is>
          <t>星期一</t>
        </is>
      </c>
      <c r="C1273" t="inlineStr" s="4">
        <is>
          <t>餐饮</t>
        </is>
      </c>
      <c r="D1273" t="inlineStr" s="5">
        <is>
          <t>早餐</t>
        </is>
      </c>
      <c r="E1273" s="6"/>
      <c r="F1273" s="6"/>
      <c r="G1273" s="6">
        <f>IF(AND(E1273="",F1273=""),"",F1273-E1273)</f>
      </c>
      <c r="H1273" s="4"/>
      <c r="I1273" s="5"/>
    </row>
    <row r="1274" ht="21" customHeight="1">
      <c r="A1274" s="3">
        <v>46363</v>
      </c>
      <c r="B1274" t="inlineStr" s="4">
        <is>
          <t>星期一</t>
        </is>
      </c>
      <c r="C1274" t="inlineStr" s="4">
        <is>
          <t>餐饮</t>
        </is>
      </c>
      <c r="D1274" t="inlineStr" s="5">
        <is>
          <t>中餐</t>
        </is>
      </c>
      <c r="E1274" s="6"/>
      <c r="F1274" s="6"/>
      <c r="G1274" s="6">
        <f>IF(AND(E1274="",F1274=""),"",F1274-E1274)</f>
      </c>
      <c r="H1274" s="4"/>
      <c r="I1274" s="5"/>
    </row>
    <row r="1275" ht="21" customHeight="1">
      <c r="A1275" s="3">
        <v>46363</v>
      </c>
      <c r="B1275" t="inlineStr" s="4">
        <is>
          <t>星期一</t>
        </is>
      </c>
      <c r="C1275" t="inlineStr" s="4">
        <is>
          <t>餐饮</t>
        </is>
      </c>
      <c r="D1275" t="inlineStr" s="5">
        <is>
          <t>晚餐</t>
        </is>
      </c>
      <c r="E1275" s="6"/>
      <c r="F1275" s="6"/>
      <c r="G1275" s="6">
        <f>IF(AND(E1275="",F1275=""),"",F1275-E1275)</f>
      </c>
      <c r="H1275" s="4"/>
      <c r="I1275" s="5"/>
    </row>
    <row r="1276" ht="21" customHeight="1">
      <c r="A1276" s="3">
        <v>46363</v>
      </c>
      <c r="B1276" t="inlineStr" s="4">
        <is>
          <t>星期一</t>
        </is>
      </c>
      <c r="C1276" t="inlineStr" s="4">
        <is>
          <t>奶茶/咖啡</t>
        </is>
      </c>
      <c r="D1276" t="inlineStr" s="5">
        <is>
          <t>奶茶/咖啡</t>
        </is>
      </c>
      <c r="E1276" s="6"/>
      <c r="F1276" s="6"/>
      <c r="G1276" s="6">
        <f>IF(AND(E1276="",F1276=""),"",F1276-E1276)</f>
      </c>
      <c r="H1276" s="4"/>
      <c r="I1276" s="5"/>
    </row>
    <row r="1277" ht="21" customHeight="1">
      <c r="A1277" s="3">
        <v>46363</v>
      </c>
      <c r="B1277" t="inlineStr" s="4">
        <is>
          <t>星期一</t>
        </is>
      </c>
      <c r="C1277" t="inlineStr" s="4">
        <is>
          <t>其他</t>
        </is>
      </c>
      <c r="D1277" t="inlineStr" s="5">
        <is>
          <t>其他</t>
        </is>
      </c>
      <c r="E1277" s="6"/>
      <c r="F1277" s="6"/>
      <c r="G1277" s="6">
        <f>IF(AND(E1277="",F1277=""),"",F1277-E1277)</f>
      </c>
      <c r="H1277" s="4"/>
      <c r="I1277" s="5"/>
    </row>
    <row r="1278" ht="21" customHeight="1">
      <c r="A1278" s="3">
        <v>46363</v>
      </c>
      <c r="B1278" t="inlineStr" s="4">
        <is>
          <t>星期一</t>
        </is>
      </c>
      <c r="C1278" t="inlineStr" s="4">
        <is>
          <t>其他</t>
        </is>
      </c>
      <c r="D1278" t="inlineStr" s="5">
        <is>
          <t>其他</t>
        </is>
      </c>
      <c r="E1278" s="6"/>
      <c r="F1278" s="6"/>
      <c r="G1278" s="6">
        <f>IF(AND(E1278="",F1278=""),"",F1278-E1278)</f>
      </c>
      <c r="H1278" s="4"/>
      <c r="I1278" s="5"/>
    </row>
    <row r="1279" ht="21" customHeight="1">
      <c r="A1279" s="3">
        <v>46364</v>
      </c>
      <c r="B1279" t="inlineStr" s="4">
        <is>
          <t>星期二</t>
        </is>
      </c>
      <c r="C1279" t="inlineStr" s="4">
        <is>
          <t>餐饮</t>
        </is>
      </c>
      <c r="D1279" t="inlineStr" s="5">
        <is>
          <t>早餐</t>
        </is>
      </c>
      <c r="E1279" s="6"/>
      <c r="F1279" s="6"/>
      <c r="G1279" s="6">
        <f>IF(AND(E1279="",F1279=""),"",F1279-E1279)</f>
      </c>
      <c r="H1279" s="4"/>
      <c r="I1279" s="5"/>
    </row>
    <row r="1280" ht="21" customHeight="1">
      <c r="A1280" s="3">
        <v>46364</v>
      </c>
      <c r="B1280" t="inlineStr" s="4">
        <is>
          <t>星期二</t>
        </is>
      </c>
      <c r="C1280" t="inlineStr" s="4">
        <is>
          <t>餐饮</t>
        </is>
      </c>
      <c r="D1280" t="inlineStr" s="5">
        <is>
          <t>中餐</t>
        </is>
      </c>
      <c r="E1280" s="6"/>
      <c r="F1280" s="6"/>
      <c r="G1280" s="6">
        <f>IF(AND(E1280="",F1280=""),"",F1280-E1280)</f>
      </c>
      <c r="H1280" s="4"/>
      <c r="I1280" s="5"/>
    </row>
    <row r="1281" ht="21" customHeight="1">
      <c r="A1281" s="3">
        <v>46364</v>
      </c>
      <c r="B1281" t="inlineStr" s="4">
        <is>
          <t>星期二</t>
        </is>
      </c>
      <c r="C1281" t="inlineStr" s="4">
        <is>
          <t>餐饮</t>
        </is>
      </c>
      <c r="D1281" t="inlineStr" s="5">
        <is>
          <t>晚餐</t>
        </is>
      </c>
      <c r="E1281" s="6"/>
      <c r="F1281" s="6"/>
      <c r="G1281" s="6">
        <f>IF(AND(E1281="",F1281=""),"",F1281-E1281)</f>
      </c>
      <c r="H1281" s="4"/>
      <c r="I1281" s="5"/>
    </row>
    <row r="1282" ht="21" customHeight="1">
      <c r="A1282" s="3">
        <v>46364</v>
      </c>
      <c r="B1282" t="inlineStr" s="4">
        <is>
          <t>星期二</t>
        </is>
      </c>
      <c r="C1282" t="inlineStr" s="4">
        <is>
          <t>奶茶/咖啡</t>
        </is>
      </c>
      <c r="D1282" t="inlineStr" s="5">
        <is>
          <t>奶茶/咖啡</t>
        </is>
      </c>
      <c r="E1282" s="6"/>
      <c r="F1282" s="6"/>
      <c r="G1282" s="6">
        <f>IF(AND(E1282="",F1282=""),"",F1282-E1282)</f>
      </c>
      <c r="H1282" s="4"/>
      <c r="I1282" s="5"/>
    </row>
    <row r="1283" ht="21" customHeight="1">
      <c r="A1283" s="3">
        <v>46364</v>
      </c>
      <c r="B1283" t="inlineStr" s="4">
        <is>
          <t>星期二</t>
        </is>
      </c>
      <c r="C1283" t="inlineStr" s="4">
        <is>
          <t>其他</t>
        </is>
      </c>
      <c r="D1283" t="inlineStr" s="5">
        <is>
          <t>其他</t>
        </is>
      </c>
      <c r="E1283" s="6"/>
      <c r="F1283" s="6"/>
      <c r="G1283" s="6">
        <f>IF(AND(E1283="",F1283=""),"",F1283-E1283)</f>
      </c>
      <c r="H1283" s="4"/>
      <c r="I1283" s="5"/>
    </row>
    <row r="1284" ht="21" customHeight="1">
      <c r="A1284" s="3">
        <v>46364</v>
      </c>
      <c r="B1284" t="inlineStr" s="4">
        <is>
          <t>星期二</t>
        </is>
      </c>
      <c r="C1284" t="inlineStr" s="4">
        <is>
          <t>其他</t>
        </is>
      </c>
      <c r="D1284" t="inlineStr" s="5">
        <is>
          <t>其他</t>
        </is>
      </c>
      <c r="E1284" s="6"/>
      <c r="F1284" s="6"/>
      <c r="G1284" s="6">
        <f>IF(AND(E1284="",F1284=""),"",F1284-E1284)</f>
      </c>
      <c r="H1284" s="4"/>
      <c r="I1284" s="5"/>
    </row>
    <row r="1285" ht="21" customHeight="1">
      <c r="A1285" s="3">
        <v>46365</v>
      </c>
      <c r="B1285" t="inlineStr" s="4">
        <is>
          <t>星期三</t>
        </is>
      </c>
      <c r="C1285" t="inlineStr" s="4">
        <is>
          <t>餐饮</t>
        </is>
      </c>
      <c r="D1285" t="inlineStr" s="5">
        <is>
          <t>早餐</t>
        </is>
      </c>
      <c r="E1285" s="6"/>
      <c r="F1285" s="6"/>
      <c r="G1285" s="6">
        <f>IF(AND(E1285="",F1285=""),"",F1285-E1285)</f>
      </c>
      <c r="H1285" s="4"/>
      <c r="I1285" s="5"/>
    </row>
    <row r="1286" ht="21" customHeight="1">
      <c r="A1286" s="3">
        <v>46365</v>
      </c>
      <c r="B1286" t="inlineStr" s="4">
        <is>
          <t>星期三</t>
        </is>
      </c>
      <c r="C1286" t="inlineStr" s="4">
        <is>
          <t>餐饮</t>
        </is>
      </c>
      <c r="D1286" t="inlineStr" s="5">
        <is>
          <t>中餐</t>
        </is>
      </c>
      <c r="E1286" s="6"/>
      <c r="F1286" s="6"/>
      <c r="G1286" s="6">
        <f>IF(AND(E1286="",F1286=""),"",F1286-E1286)</f>
      </c>
      <c r="H1286" s="4"/>
      <c r="I1286" s="5"/>
    </row>
    <row r="1287" ht="21" customHeight="1">
      <c r="A1287" s="3">
        <v>46365</v>
      </c>
      <c r="B1287" t="inlineStr" s="4">
        <is>
          <t>星期三</t>
        </is>
      </c>
      <c r="C1287" t="inlineStr" s="4">
        <is>
          <t>餐饮</t>
        </is>
      </c>
      <c r="D1287" t="inlineStr" s="5">
        <is>
          <t>晚餐</t>
        </is>
      </c>
      <c r="E1287" s="6"/>
      <c r="F1287" s="6"/>
      <c r="G1287" s="6">
        <f>IF(AND(E1287="",F1287=""),"",F1287-E1287)</f>
      </c>
      <c r="H1287" s="4"/>
      <c r="I1287" s="5"/>
    </row>
    <row r="1288" ht="21" customHeight="1">
      <c r="A1288" s="3">
        <v>46365</v>
      </c>
      <c r="B1288" t="inlineStr" s="4">
        <is>
          <t>星期三</t>
        </is>
      </c>
      <c r="C1288" t="inlineStr" s="4">
        <is>
          <t>奶茶/咖啡</t>
        </is>
      </c>
      <c r="D1288" t="inlineStr" s="5">
        <is>
          <t>奶茶/咖啡</t>
        </is>
      </c>
      <c r="E1288" s="6"/>
      <c r="F1288" s="6"/>
      <c r="G1288" s="6">
        <f>IF(AND(E1288="",F1288=""),"",F1288-E1288)</f>
      </c>
      <c r="H1288" s="4"/>
      <c r="I1288" s="5"/>
    </row>
    <row r="1289" ht="21" customHeight="1">
      <c r="A1289" s="3">
        <v>46365</v>
      </c>
      <c r="B1289" t="inlineStr" s="4">
        <is>
          <t>星期三</t>
        </is>
      </c>
      <c r="C1289" t="inlineStr" s="4">
        <is>
          <t>其他</t>
        </is>
      </c>
      <c r="D1289" t="inlineStr" s="5">
        <is>
          <t>其他</t>
        </is>
      </c>
      <c r="E1289" s="6"/>
      <c r="F1289" s="6"/>
      <c r="G1289" s="6">
        <f>IF(AND(E1289="",F1289=""),"",F1289-E1289)</f>
      </c>
      <c r="H1289" s="4"/>
      <c r="I1289" s="5"/>
    </row>
    <row r="1290" ht="21" customHeight="1">
      <c r="A1290" s="3">
        <v>46365</v>
      </c>
      <c r="B1290" t="inlineStr" s="4">
        <is>
          <t>星期三</t>
        </is>
      </c>
      <c r="C1290" t="inlineStr" s="4">
        <is>
          <t>其他</t>
        </is>
      </c>
      <c r="D1290" t="inlineStr" s="5">
        <is>
          <t>其他</t>
        </is>
      </c>
      <c r="E1290" s="6"/>
      <c r="F1290" s="6"/>
      <c r="G1290" s="6">
        <f>IF(AND(E1290="",F1290=""),"",F1290-E1290)</f>
      </c>
      <c r="H1290" s="4"/>
      <c r="I1290" s="5"/>
    </row>
    <row r="1291" ht="21" customHeight="1">
      <c r="A1291" s="3">
        <v>46366</v>
      </c>
      <c r="B1291" t="inlineStr" s="4">
        <is>
          <t>星期四</t>
        </is>
      </c>
      <c r="C1291" t="inlineStr" s="4">
        <is>
          <t>餐饮</t>
        </is>
      </c>
      <c r="D1291" t="inlineStr" s="5">
        <is>
          <t>早餐</t>
        </is>
      </c>
      <c r="E1291" s="6"/>
      <c r="F1291" s="6"/>
      <c r="G1291" s="6">
        <f>IF(AND(E1291="",F1291=""),"",F1291-E1291)</f>
      </c>
      <c r="H1291" s="4"/>
      <c r="I1291" s="5"/>
    </row>
    <row r="1292" ht="21" customHeight="1">
      <c r="A1292" s="3">
        <v>46366</v>
      </c>
      <c r="B1292" t="inlineStr" s="4">
        <is>
          <t>星期四</t>
        </is>
      </c>
      <c r="C1292" t="inlineStr" s="4">
        <is>
          <t>餐饮</t>
        </is>
      </c>
      <c r="D1292" t="inlineStr" s="5">
        <is>
          <t>中餐</t>
        </is>
      </c>
      <c r="E1292" s="6"/>
      <c r="F1292" s="6"/>
      <c r="G1292" s="6">
        <f>IF(AND(E1292="",F1292=""),"",F1292-E1292)</f>
      </c>
      <c r="H1292" s="4"/>
      <c r="I1292" s="5"/>
    </row>
    <row r="1293" ht="21" customHeight="1">
      <c r="A1293" s="3">
        <v>46366</v>
      </c>
      <c r="B1293" t="inlineStr" s="4">
        <is>
          <t>星期四</t>
        </is>
      </c>
      <c r="C1293" t="inlineStr" s="4">
        <is>
          <t>餐饮</t>
        </is>
      </c>
      <c r="D1293" t="inlineStr" s="5">
        <is>
          <t>晚餐</t>
        </is>
      </c>
      <c r="E1293" s="6"/>
      <c r="F1293" s="6"/>
      <c r="G1293" s="6">
        <f>IF(AND(E1293="",F1293=""),"",F1293-E1293)</f>
      </c>
      <c r="H1293" s="4"/>
      <c r="I1293" s="5"/>
    </row>
    <row r="1294" ht="21" customHeight="1">
      <c r="A1294" s="3">
        <v>46366</v>
      </c>
      <c r="B1294" t="inlineStr" s="4">
        <is>
          <t>星期四</t>
        </is>
      </c>
      <c r="C1294" t="inlineStr" s="4">
        <is>
          <t>奶茶/咖啡</t>
        </is>
      </c>
      <c r="D1294" t="inlineStr" s="5">
        <is>
          <t>奶茶/咖啡</t>
        </is>
      </c>
      <c r="E1294" s="6"/>
      <c r="F1294" s="6"/>
      <c r="G1294" s="6">
        <f>IF(AND(E1294="",F1294=""),"",F1294-E1294)</f>
      </c>
      <c r="H1294" s="4"/>
      <c r="I1294" s="5"/>
    </row>
    <row r="1295" ht="21" customHeight="1">
      <c r="A1295" s="3">
        <v>46366</v>
      </c>
      <c r="B1295" t="inlineStr" s="4">
        <is>
          <t>星期四</t>
        </is>
      </c>
      <c r="C1295" t="inlineStr" s="4">
        <is>
          <t>其他</t>
        </is>
      </c>
      <c r="D1295" t="inlineStr" s="5">
        <is>
          <t>其他</t>
        </is>
      </c>
      <c r="E1295" s="6"/>
      <c r="F1295" s="6"/>
      <c r="G1295" s="6">
        <f>IF(AND(E1295="",F1295=""),"",F1295-E1295)</f>
      </c>
      <c r="H1295" s="4"/>
      <c r="I1295" s="5"/>
    </row>
    <row r="1296" ht="21" customHeight="1">
      <c r="A1296" s="3">
        <v>46366</v>
      </c>
      <c r="B1296" t="inlineStr" s="4">
        <is>
          <t>星期四</t>
        </is>
      </c>
      <c r="C1296" t="inlineStr" s="4">
        <is>
          <t>其他</t>
        </is>
      </c>
      <c r="D1296" t="inlineStr" s="5">
        <is>
          <t>其他</t>
        </is>
      </c>
      <c r="E1296" s="6"/>
      <c r="F1296" s="6"/>
      <c r="G1296" s="6">
        <f>IF(AND(E1296="",F1296=""),"",F1296-E1296)</f>
      </c>
      <c r="H1296" s="4"/>
      <c r="I1296" s="5"/>
    </row>
    <row r="1297" ht="21" customHeight="1">
      <c r="A1297" s="3">
        <v>46367</v>
      </c>
      <c r="B1297" t="inlineStr" s="4">
        <is>
          <t>星期五</t>
        </is>
      </c>
      <c r="C1297" t="inlineStr" s="4">
        <is>
          <t>餐饮</t>
        </is>
      </c>
      <c r="D1297" t="inlineStr" s="5">
        <is>
          <t>早餐</t>
        </is>
      </c>
      <c r="E1297" s="6"/>
      <c r="F1297" s="6"/>
      <c r="G1297" s="6">
        <f>IF(AND(E1297="",F1297=""),"",F1297-E1297)</f>
      </c>
      <c r="H1297" s="4"/>
      <c r="I1297" s="5"/>
    </row>
    <row r="1298" ht="21" customHeight="1">
      <c r="A1298" s="3">
        <v>46367</v>
      </c>
      <c r="B1298" t="inlineStr" s="4">
        <is>
          <t>星期五</t>
        </is>
      </c>
      <c r="C1298" t="inlineStr" s="4">
        <is>
          <t>餐饮</t>
        </is>
      </c>
      <c r="D1298" t="inlineStr" s="5">
        <is>
          <t>中餐</t>
        </is>
      </c>
      <c r="E1298" s="6"/>
      <c r="F1298" s="6"/>
      <c r="G1298" s="6">
        <f>IF(AND(E1298="",F1298=""),"",F1298-E1298)</f>
      </c>
      <c r="H1298" s="4"/>
      <c r="I1298" s="5"/>
    </row>
    <row r="1299" ht="21" customHeight="1">
      <c r="A1299" s="3">
        <v>46367</v>
      </c>
      <c r="B1299" t="inlineStr" s="4">
        <is>
          <t>星期五</t>
        </is>
      </c>
      <c r="C1299" t="inlineStr" s="4">
        <is>
          <t>餐饮</t>
        </is>
      </c>
      <c r="D1299" t="inlineStr" s="5">
        <is>
          <t>晚餐</t>
        </is>
      </c>
      <c r="E1299" s="6"/>
      <c r="F1299" s="6"/>
      <c r="G1299" s="6">
        <f>IF(AND(E1299="",F1299=""),"",F1299-E1299)</f>
      </c>
      <c r="H1299" s="4"/>
      <c r="I1299" s="5"/>
    </row>
    <row r="1300" ht="21" customHeight="1">
      <c r="A1300" s="3">
        <v>46367</v>
      </c>
      <c r="B1300" t="inlineStr" s="4">
        <is>
          <t>星期五</t>
        </is>
      </c>
      <c r="C1300" t="inlineStr" s="4">
        <is>
          <t>奶茶/咖啡</t>
        </is>
      </c>
      <c r="D1300" t="inlineStr" s="5">
        <is>
          <t>奶茶/咖啡</t>
        </is>
      </c>
      <c r="E1300" s="6"/>
      <c r="F1300" s="6"/>
      <c r="G1300" s="6">
        <f>IF(AND(E1300="",F1300=""),"",F1300-E1300)</f>
      </c>
      <c r="H1300" s="4"/>
      <c r="I1300" s="5"/>
    </row>
    <row r="1301" ht="21" customHeight="1">
      <c r="A1301" s="3">
        <v>46367</v>
      </c>
      <c r="B1301" t="inlineStr" s="4">
        <is>
          <t>星期五</t>
        </is>
      </c>
      <c r="C1301" t="inlineStr" s="4">
        <is>
          <t>其他</t>
        </is>
      </c>
      <c r="D1301" t="inlineStr" s="5">
        <is>
          <t>其他</t>
        </is>
      </c>
      <c r="E1301" s="6"/>
      <c r="F1301" s="6"/>
      <c r="G1301" s="6">
        <f>IF(AND(E1301="",F1301=""),"",F1301-E1301)</f>
      </c>
      <c r="H1301" s="4"/>
      <c r="I1301" s="5"/>
    </row>
    <row r="1302" ht="21" customHeight="1">
      <c r="A1302" s="3">
        <v>46367</v>
      </c>
      <c r="B1302" t="inlineStr" s="4">
        <is>
          <t>星期五</t>
        </is>
      </c>
      <c r="C1302" t="inlineStr" s="4">
        <is>
          <t>其他</t>
        </is>
      </c>
      <c r="D1302" t="inlineStr" s="5">
        <is>
          <t>其他</t>
        </is>
      </c>
      <c r="E1302" s="6"/>
      <c r="F1302" s="6"/>
      <c r="G1302" s="6">
        <f>IF(AND(E1302="",F1302=""),"",F1302-E1302)</f>
      </c>
      <c r="H1302" s="4"/>
      <c r="I1302" s="5"/>
    </row>
    <row r="1303" ht="21" customHeight="1">
      <c r="A1303" s="3">
        <v>46368</v>
      </c>
      <c r="B1303" t="inlineStr" s="4">
        <is>
          <t>星期六</t>
        </is>
      </c>
      <c r="C1303" t="inlineStr" s="4">
        <is>
          <t>餐饮</t>
        </is>
      </c>
      <c r="D1303" t="inlineStr" s="5">
        <is>
          <t>早餐</t>
        </is>
      </c>
      <c r="E1303" s="6"/>
      <c r="F1303" s="6"/>
      <c r="G1303" s="6">
        <f>IF(AND(E1303="",F1303=""),"",F1303-E1303)</f>
      </c>
      <c r="H1303" s="4"/>
      <c r="I1303" s="5"/>
    </row>
    <row r="1304" ht="21" customHeight="1">
      <c r="A1304" s="3">
        <v>46368</v>
      </c>
      <c r="B1304" t="inlineStr" s="4">
        <is>
          <t>星期六</t>
        </is>
      </c>
      <c r="C1304" t="inlineStr" s="4">
        <is>
          <t>餐饮</t>
        </is>
      </c>
      <c r="D1304" t="inlineStr" s="5">
        <is>
          <t>中餐</t>
        </is>
      </c>
      <c r="E1304" s="6"/>
      <c r="F1304" s="6"/>
      <c r="G1304" s="6">
        <f>IF(AND(E1304="",F1304=""),"",F1304-E1304)</f>
      </c>
      <c r="H1304" s="4"/>
      <c r="I1304" s="5"/>
    </row>
    <row r="1305" ht="21" customHeight="1">
      <c r="A1305" s="3">
        <v>46368</v>
      </c>
      <c r="B1305" t="inlineStr" s="4">
        <is>
          <t>星期六</t>
        </is>
      </c>
      <c r="C1305" t="inlineStr" s="4">
        <is>
          <t>餐饮</t>
        </is>
      </c>
      <c r="D1305" t="inlineStr" s="5">
        <is>
          <t>晚餐</t>
        </is>
      </c>
      <c r="E1305" s="6"/>
      <c r="F1305" s="6"/>
      <c r="G1305" s="6">
        <f>IF(AND(E1305="",F1305=""),"",F1305-E1305)</f>
      </c>
      <c r="H1305" s="4"/>
      <c r="I1305" s="5"/>
    </row>
    <row r="1306" ht="21" customHeight="1">
      <c r="A1306" s="3">
        <v>46368</v>
      </c>
      <c r="B1306" t="inlineStr" s="4">
        <is>
          <t>星期六</t>
        </is>
      </c>
      <c r="C1306" t="inlineStr" s="4">
        <is>
          <t>奶茶/咖啡</t>
        </is>
      </c>
      <c r="D1306" t="inlineStr" s="5">
        <is>
          <t>奶茶/咖啡</t>
        </is>
      </c>
      <c r="E1306" s="6"/>
      <c r="F1306" s="6"/>
      <c r="G1306" s="6">
        <f>IF(AND(E1306="",F1306=""),"",F1306-E1306)</f>
      </c>
      <c r="H1306" s="4"/>
      <c r="I1306" s="5"/>
    </row>
    <row r="1307" ht="21" customHeight="1">
      <c r="A1307" s="3">
        <v>46368</v>
      </c>
      <c r="B1307" t="inlineStr" s="4">
        <is>
          <t>星期六</t>
        </is>
      </c>
      <c r="C1307" t="inlineStr" s="4">
        <is>
          <t>其他</t>
        </is>
      </c>
      <c r="D1307" t="inlineStr" s="5">
        <is>
          <t>其他</t>
        </is>
      </c>
      <c r="E1307" s="6"/>
      <c r="F1307" s="6"/>
      <c r="G1307" s="6">
        <f>IF(AND(E1307="",F1307=""),"",F1307-E1307)</f>
      </c>
      <c r="H1307" s="4"/>
      <c r="I1307" s="5"/>
    </row>
    <row r="1308" ht="21" customHeight="1">
      <c r="A1308" s="3">
        <v>46368</v>
      </c>
      <c r="B1308" t="inlineStr" s="4">
        <is>
          <t>星期六</t>
        </is>
      </c>
      <c r="C1308" t="inlineStr" s="4">
        <is>
          <t>其他</t>
        </is>
      </c>
      <c r="D1308" t="inlineStr" s="5">
        <is>
          <t>其他</t>
        </is>
      </c>
      <c r="E1308" s="6"/>
      <c r="F1308" s="6"/>
      <c r="G1308" s="6">
        <f>IF(AND(E1308="",F1308=""),"",F1308-E1308)</f>
      </c>
      <c r="H1308" s="4"/>
      <c r="I1308" s="5"/>
    </row>
    <row r="1309" ht="21" customHeight="1">
      <c r="A1309" s="3">
        <v>46369</v>
      </c>
      <c r="B1309" t="inlineStr" s="4">
        <is>
          <t>星期日</t>
        </is>
      </c>
      <c r="C1309" t="inlineStr" s="4">
        <is>
          <t>餐饮</t>
        </is>
      </c>
      <c r="D1309" t="inlineStr" s="5">
        <is>
          <t>早餐</t>
        </is>
      </c>
      <c r="E1309" s="6"/>
      <c r="F1309" s="6"/>
      <c r="G1309" s="6">
        <f>IF(AND(E1309="",F1309=""),"",F1309-E1309)</f>
      </c>
      <c r="H1309" s="4"/>
      <c r="I1309" s="5"/>
    </row>
    <row r="1310" ht="21" customHeight="1">
      <c r="A1310" s="3">
        <v>46369</v>
      </c>
      <c r="B1310" t="inlineStr" s="4">
        <is>
          <t>星期日</t>
        </is>
      </c>
      <c r="C1310" t="inlineStr" s="4">
        <is>
          <t>餐饮</t>
        </is>
      </c>
      <c r="D1310" t="inlineStr" s="5">
        <is>
          <t>中餐</t>
        </is>
      </c>
      <c r="E1310" s="6"/>
      <c r="F1310" s="6"/>
      <c r="G1310" s="6">
        <f>IF(AND(E1310="",F1310=""),"",F1310-E1310)</f>
      </c>
      <c r="H1310" s="4"/>
      <c r="I1310" s="5"/>
    </row>
    <row r="1311" ht="21" customHeight="1">
      <c r="A1311" s="3">
        <v>46369</v>
      </c>
      <c r="B1311" t="inlineStr" s="4">
        <is>
          <t>星期日</t>
        </is>
      </c>
      <c r="C1311" t="inlineStr" s="4">
        <is>
          <t>餐饮</t>
        </is>
      </c>
      <c r="D1311" t="inlineStr" s="5">
        <is>
          <t>晚餐</t>
        </is>
      </c>
      <c r="E1311" s="6"/>
      <c r="F1311" s="6"/>
      <c r="G1311" s="6">
        <f>IF(AND(E1311="",F1311=""),"",F1311-E1311)</f>
      </c>
      <c r="H1311" s="4"/>
      <c r="I1311" s="5"/>
    </row>
    <row r="1312" ht="21" customHeight="1">
      <c r="A1312" s="3">
        <v>46369</v>
      </c>
      <c r="B1312" t="inlineStr" s="4">
        <is>
          <t>星期日</t>
        </is>
      </c>
      <c r="C1312" t="inlineStr" s="4">
        <is>
          <t>奶茶/咖啡</t>
        </is>
      </c>
      <c r="D1312" t="inlineStr" s="5">
        <is>
          <t>奶茶/咖啡</t>
        </is>
      </c>
      <c r="E1312" s="6"/>
      <c r="F1312" s="6"/>
      <c r="G1312" s="6">
        <f>IF(AND(E1312="",F1312=""),"",F1312-E1312)</f>
      </c>
      <c r="H1312" s="4"/>
      <c r="I1312" s="5"/>
    </row>
    <row r="1313" ht="21" customHeight="1">
      <c r="A1313" s="3">
        <v>46369</v>
      </c>
      <c r="B1313" t="inlineStr" s="4">
        <is>
          <t>星期日</t>
        </is>
      </c>
      <c r="C1313" t="inlineStr" s="4">
        <is>
          <t>其他</t>
        </is>
      </c>
      <c r="D1313" t="inlineStr" s="5">
        <is>
          <t>其他</t>
        </is>
      </c>
      <c r="E1313" s="6"/>
      <c r="F1313" s="6"/>
      <c r="G1313" s="6">
        <f>IF(AND(E1313="",F1313=""),"",F1313-E1313)</f>
      </c>
      <c r="H1313" s="4"/>
      <c r="I1313" s="5"/>
    </row>
    <row r="1314" ht="21" customHeight="1">
      <c r="A1314" s="3">
        <v>46369</v>
      </c>
      <c r="B1314" t="inlineStr" s="4">
        <is>
          <t>星期日</t>
        </is>
      </c>
      <c r="C1314" t="inlineStr" s="4">
        <is>
          <t>其他</t>
        </is>
      </c>
      <c r="D1314" t="inlineStr" s="5">
        <is>
          <t>其他</t>
        </is>
      </c>
      <c r="E1314" s="6"/>
      <c r="F1314" s="6"/>
      <c r="G1314" s="6">
        <f>IF(AND(E1314="",F1314=""),"",F1314-E1314)</f>
      </c>
      <c r="H1314" s="4"/>
      <c r="I1314" s="5"/>
    </row>
    <row r="1315" ht="23" customHeight="1">
      <c r="A1315" t="inlineStr" s="7">
        <is>
          <t>本周小计</t>
        </is>
      </c>
      <c r="B1315" s="7"/>
      <c r="C1315" s="7"/>
      <c r="D1315" s="7"/>
      <c r="E1315" s="8">
        <f>SUM(E1273:E1314)</f>
      </c>
      <c r="F1315" s="8">
        <f>SUM(F1273:F1314)</f>
      </c>
      <c r="G1315" s="8">
        <f>SUM(G1273:G1314)</f>
      </c>
      <c r="H1315" s="7"/>
      <c r="I1315" s="7"/>
    </row>
    <row r="1316" ht="18" customHeight="1">
      <c r="A1316" s="9"/>
      <c r="B1316" s="9"/>
      <c r="C1316" s="9"/>
      <c r="D1316" s="9"/>
      <c r="E1316" s="9"/>
      <c r="F1316" s="9"/>
      <c r="G1316" s="9"/>
      <c r="H1316" s="9"/>
      <c r="I1316" s="9"/>
    </row>
    <row r="1317" ht="18" customHeight="1">
      <c r="A1317" s="9"/>
      <c r="B1317" s="9"/>
      <c r="C1317" s="9"/>
      <c r="D1317" s="9"/>
      <c r="E1317" s="9"/>
      <c r="F1317" s="9"/>
      <c r="G1317" s="9"/>
      <c r="H1317" s="9"/>
      <c r="I1317" s="9"/>
    </row>
    <row r="1318" ht="26" customHeight="1">
      <c r="A1318" t="inlineStr" s="2">
        <is>
          <t>2026年12月｜第二周（12月14日 - 12月20日）</t>
        </is>
      </c>
      <c r="B1318" s="2"/>
      <c r="C1318" s="2"/>
      <c r="D1318" s="2"/>
      <c r="E1318" s="2"/>
      <c r="F1318" s="2"/>
      <c r="G1318" s="2"/>
      <c r="H1318" s="2"/>
      <c r="I1318" s="2"/>
    </row>
    <row r="1319" ht="22" customHeight="1">
      <c r="A1319" t="inlineStr" s="1">
        <is>
          <t>日期</t>
        </is>
      </c>
      <c r="B1319" t="inlineStr" s="1">
        <is>
          <t>星期</t>
        </is>
      </c>
      <c r="C1319" t="inlineStr" s="1">
        <is>
          <t>分类</t>
        </is>
      </c>
      <c r="D1319" t="inlineStr" s="1">
        <is>
          <t>事项</t>
        </is>
      </c>
      <c r="E1319" t="inlineStr" s="1">
        <is>
          <t>支出金额</t>
        </is>
      </c>
      <c r="F1319" t="inlineStr" s="1">
        <is>
          <t>收入金额</t>
        </is>
      </c>
      <c r="G1319" t="inlineStr" s="1">
        <is>
          <t>当笔净额</t>
        </is>
      </c>
      <c r="H1319" t="inlineStr" s="1">
        <is>
          <t>支付方式</t>
        </is>
      </c>
      <c r="I1319" t="inlineStr" s="1">
        <is>
          <t>备注</t>
        </is>
      </c>
    </row>
    <row r="1320" ht="21" customHeight="1">
      <c r="A1320" s="3">
        <v>46370</v>
      </c>
      <c r="B1320" t="inlineStr" s="4">
        <is>
          <t>星期一</t>
        </is>
      </c>
      <c r="C1320" t="inlineStr" s="4">
        <is>
          <t>餐饮</t>
        </is>
      </c>
      <c r="D1320" t="inlineStr" s="5">
        <is>
          <t>早餐</t>
        </is>
      </c>
      <c r="E1320" s="6"/>
      <c r="F1320" s="6"/>
      <c r="G1320" s="6">
        <f>IF(AND(E1320="",F1320=""),"",F1320-E1320)</f>
      </c>
      <c r="H1320" s="4"/>
      <c r="I1320" s="5"/>
    </row>
    <row r="1321" ht="21" customHeight="1">
      <c r="A1321" s="3">
        <v>46370</v>
      </c>
      <c r="B1321" t="inlineStr" s="4">
        <is>
          <t>星期一</t>
        </is>
      </c>
      <c r="C1321" t="inlineStr" s="4">
        <is>
          <t>餐饮</t>
        </is>
      </c>
      <c r="D1321" t="inlineStr" s="5">
        <is>
          <t>中餐</t>
        </is>
      </c>
      <c r="E1321" s="6"/>
      <c r="F1321" s="6"/>
      <c r="G1321" s="6">
        <f>IF(AND(E1321="",F1321=""),"",F1321-E1321)</f>
      </c>
      <c r="H1321" s="4"/>
      <c r="I1321" s="5"/>
    </row>
    <row r="1322" ht="21" customHeight="1">
      <c r="A1322" s="3">
        <v>46370</v>
      </c>
      <c r="B1322" t="inlineStr" s="4">
        <is>
          <t>星期一</t>
        </is>
      </c>
      <c r="C1322" t="inlineStr" s="4">
        <is>
          <t>餐饮</t>
        </is>
      </c>
      <c r="D1322" t="inlineStr" s="5">
        <is>
          <t>晚餐</t>
        </is>
      </c>
      <c r="E1322" s="6"/>
      <c r="F1322" s="6"/>
      <c r="G1322" s="6">
        <f>IF(AND(E1322="",F1322=""),"",F1322-E1322)</f>
      </c>
      <c r="H1322" s="4"/>
      <c r="I1322" s="5"/>
    </row>
    <row r="1323" ht="21" customHeight="1">
      <c r="A1323" s="3">
        <v>46370</v>
      </c>
      <c r="B1323" t="inlineStr" s="4">
        <is>
          <t>星期一</t>
        </is>
      </c>
      <c r="C1323" t="inlineStr" s="4">
        <is>
          <t>奶茶/咖啡</t>
        </is>
      </c>
      <c r="D1323" t="inlineStr" s="5">
        <is>
          <t>奶茶/咖啡</t>
        </is>
      </c>
      <c r="E1323" s="6"/>
      <c r="F1323" s="6"/>
      <c r="G1323" s="6">
        <f>IF(AND(E1323="",F1323=""),"",F1323-E1323)</f>
      </c>
      <c r="H1323" s="4"/>
      <c r="I1323" s="5"/>
    </row>
    <row r="1324" ht="21" customHeight="1">
      <c r="A1324" s="3">
        <v>46370</v>
      </c>
      <c r="B1324" t="inlineStr" s="4">
        <is>
          <t>星期一</t>
        </is>
      </c>
      <c r="C1324" t="inlineStr" s="4">
        <is>
          <t>其他</t>
        </is>
      </c>
      <c r="D1324" t="inlineStr" s="5">
        <is>
          <t>其他</t>
        </is>
      </c>
      <c r="E1324" s="6"/>
      <c r="F1324" s="6"/>
      <c r="G1324" s="6">
        <f>IF(AND(E1324="",F1324=""),"",F1324-E1324)</f>
      </c>
      <c r="H1324" s="4"/>
      <c r="I1324" s="5"/>
    </row>
    <row r="1325" ht="21" customHeight="1">
      <c r="A1325" s="3">
        <v>46370</v>
      </c>
      <c r="B1325" t="inlineStr" s="4">
        <is>
          <t>星期一</t>
        </is>
      </c>
      <c r="C1325" t="inlineStr" s="4">
        <is>
          <t>其他</t>
        </is>
      </c>
      <c r="D1325" t="inlineStr" s="5">
        <is>
          <t>其他</t>
        </is>
      </c>
      <c r="E1325" s="6"/>
      <c r="F1325" s="6"/>
      <c r="G1325" s="6">
        <f>IF(AND(E1325="",F1325=""),"",F1325-E1325)</f>
      </c>
      <c r="H1325" s="4"/>
      <c r="I1325" s="5"/>
    </row>
    <row r="1326" ht="21" customHeight="1">
      <c r="A1326" s="3">
        <v>46371</v>
      </c>
      <c r="B1326" t="inlineStr" s="4">
        <is>
          <t>星期二</t>
        </is>
      </c>
      <c r="C1326" t="inlineStr" s="4">
        <is>
          <t>餐饮</t>
        </is>
      </c>
      <c r="D1326" t="inlineStr" s="5">
        <is>
          <t>早餐</t>
        </is>
      </c>
      <c r="E1326" s="6"/>
      <c r="F1326" s="6"/>
      <c r="G1326" s="6">
        <f>IF(AND(E1326="",F1326=""),"",F1326-E1326)</f>
      </c>
      <c r="H1326" s="4"/>
      <c r="I1326" s="5"/>
    </row>
    <row r="1327" ht="21" customHeight="1">
      <c r="A1327" s="3">
        <v>46371</v>
      </c>
      <c r="B1327" t="inlineStr" s="4">
        <is>
          <t>星期二</t>
        </is>
      </c>
      <c r="C1327" t="inlineStr" s="4">
        <is>
          <t>餐饮</t>
        </is>
      </c>
      <c r="D1327" t="inlineStr" s="5">
        <is>
          <t>中餐</t>
        </is>
      </c>
      <c r="E1327" s="6"/>
      <c r="F1327" s="6"/>
      <c r="G1327" s="6">
        <f>IF(AND(E1327="",F1327=""),"",F1327-E1327)</f>
      </c>
      <c r="H1327" s="4"/>
      <c r="I1327" s="5"/>
    </row>
    <row r="1328" ht="21" customHeight="1">
      <c r="A1328" s="3">
        <v>46371</v>
      </c>
      <c r="B1328" t="inlineStr" s="4">
        <is>
          <t>星期二</t>
        </is>
      </c>
      <c r="C1328" t="inlineStr" s="4">
        <is>
          <t>餐饮</t>
        </is>
      </c>
      <c r="D1328" t="inlineStr" s="5">
        <is>
          <t>晚餐</t>
        </is>
      </c>
      <c r="E1328" s="6"/>
      <c r="F1328" s="6"/>
      <c r="G1328" s="6">
        <f>IF(AND(E1328="",F1328=""),"",F1328-E1328)</f>
      </c>
      <c r="H1328" s="4"/>
      <c r="I1328" s="5"/>
    </row>
    <row r="1329" ht="21" customHeight="1">
      <c r="A1329" s="3">
        <v>46371</v>
      </c>
      <c r="B1329" t="inlineStr" s="4">
        <is>
          <t>星期二</t>
        </is>
      </c>
      <c r="C1329" t="inlineStr" s="4">
        <is>
          <t>奶茶/咖啡</t>
        </is>
      </c>
      <c r="D1329" t="inlineStr" s="5">
        <is>
          <t>奶茶/咖啡</t>
        </is>
      </c>
      <c r="E1329" s="6"/>
      <c r="F1329" s="6"/>
      <c r="G1329" s="6">
        <f>IF(AND(E1329="",F1329=""),"",F1329-E1329)</f>
      </c>
      <c r="H1329" s="4"/>
      <c r="I1329" s="5"/>
    </row>
    <row r="1330" ht="21" customHeight="1">
      <c r="A1330" s="3">
        <v>46371</v>
      </c>
      <c r="B1330" t="inlineStr" s="4">
        <is>
          <t>星期二</t>
        </is>
      </c>
      <c r="C1330" t="inlineStr" s="4">
        <is>
          <t>其他</t>
        </is>
      </c>
      <c r="D1330" t="inlineStr" s="5">
        <is>
          <t>其他</t>
        </is>
      </c>
      <c r="E1330" s="6"/>
      <c r="F1330" s="6"/>
      <c r="G1330" s="6">
        <f>IF(AND(E1330="",F1330=""),"",F1330-E1330)</f>
      </c>
      <c r="H1330" s="4"/>
      <c r="I1330" s="5"/>
    </row>
    <row r="1331" ht="21" customHeight="1">
      <c r="A1331" s="3">
        <v>46371</v>
      </c>
      <c r="B1331" t="inlineStr" s="4">
        <is>
          <t>星期二</t>
        </is>
      </c>
      <c r="C1331" t="inlineStr" s="4">
        <is>
          <t>其他</t>
        </is>
      </c>
      <c r="D1331" t="inlineStr" s="5">
        <is>
          <t>其他</t>
        </is>
      </c>
      <c r="E1331" s="6"/>
      <c r="F1331" s="6"/>
      <c r="G1331" s="6">
        <f>IF(AND(E1331="",F1331=""),"",F1331-E1331)</f>
      </c>
      <c r="H1331" s="4"/>
      <c r="I1331" s="5"/>
    </row>
    <row r="1332" ht="21" customHeight="1">
      <c r="A1332" s="3">
        <v>46372</v>
      </c>
      <c r="B1332" t="inlineStr" s="4">
        <is>
          <t>星期三</t>
        </is>
      </c>
      <c r="C1332" t="inlineStr" s="4">
        <is>
          <t>餐饮</t>
        </is>
      </c>
      <c r="D1332" t="inlineStr" s="5">
        <is>
          <t>早餐</t>
        </is>
      </c>
      <c r="E1332" s="6"/>
      <c r="F1332" s="6"/>
      <c r="G1332" s="6">
        <f>IF(AND(E1332="",F1332=""),"",F1332-E1332)</f>
      </c>
      <c r="H1332" s="4"/>
      <c r="I1332" s="5"/>
    </row>
    <row r="1333" ht="21" customHeight="1">
      <c r="A1333" s="3">
        <v>46372</v>
      </c>
      <c r="B1333" t="inlineStr" s="4">
        <is>
          <t>星期三</t>
        </is>
      </c>
      <c r="C1333" t="inlineStr" s="4">
        <is>
          <t>餐饮</t>
        </is>
      </c>
      <c r="D1333" t="inlineStr" s="5">
        <is>
          <t>中餐</t>
        </is>
      </c>
      <c r="E1333" s="6"/>
      <c r="F1333" s="6"/>
      <c r="G1333" s="6">
        <f>IF(AND(E1333="",F1333=""),"",F1333-E1333)</f>
      </c>
      <c r="H1333" s="4"/>
      <c r="I1333" s="5"/>
    </row>
    <row r="1334" ht="21" customHeight="1">
      <c r="A1334" s="3">
        <v>46372</v>
      </c>
      <c r="B1334" t="inlineStr" s="4">
        <is>
          <t>星期三</t>
        </is>
      </c>
      <c r="C1334" t="inlineStr" s="4">
        <is>
          <t>餐饮</t>
        </is>
      </c>
      <c r="D1334" t="inlineStr" s="5">
        <is>
          <t>晚餐</t>
        </is>
      </c>
      <c r="E1334" s="6"/>
      <c r="F1334" s="6"/>
      <c r="G1334" s="6">
        <f>IF(AND(E1334="",F1334=""),"",F1334-E1334)</f>
      </c>
      <c r="H1334" s="4"/>
      <c r="I1334" s="5"/>
    </row>
    <row r="1335" ht="21" customHeight="1">
      <c r="A1335" s="3">
        <v>46372</v>
      </c>
      <c r="B1335" t="inlineStr" s="4">
        <is>
          <t>星期三</t>
        </is>
      </c>
      <c r="C1335" t="inlineStr" s="4">
        <is>
          <t>奶茶/咖啡</t>
        </is>
      </c>
      <c r="D1335" t="inlineStr" s="5">
        <is>
          <t>奶茶/咖啡</t>
        </is>
      </c>
      <c r="E1335" s="6"/>
      <c r="F1335" s="6"/>
      <c r="G1335" s="6">
        <f>IF(AND(E1335="",F1335=""),"",F1335-E1335)</f>
      </c>
      <c r="H1335" s="4"/>
      <c r="I1335" s="5"/>
    </row>
    <row r="1336" ht="21" customHeight="1">
      <c r="A1336" s="3">
        <v>46372</v>
      </c>
      <c r="B1336" t="inlineStr" s="4">
        <is>
          <t>星期三</t>
        </is>
      </c>
      <c r="C1336" t="inlineStr" s="4">
        <is>
          <t>其他</t>
        </is>
      </c>
      <c r="D1336" t="inlineStr" s="5">
        <is>
          <t>其他</t>
        </is>
      </c>
      <c r="E1336" s="6"/>
      <c r="F1336" s="6"/>
      <c r="G1336" s="6">
        <f>IF(AND(E1336="",F1336=""),"",F1336-E1336)</f>
      </c>
      <c r="H1336" s="4"/>
      <c r="I1336" s="5"/>
    </row>
    <row r="1337" ht="21" customHeight="1">
      <c r="A1337" s="3">
        <v>46372</v>
      </c>
      <c r="B1337" t="inlineStr" s="4">
        <is>
          <t>星期三</t>
        </is>
      </c>
      <c r="C1337" t="inlineStr" s="4">
        <is>
          <t>其他</t>
        </is>
      </c>
      <c r="D1337" t="inlineStr" s="5">
        <is>
          <t>其他</t>
        </is>
      </c>
      <c r="E1337" s="6"/>
      <c r="F1337" s="6"/>
      <c r="G1337" s="6">
        <f>IF(AND(E1337="",F1337=""),"",F1337-E1337)</f>
      </c>
      <c r="H1337" s="4"/>
      <c r="I1337" s="5"/>
    </row>
    <row r="1338" ht="21" customHeight="1">
      <c r="A1338" s="3">
        <v>46373</v>
      </c>
      <c r="B1338" t="inlineStr" s="4">
        <is>
          <t>星期四</t>
        </is>
      </c>
      <c r="C1338" t="inlineStr" s="4">
        <is>
          <t>餐饮</t>
        </is>
      </c>
      <c r="D1338" t="inlineStr" s="5">
        <is>
          <t>早餐</t>
        </is>
      </c>
      <c r="E1338" s="6"/>
      <c r="F1338" s="6"/>
      <c r="G1338" s="6">
        <f>IF(AND(E1338="",F1338=""),"",F1338-E1338)</f>
      </c>
      <c r="H1338" s="4"/>
      <c r="I1338" s="5"/>
    </row>
    <row r="1339" ht="21" customHeight="1">
      <c r="A1339" s="3">
        <v>46373</v>
      </c>
      <c r="B1339" t="inlineStr" s="4">
        <is>
          <t>星期四</t>
        </is>
      </c>
      <c r="C1339" t="inlineStr" s="4">
        <is>
          <t>餐饮</t>
        </is>
      </c>
      <c r="D1339" t="inlineStr" s="5">
        <is>
          <t>中餐</t>
        </is>
      </c>
      <c r="E1339" s="6"/>
      <c r="F1339" s="6"/>
      <c r="G1339" s="6">
        <f>IF(AND(E1339="",F1339=""),"",F1339-E1339)</f>
      </c>
      <c r="H1339" s="4"/>
      <c r="I1339" s="5"/>
    </row>
    <row r="1340" ht="21" customHeight="1">
      <c r="A1340" s="3">
        <v>46373</v>
      </c>
      <c r="B1340" t="inlineStr" s="4">
        <is>
          <t>星期四</t>
        </is>
      </c>
      <c r="C1340" t="inlineStr" s="4">
        <is>
          <t>餐饮</t>
        </is>
      </c>
      <c r="D1340" t="inlineStr" s="5">
        <is>
          <t>晚餐</t>
        </is>
      </c>
      <c r="E1340" s="6"/>
      <c r="F1340" s="6"/>
      <c r="G1340" s="6">
        <f>IF(AND(E1340="",F1340=""),"",F1340-E1340)</f>
      </c>
      <c r="H1340" s="4"/>
      <c r="I1340" s="5"/>
    </row>
    <row r="1341" ht="21" customHeight="1">
      <c r="A1341" s="3">
        <v>46373</v>
      </c>
      <c r="B1341" t="inlineStr" s="4">
        <is>
          <t>星期四</t>
        </is>
      </c>
      <c r="C1341" t="inlineStr" s="4">
        <is>
          <t>奶茶/咖啡</t>
        </is>
      </c>
      <c r="D1341" t="inlineStr" s="5">
        <is>
          <t>奶茶/咖啡</t>
        </is>
      </c>
      <c r="E1341" s="6"/>
      <c r="F1341" s="6"/>
      <c r="G1341" s="6">
        <f>IF(AND(E1341="",F1341=""),"",F1341-E1341)</f>
      </c>
      <c r="H1341" s="4"/>
      <c r="I1341" s="5"/>
    </row>
    <row r="1342" ht="21" customHeight="1">
      <c r="A1342" s="3">
        <v>46373</v>
      </c>
      <c r="B1342" t="inlineStr" s="4">
        <is>
          <t>星期四</t>
        </is>
      </c>
      <c r="C1342" t="inlineStr" s="4">
        <is>
          <t>其他</t>
        </is>
      </c>
      <c r="D1342" t="inlineStr" s="5">
        <is>
          <t>其他</t>
        </is>
      </c>
      <c r="E1342" s="6"/>
      <c r="F1342" s="6"/>
      <c r="G1342" s="6">
        <f>IF(AND(E1342="",F1342=""),"",F1342-E1342)</f>
      </c>
      <c r="H1342" s="4"/>
      <c r="I1342" s="5"/>
    </row>
    <row r="1343" ht="21" customHeight="1">
      <c r="A1343" s="3">
        <v>46373</v>
      </c>
      <c r="B1343" t="inlineStr" s="4">
        <is>
          <t>星期四</t>
        </is>
      </c>
      <c r="C1343" t="inlineStr" s="4">
        <is>
          <t>其他</t>
        </is>
      </c>
      <c r="D1343" t="inlineStr" s="5">
        <is>
          <t>其他</t>
        </is>
      </c>
      <c r="E1343" s="6"/>
      <c r="F1343" s="6"/>
      <c r="G1343" s="6">
        <f>IF(AND(E1343="",F1343=""),"",F1343-E1343)</f>
      </c>
      <c r="H1343" s="4"/>
      <c r="I1343" s="5"/>
    </row>
    <row r="1344" ht="21" customHeight="1">
      <c r="A1344" s="3">
        <v>46374</v>
      </c>
      <c r="B1344" t="inlineStr" s="4">
        <is>
          <t>星期五</t>
        </is>
      </c>
      <c r="C1344" t="inlineStr" s="4">
        <is>
          <t>餐饮</t>
        </is>
      </c>
      <c r="D1344" t="inlineStr" s="5">
        <is>
          <t>早餐</t>
        </is>
      </c>
      <c r="E1344" s="6"/>
      <c r="F1344" s="6"/>
      <c r="G1344" s="6">
        <f>IF(AND(E1344="",F1344=""),"",F1344-E1344)</f>
      </c>
      <c r="H1344" s="4"/>
      <c r="I1344" s="5"/>
    </row>
    <row r="1345" ht="21" customHeight="1">
      <c r="A1345" s="3">
        <v>46374</v>
      </c>
      <c r="B1345" t="inlineStr" s="4">
        <is>
          <t>星期五</t>
        </is>
      </c>
      <c r="C1345" t="inlineStr" s="4">
        <is>
          <t>餐饮</t>
        </is>
      </c>
      <c r="D1345" t="inlineStr" s="5">
        <is>
          <t>中餐</t>
        </is>
      </c>
      <c r="E1345" s="6"/>
      <c r="F1345" s="6"/>
      <c r="G1345" s="6">
        <f>IF(AND(E1345="",F1345=""),"",F1345-E1345)</f>
      </c>
      <c r="H1345" s="4"/>
      <c r="I1345" s="5"/>
    </row>
    <row r="1346" ht="21" customHeight="1">
      <c r="A1346" s="3">
        <v>46374</v>
      </c>
      <c r="B1346" t="inlineStr" s="4">
        <is>
          <t>星期五</t>
        </is>
      </c>
      <c r="C1346" t="inlineStr" s="4">
        <is>
          <t>餐饮</t>
        </is>
      </c>
      <c r="D1346" t="inlineStr" s="5">
        <is>
          <t>晚餐</t>
        </is>
      </c>
      <c r="E1346" s="6"/>
      <c r="F1346" s="6"/>
      <c r="G1346" s="6">
        <f>IF(AND(E1346="",F1346=""),"",F1346-E1346)</f>
      </c>
      <c r="H1346" s="4"/>
      <c r="I1346" s="5"/>
    </row>
    <row r="1347" ht="21" customHeight="1">
      <c r="A1347" s="3">
        <v>46374</v>
      </c>
      <c r="B1347" t="inlineStr" s="4">
        <is>
          <t>星期五</t>
        </is>
      </c>
      <c r="C1347" t="inlineStr" s="4">
        <is>
          <t>奶茶/咖啡</t>
        </is>
      </c>
      <c r="D1347" t="inlineStr" s="5">
        <is>
          <t>奶茶/咖啡</t>
        </is>
      </c>
      <c r="E1347" s="6"/>
      <c r="F1347" s="6"/>
      <c r="G1347" s="6">
        <f>IF(AND(E1347="",F1347=""),"",F1347-E1347)</f>
      </c>
      <c r="H1347" s="4"/>
      <c r="I1347" s="5"/>
    </row>
    <row r="1348" ht="21" customHeight="1">
      <c r="A1348" s="3">
        <v>46374</v>
      </c>
      <c r="B1348" t="inlineStr" s="4">
        <is>
          <t>星期五</t>
        </is>
      </c>
      <c r="C1348" t="inlineStr" s="4">
        <is>
          <t>其他</t>
        </is>
      </c>
      <c r="D1348" t="inlineStr" s="5">
        <is>
          <t>其他</t>
        </is>
      </c>
      <c r="E1348" s="6"/>
      <c r="F1348" s="6"/>
      <c r="G1348" s="6">
        <f>IF(AND(E1348="",F1348=""),"",F1348-E1348)</f>
      </c>
      <c r="H1348" s="4"/>
      <c r="I1348" s="5"/>
    </row>
    <row r="1349" ht="21" customHeight="1">
      <c r="A1349" s="3">
        <v>46374</v>
      </c>
      <c r="B1349" t="inlineStr" s="4">
        <is>
          <t>星期五</t>
        </is>
      </c>
      <c r="C1349" t="inlineStr" s="4">
        <is>
          <t>其他</t>
        </is>
      </c>
      <c r="D1349" t="inlineStr" s="5">
        <is>
          <t>其他</t>
        </is>
      </c>
      <c r="E1349" s="6"/>
      <c r="F1349" s="6"/>
      <c r="G1349" s="6">
        <f>IF(AND(E1349="",F1349=""),"",F1349-E1349)</f>
      </c>
      <c r="H1349" s="4"/>
      <c r="I1349" s="5"/>
    </row>
    <row r="1350" ht="21" customHeight="1">
      <c r="A1350" s="3">
        <v>46375</v>
      </c>
      <c r="B1350" t="inlineStr" s="4">
        <is>
          <t>星期六</t>
        </is>
      </c>
      <c r="C1350" t="inlineStr" s="4">
        <is>
          <t>餐饮</t>
        </is>
      </c>
      <c r="D1350" t="inlineStr" s="5">
        <is>
          <t>早餐</t>
        </is>
      </c>
      <c r="E1350" s="6"/>
      <c r="F1350" s="6"/>
      <c r="G1350" s="6">
        <f>IF(AND(E1350="",F1350=""),"",F1350-E1350)</f>
      </c>
      <c r="H1350" s="4"/>
      <c r="I1350" s="5"/>
    </row>
    <row r="1351" ht="21" customHeight="1">
      <c r="A1351" s="3">
        <v>46375</v>
      </c>
      <c r="B1351" t="inlineStr" s="4">
        <is>
          <t>星期六</t>
        </is>
      </c>
      <c r="C1351" t="inlineStr" s="4">
        <is>
          <t>餐饮</t>
        </is>
      </c>
      <c r="D1351" t="inlineStr" s="5">
        <is>
          <t>中餐</t>
        </is>
      </c>
      <c r="E1351" s="6"/>
      <c r="F1351" s="6"/>
      <c r="G1351" s="6">
        <f>IF(AND(E1351="",F1351=""),"",F1351-E1351)</f>
      </c>
      <c r="H1351" s="4"/>
      <c r="I1351" s="5"/>
    </row>
    <row r="1352" ht="21" customHeight="1">
      <c r="A1352" s="3">
        <v>46375</v>
      </c>
      <c r="B1352" t="inlineStr" s="4">
        <is>
          <t>星期六</t>
        </is>
      </c>
      <c r="C1352" t="inlineStr" s="4">
        <is>
          <t>餐饮</t>
        </is>
      </c>
      <c r="D1352" t="inlineStr" s="5">
        <is>
          <t>晚餐</t>
        </is>
      </c>
      <c r="E1352" s="6"/>
      <c r="F1352" s="6"/>
      <c r="G1352" s="6">
        <f>IF(AND(E1352="",F1352=""),"",F1352-E1352)</f>
      </c>
      <c r="H1352" s="4"/>
      <c r="I1352" s="5"/>
    </row>
    <row r="1353" ht="21" customHeight="1">
      <c r="A1353" s="3">
        <v>46375</v>
      </c>
      <c r="B1353" t="inlineStr" s="4">
        <is>
          <t>星期六</t>
        </is>
      </c>
      <c r="C1353" t="inlineStr" s="4">
        <is>
          <t>奶茶/咖啡</t>
        </is>
      </c>
      <c r="D1353" t="inlineStr" s="5">
        <is>
          <t>奶茶/咖啡</t>
        </is>
      </c>
      <c r="E1353" s="6"/>
      <c r="F1353" s="6"/>
      <c r="G1353" s="6">
        <f>IF(AND(E1353="",F1353=""),"",F1353-E1353)</f>
      </c>
      <c r="H1353" s="4"/>
      <c r="I1353" s="5"/>
    </row>
    <row r="1354" ht="21" customHeight="1">
      <c r="A1354" s="3">
        <v>46375</v>
      </c>
      <c r="B1354" t="inlineStr" s="4">
        <is>
          <t>星期六</t>
        </is>
      </c>
      <c r="C1354" t="inlineStr" s="4">
        <is>
          <t>其他</t>
        </is>
      </c>
      <c r="D1354" t="inlineStr" s="5">
        <is>
          <t>其他</t>
        </is>
      </c>
      <c r="E1354" s="6"/>
      <c r="F1354" s="6"/>
      <c r="G1354" s="6">
        <f>IF(AND(E1354="",F1354=""),"",F1354-E1354)</f>
      </c>
      <c r="H1354" s="4"/>
      <c r="I1354" s="5"/>
    </row>
    <row r="1355" ht="21" customHeight="1">
      <c r="A1355" s="3">
        <v>46375</v>
      </c>
      <c r="B1355" t="inlineStr" s="4">
        <is>
          <t>星期六</t>
        </is>
      </c>
      <c r="C1355" t="inlineStr" s="4">
        <is>
          <t>其他</t>
        </is>
      </c>
      <c r="D1355" t="inlineStr" s="5">
        <is>
          <t>其他</t>
        </is>
      </c>
      <c r="E1355" s="6"/>
      <c r="F1355" s="6"/>
      <c r="G1355" s="6">
        <f>IF(AND(E1355="",F1355=""),"",F1355-E1355)</f>
      </c>
      <c r="H1355" s="4"/>
      <c r="I1355" s="5"/>
    </row>
    <row r="1356" ht="21" customHeight="1">
      <c r="A1356" s="3">
        <v>46376</v>
      </c>
      <c r="B1356" t="inlineStr" s="4">
        <is>
          <t>星期日</t>
        </is>
      </c>
      <c r="C1356" t="inlineStr" s="4">
        <is>
          <t>餐饮</t>
        </is>
      </c>
      <c r="D1356" t="inlineStr" s="5">
        <is>
          <t>早餐</t>
        </is>
      </c>
      <c r="E1356" s="6"/>
      <c r="F1356" s="6"/>
      <c r="G1356" s="6">
        <f>IF(AND(E1356="",F1356=""),"",F1356-E1356)</f>
      </c>
      <c r="H1356" s="4"/>
      <c r="I1356" s="5"/>
    </row>
    <row r="1357" ht="21" customHeight="1">
      <c r="A1357" s="3">
        <v>46376</v>
      </c>
      <c r="B1357" t="inlineStr" s="4">
        <is>
          <t>星期日</t>
        </is>
      </c>
      <c r="C1357" t="inlineStr" s="4">
        <is>
          <t>餐饮</t>
        </is>
      </c>
      <c r="D1357" t="inlineStr" s="5">
        <is>
          <t>中餐</t>
        </is>
      </c>
      <c r="E1357" s="6"/>
      <c r="F1357" s="6"/>
      <c r="G1357" s="6">
        <f>IF(AND(E1357="",F1357=""),"",F1357-E1357)</f>
      </c>
      <c r="H1357" s="4"/>
      <c r="I1357" s="5"/>
    </row>
    <row r="1358" ht="21" customHeight="1">
      <c r="A1358" s="3">
        <v>46376</v>
      </c>
      <c r="B1358" t="inlineStr" s="4">
        <is>
          <t>星期日</t>
        </is>
      </c>
      <c r="C1358" t="inlineStr" s="4">
        <is>
          <t>餐饮</t>
        </is>
      </c>
      <c r="D1358" t="inlineStr" s="5">
        <is>
          <t>晚餐</t>
        </is>
      </c>
      <c r="E1358" s="6"/>
      <c r="F1358" s="6"/>
      <c r="G1358" s="6">
        <f>IF(AND(E1358="",F1358=""),"",F1358-E1358)</f>
      </c>
      <c r="H1358" s="4"/>
      <c r="I1358" s="5"/>
    </row>
    <row r="1359" ht="21" customHeight="1">
      <c r="A1359" s="3">
        <v>46376</v>
      </c>
      <c r="B1359" t="inlineStr" s="4">
        <is>
          <t>星期日</t>
        </is>
      </c>
      <c r="C1359" t="inlineStr" s="4">
        <is>
          <t>奶茶/咖啡</t>
        </is>
      </c>
      <c r="D1359" t="inlineStr" s="5">
        <is>
          <t>奶茶/咖啡</t>
        </is>
      </c>
      <c r="E1359" s="6"/>
      <c r="F1359" s="6"/>
      <c r="G1359" s="6">
        <f>IF(AND(E1359="",F1359=""),"",F1359-E1359)</f>
      </c>
      <c r="H1359" s="4"/>
      <c r="I1359" s="5"/>
    </row>
    <row r="1360" ht="21" customHeight="1">
      <c r="A1360" s="3">
        <v>46376</v>
      </c>
      <c r="B1360" t="inlineStr" s="4">
        <is>
          <t>星期日</t>
        </is>
      </c>
      <c r="C1360" t="inlineStr" s="4">
        <is>
          <t>其他</t>
        </is>
      </c>
      <c r="D1360" t="inlineStr" s="5">
        <is>
          <t>其他</t>
        </is>
      </c>
      <c r="E1360" s="6"/>
      <c r="F1360" s="6"/>
      <c r="G1360" s="6">
        <f>IF(AND(E1360="",F1360=""),"",F1360-E1360)</f>
      </c>
      <c r="H1360" s="4"/>
      <c r="I1360" s="5"/>
    </row>
    <row r="1361" ht="21" customHeight="1">
      <c r="A1361" s="3">
        <v>46376</v>
      </c>
      <c r="B1361" t="inlineStr" s="4">
        <is>
          <t>星期日</t>
        </is>
      </c>
      <c r="C1361" t="inlineStr" s="4">
        <is>
          <t>其他</t>
        </is>
      </c>
      <c r="D1361" t="inlineStr" s="5">
        <is>
          <t>其他</t>
        </is>
      </c>
      <c r="E1361" s="6"/>
      <c r="F1361" s="6"/>
      <c r="G1361" s="6">
        <f>IF(AND(E1361="",F1361=""),"",F1361-E1361)</f>
      </c>
      <c r="H1361" s="4"/>
      <c r="I1361" s="5"/>
    </row>
    <row r="1362" ht="23" customHeight="1">
      <c r="A1362" t="inlineStr" s="7">
        <is>
          <t>本周小计</t>
        </is>
      </c>
      <c r="B1362" s="7"/>
      <c r="C1362" s="7"/>
      <c r="D1362" s="7"/>
      <c r="E1362" s="8">
        <f>SUM(E1320:E1361)</f>
      </c>
      <c r="F1362" s="8">
        <f>SUM(F1320:F1361)</f>
      </c>
      <c r="G1362" s="8">
        <f>SUM(G1320:G1361)</f>
      </c>
      <c r="H1362" s="7"/>
      <c r="I1362" s="7"/>
    </row>
    <row r="1363" ht="18" customHeight="1">
      <c r="A1363" s="9"/>
      <c r="B1363" s="9"/>
      <c r="C1363" s="9"/>
      <c r="D1363" s="9"/>
      <c r="E1363" s="9"/>
      <c r="F1363" s="9"/>
      <c r="G1363" s="9"/>
      <c r="H1363" s="9"/>
      <c r="I1363" s="9"/>
    </row>
    <row r="1364" ht="18" customHeight="1">
      <c r="A1364" s="9"/>
      <c r="B1364" s="9"/>
      <c r="C1364" s="9"/>
      <c r="D1364" s="9"/>
      <c r="E1364" s="9"/>
      <c r="F1364" s="9"/>
      <c r="G1364" s="9"/>
      <c r="H1364" s="9"/>
      <c r="I1364" s="9"/>
    </row>
    <row r="1365" ht="26" customHeight="1">
      <c r="A1365" t="inlineStr" s="2">
        <is>
          <t>2026年12月｜第三周（12月21日 - 12月27日）</t>
        </is>
      </c>
      <c r="B1365" s="2"/>
      <c r="C1365" s="2"/>
      <c r="D1365" s="2"/>
      <c r="E1365" s="2"/>
      <c r="F1365" s="2"/>
      <c r="G1365" s="2"/>
      <c r="H1365" s="2"/>
      <c r="I1365" s="2"/>
    </row>
    <row r="1366" ht="22" customHeight="1">
      <c r="A1366" t="inlineStr" s="1">
        <is>
          <t>日期</t>
        </is>
      </c>
      <c r="B1366" t="inlineStr" s="1">
        <is>
          <t>星期</t>
        </is>
      </c>
      <c r="C1366" t="inlineStr" s="1">
        <is>
          <t>分类</t>
        </is>
      </c>
      <c r="D1366" t="inlineStr" s="1">
        <is>
          <t>事项</t>
        </is>
      </c>
      <c r="E1366" t="inlineStr" s="1">
        <is>
          <t>支出金额</t>
        </is>
      </c>
      <c r="F1366" t="inlineStr" s="1">
        <is>
          <t>收入金额</t>
        </is>
      </c>
      <c r="G1366" t="inlineStr" s="1">
        <is>
          <t>当笔净额</t>
        </is>
      </c>
      <c r="H1366" t="inlineStr" s="1">
        <is>
          <t>支付方式</t>
        </is>
      </c>
      <c r="I1366" t="inlineStr" s="1">
        <is>
          <t>备注</t>
        </is>
      </c>
    </row>
    <row r="1367" ht="21" customHeight="1">
      <c r="A1367" s="3">
        <v>46377</v>
      </c>
      <c r="B1367" t="inlineStr" s="4">
        <is>
          <t>星期一</t>
        </is>
      </c>
      <c r="C1367" t="inlineStr" s="4">
        <is>
          <t>餐饮</t>
        </is>
      </c>
      <c r="D1367" t="inlineStr" s="5">
        <is>
          <t>早餐</t>
        </is>
      </c>
      <c r="E1367" s="6"/>
      <c r="F1367" s="6"/>
      <c r="G1367" s="6">
        <f>IF(AND(E1367="",F1367=""),"",F1367-E1367)</f>
      </c>
      <c r="H1367" s="4"/>
      <c r="I1367" s="5"/>
    </row>
    <row r="1368" ht="21" customHeight="1">
      <c r="A1368" s="3">
        <v>46377</v>
      </c>
      <c r="B1368" t="inlineStr" s="4">
        <is>
          <t>星期一</t>
        </is>
      </c>
      <c r="C1368" t="inlineStr" s="4">
        <is>
          <t>餐饮</t>
        </is>
      </c>
      <c r="D1368" t="inlineStr" s="5">
        <is>
          <t>中餐</t>
        </is>
      </c>
      <c r="E1368" s="6"/>
      <c r="F1368" s="6"/>
      <c r="G1368" s="6">
        <f>IF(AND(E1368="",F1368=""),"",F1368-E1368)</f>
      </c>
      <c r="H1368" s="4"/>
      <c r="I1368" s="5"/>
    </row>
    <row r="1369" ht="21" customHeight="1">
      <c r="A1369" s="3">
        <v>46377</v>
      </c>
      <c r="B1369" t="inlineStr" s="4">
        <is>
          <t>星期一</t>
        </is>
      </c>
      <c r="C1369" t="inlineStr" s="4">
        <is>
          <t>餐饮</t>
        </is>
      </c>
      <c r="D1369" t="inlineStr" s="5">
        <is>
          <t>晚餐</t>
        </is>
      </c>
      <c r="E1369" s="6"/>
      <c r="F1369" s="6"/>
      <c r="G1369" s="6">
        <f>IF(AND(E1369="",F1369=""),"",F1369-E1369)</f>
      </c>
      <c r="H1369" s="4"/>
      <c r="I1369" s="5"/>
    </row>
    <row r="1370" ht="21" customHeight="1">
      <c r="A1370" s="3">
        <v>46377</v>
      </c>
      <c r="B1370" t="inlineStr" s="4">
        <is>
          <t>星期一</t>
        </is>
      </c>
      <c r="C1370" t="inlineStr" s="4">
        <is>
          <t>奶茶/咖啡</t>
        </is>
      </c>
      <c r="D1370" t="inlineStr" s="5">
        <is>
          <t>奶茶/咖啡</t>
        </is>
      </c>
      <c r="E1370" s="6"/>
      <c r="F1370" s="6"/>
      <c r="G1370" s="6">
        <f>IF(AND(E1370="",F1370=""),"",F1370-E1370)</f>
      </c>
      <c r="H1370" s="4"/>
      <c r="I1370" s="5"/>
    </row>
    <row r="1371" ht="21" customHeight="1">
      <c r="A1371" s="3">
        <v>46377</v>
      </c>
      <c r="B1371" t="inlineStr" s="4">
        <is>
          <t>星期一</t>
        </is>
      </c>
      <c r="C1371" t="inlineStr" s="4">
        <is>
          <t>其他</t>
        </is>
      </c>
      <c r="D1371" t="inlineStr" s="5">
        <is>
          <t>其他</t>
        </is>
      </c>
      <c r="E1371" s="6"/>
      <c r="F1371" s="6"/>
      <c r="G1371" s="6">
        <f>IF(AND(E1371="",F1371=""),"",F1371-E1371)</f>
      </c>
      <c r="H1371" s="4"/>
      <c r="I1371" s="5"/>
    </row>
    <row r="1372" ht="21" customHeight="1">
      <c r="A1372" s="3">
        <v>46377</v>
      </c>
      <c r="B1372" t="inlineStr" s="4">
        <is>
          <t>星期一</t>
        </is>
      </c>
      <c r="C1372" t="inlineStr" s="4">
        <is>
          <t>其他</t>
        </is>
      </c>
      <c r="D1372" t="inlineStr" s="5">
        <is>
          <t>其他</t>
        </is>
      </c>
      <c r="E1372" s="6"/>
      <c r="F1372" s="6"/>
      <c r="G1372" s="6">
        <f>IF(AND(E1372="",F1372=""),"",F1372-E1372)</f>
      </c>
      <c r="H1372" s="4"/>
      <c r="I1372" s="5"/>
    </row>
    <row r="1373" ht="21" customHeight="1">
      <c r="A1373" s="3">
        <v>46378</v>
      </c>
      <c r="B1373" t="inlineStr" s="4">
        <is>
          <t>星期二</t>
        </is>
      </c>
      <c r="C1373" t="inlineStr" s="4">
        <is>
          <t>餐饮</t>
        </is>
      </c>
      <c r="D1373" t="inlineStr" s="5">
        <is>
          <t>早餐</t>
        </is>
      </c>
      <c r="E1373" s="6"/>
      <c r="F1373" s="6"/>
      <c r="G1373" s="6">
        <f>IF(AND(E1373="",F1373=""),"",F1373-E1373)</f>
      </c>
      <c r="H1373" s="4"/>
      <c r="I1373" s="5"/>
    </row>
    <row r="1374" ht="21" customHeight="1">
      <c r="A1374" s="3">
        <v>46378</v>
      </c>
      <c r="B1374" t="inlineStr" s="4">
        <is>
          <t>星期二</t>
        </is>
      </c>
      <c r="C1374" t="inlineStr" s="4">
        <is>
          <t>餐饮</t>
        </is>
      </c>
      <c r="D1374" t="inlineStr" s="5">
        <is>
          <t>中餐</t>
        </is>
      </c>
      <c r="E1374" s="6"/>
      <c r="F1374" s="6"/>
      <c r="G1374" s="6">
        <f>IF(AND(E1374="",F1374=""),"",F1374-E1374)</f>
      </c>
      <c r="H1374" s="4"/>
      <c r="I1374" s="5"/>
    </row>
    <row r="1375" ht="21" customHeight="1">
      <c r="A1375" s="3">
        <v>46378</v>
      </c>
      <c r="B1375" t="inlineStr" s="4">
        <is>
          <t>星期二</t>
        </is>
      </c>
      <c r="C1375" t="inlineStr" s="4">
        <is>
          <t>餐饮</t>
        </is>
      </c>
      <c r="D1375" t="inlineStr" s="5">
        <is>
          <t>晚餐</t>
        </is>
      </c>
      <c r="E1375" s="6"/>
      <c r="F1375" s="6"/>
      <c r="G1375" s="6">
        <f>IF(AND(E1375="",F1375=""),"",F1375-E1375)</f>
      </c>
      <c r="H1375" s="4"/>
      <c r="I1375" s="5"/>
    </row>
    <row r="1376" ht="21" customHeight="1">
      <c r="A1376" s="3">
        <v>46378</v>
      </c>
      <c r="B1376" t="inlineStr" s="4">
        <is>
          <t>星期二</t>
        </is>
      </c>
      <c r="C1376" t="inlineStr" s="4">
        <is>
          <t>奶茶/咖啡</t>
        </is>
      </c>
      <c r="D1376" t="inlineStr" s="5">
        <is>
          <t>奶茶/咖啡</t>
        </is>
      </c>
      <c r="E1376" s="6"/>
      <c r="F1376" s="6"/>
      <c r="G1376" s="6">
        <f>IF(AND(E1376="",F1376=""),"",F1376-E1376)</f>
      </c>
      <c r="H1376" s="4"/>
      <c r="I1376" s="5"/>
    </row>
    <row r="1377" ht="21" customHeight="1">
      <c r="A1377" s="3">
        <v>46378</v>
      </c>
      <c r="B1377" t="inlineStr" s="4">
        <is>
          <t>星期二</t>
        </is>
      </c>
      <c r="C1377" t="inlineStr" s="4">
        <is>
          <t>其他</t>
        </is>
      </c>
      <c r="D1377" t="inlineStr" s="5">
        <is>
          <t>其他</t>
        </is>
      </c>
      <c r="E1377" s="6"/>
      <c r="F1377" s="6"/>
      <c r="G1377" s="6">
        <f>IF(AND(E1377="",F1377=""),"",F1377-E1377)</f>
      </c>
      <c r="H1377" s="4"/>
      <c r="I1377" s="5"/>
    </row>
    <row r="1378" ht="21" customHeight="1">
      <c r="A1378" s="3">
        <v>46378</v>
      </c>
      <c r="B1378" t="inlineStr" s="4">
        <is>
          <t>星期二</t>
        </is>
      </c>
      <c r="C1378" t="inlineStr" s="4">
        <is>
          <t>其他</t>
        </is>
      </c>
      <c r="D1378" t="inlineStr" s="5">
        <is>
          <t>其他</t>
        </is>
      </c>
      <c r="E1378" s="6"/>
      <c r="F1378" s="6"/>
      <c r="G1378" s="6">
        <f>IF(AND(E1378="",F1378=""),"",F1378-E1378)</f>
      </c>
      <c r="H1378" s="4"/>
      <c r="I1378" s="5"/>
    </row>
    <row r="1379" ht="21" customHeight="1">
      <c r="A1379" s="3">
        <v>46379</v>
      </c>
      <c r="B1379" t="inlineStr" s="4">
        <is>
          <t>星期三</t>
        </is>
      </c>
      <c r="C1379" t="inlineStr" s="4">
        <is>
          <t>餐饮</t>
        </is>
      </c>
      <c r="D1379" t="inlineStr" s="5">
        <is>
          <t>早餐</t>
        </is>
      </c>
      <c r="E1379" s="6"/>
      <c r="F1379" s="6"/>
      <c r="G1379" s="6">
        <f>IF(AND(E1379="",F1379=""),"",F1379-E1379)</f>
      </c>
      <c r="H1379" s="4"/>
      <c r="I1379" s="5"/>
    </row>
    <row r="1380" ht="21" customHeight="1">
      <c r="A1380" s="3">
        <v>46379</v>
      </c>
      <c r="B1380" t="inlineStr" s="4">
        <is>
          <t>星期三</t>
        </is>
      </c>
      <c r="C1380" t="inlineStr" s="4">
        <is>
          <t>餐饮</t>
        </is>
      </c>
      <c r="D1380" t="inlineStr" s="5">
        <is>
          <t>中餐</t>
        </is>
      </c>
      <c r="E1380" s="6"/>
      <c r="F1380" s="6"/>
      <c r="G1380" s="6">
        <f>IF(AND(E1380="",F1380=""),"",F1380-E1380)</f>
      </c>
      <c r="H1380" s="4"/>
      <c r="I1380" s="5"/>
    </row>
    <row r="1381" ht="21" customHeight="1">
      <c r="A1381" s="3">
        <v>46379</v>
      </c>
      <c r="B1381" t="inlineStr" s="4">
        <is>
          <t>星期三</t>
        </is>
      </c>
      <c r="C1381" t="inlineStr" s="4">
        <is>
          <t>餐饮</t>
        </is>
      </c>
      <c r="D1381" t="inlineStr" s="5">
        <is>
          <t>晚餐</t>
        </is>
      </c>
      <c r="E1381" s="6"/>
      <c r="F1381" s="6"/>
      <c r="G1381" s="6">
        <f>IF(AND(E1381="",F1381=""),"",F1381-E1381)</f>
      </c>
      <c r="H1381" s="4"/>
      <c r="I1381" s="5"/>
    </row>
    <row r="1382" ht="21" customHeight="1">
      <c r="A1382" s="3">
        <v>46379</v>
      </c>
      <c r="B1382" t="inlineStr" s="4">
        <is>
          <t>星期三</t>
        </is>
      </c>
      <c r="C1382" t="inlineStr" s="4">
        <is>
          <t>奶茶/咖啡</t>
        </is>
      </c>
      <c r="D1382" t="inlineStr" s="5">
        <is>
          <t>奶茶/咖啡</t>
        </is>
      </c>
      <c r="E1382" s="6"/>
      <c r="F1382" s="6"/>
      <c r="G1382" s="6">
        <f>IF(AND(E1382="",F1382=""),"",F1382-E1382)</f>
      </c>
      <c r="H1382" s="4"/>
      <c r="I1382" s="5"/>
    </row>
    <row r="1383" ht="21" customHeight="1">
      <c r="A1383" s="3">
        <v>46379</v>
      </c>
      <c r="B1383" t="inlineStr" s="4">
        <is>
          <t>星期三</t>
        </is>
      </c>
      <c r="C1383" t="inlineStr" s="4">
        <is>
          <t>其他</t>
        </is>
      </c>
      <c r="D1383" t="inlineStr" s="5">
        <is>
          <t>其他</t>
        </is>
      </c>
      <c r="E1383" s="6"/>
      <c r="F1383" s="6"/>
      <c r="G1383" s="6">
        <f>IF(AND(E1383="",F1383=""),"",F1383-E1383)</f>
      </c>
      <c r="H1383" s="4"/>
      <c r="I1383" s="5"/>
    </row>
    <row r="1384" ht="21" customHeight="1">
      <c r="A1384" s="3">
        <v>46379</v>
      </c>
      <c r="B1384" t="inlineStr" s="4">
        <is>
          <t>星期三</t>
        </is>
      </c>
      <c r="C1384" t="inlineStr" s="4">
        <is>
          <t>其他</t>
        </is>
      </c>
      <c r="D1384" t="inlineStr" s="5">
        <is>
          <t>其他</t>
        </is>
      </c>
      <c r="E1384" s="6"/>
      <c r="F1384" s="6"/>
      <c r="G1384" s="6">
        <f>IF(AND(E1384="",F1384=""),"",F1384-E1384)</f>
      </c>
      <c r="H1384" s="4"/>
      <c r="I1384" s="5"/>
    </row>
    <row r="1385" ht="21" customHeight="1">
      <c r="A1385" s="3">
        <v>46380</v>
      </c>
      <c r="B1385" t="inlineStr" s="4">
        <is>
          <t>星期四</t>
        </is>
      </c>
      <c r="C1385" t="inlineStr" s="4">
        <is>
          <t>餐饮</t>
        </is>
      </c>
      <c r="D1385" t="inlineStr" s="5">
        <is>
          <t>早餐</t>
        </is>
      </c>
      <c r="E1385" s="6"/>
      <c r="F1385" s="6"/>
      <c r="G1385" s="6">
        <f>IF(AND(E1385="",F1385=""),"",F1385-E1385)</f>
      </c>
      <c r="H1385" s="4"/>
      <c r="I1385" s="5"/>
    </row>
    <row r="1386" ht="21" customHeight="1">
      <c r="A1386" s="3">
        <v>46380</v>
      </c>
      <c r="B1386" t="inlineStr" s="4">
        <is>
          <t>星期四</t>
        </is>
      </c>
      <c r="C1386" t="inlineStr" s="4">
        <is>
          <t>餐饮</t>
        </is>
      </c>
      <c r="D1386" t="inlineStr" s="5">
        <is>
          <t>中餐</t>
        </is>
      </c>
      <c r="E1386" s="6"/>
      <c r="F1386" s="6"/>
      <c r="G1386" s="6">
        <f>IF(AND(E1386="",F1386=""),"",F1386-E1386)</f>
      </c>
      <c r="H1386" s="4"/>
      <c r="I1386" s="5"/>
    </row>
    <row r="1387" ht="21" customHeight="1">
      <c r="A1387" s="3">
        <v>46380</v>
      </c>
      <c r="B1387" t="inlineStr" s="4">
        <is>
          <t>星期四</t>
        </is>
      </c>
      <c r="C1387" t="inlineStr" s="4">
        <is>
          <t>餐饮</t>
        </is>
      </c>
      <c r="D1387" t="inlineStr" s="5">
        <is>
          <t>晚餐</t>
        </is>
      </c>
      <c r="E1387" s="6"/>
      <c r="F1387" s="6"/>
      <c r="G1387" s="6">
        <f>IF(AND(E1387="",F1387=""),"",F1387-E1387)</f>
      </c>
      <c r="H1387" s="4"/>
      <c r="I1387" s="5"/>
    </row>
    <row r="1388" ht="21" customHeight="1">
      <c r="A1388" s="3">
        <v>46380</v>
      </c>
      <c r="B1388" t="inlineStr" s="4">
        <is>
          <t>星期四</t>
        </is>
      </c>
      <c r="C1388" t="inlineStr" s="4">
        <is>
          <t>奶茶/咖啡</t>
        </is>
      </c>
      <c r="D1388" t="inlineStr" s="5">
        <is>
          <t>奶茶/咖啡</t>
        </is>
      </c>
      <c r="E1388" s="6"/>
      <c r="F1388" s="6"/>
      <c r="G1388" s="6">
        <f>IF(AND(E1388="",F1388=""),"",F1388-E1388)</f>
      </c>
      <c r="H1388" s="4"/>
      <c r="I1388" s="5"/>
    </row>
    <row r="1389" ht="21" customHeight="1">
      <c r="A1389" s="3">
        <v>46380</v>
      </c>
      <c r="B1389" t="inlineStr" s="4">
        <is>
          <t>星期四</t>
        </is>
      </c>
      <c r="C1389" t="inlineStr" s="4">
        <is>
          <t>其他</t>
        </is>
      </c>
      <c r="D1389" t="inlineStr" s="5">
        <is>
          <t>其他</t>
        </is>
      </c>
      <c r="E1389" s="6"/>
      <c r="F1389" s="6"/>
      <c r="G1389" s="6">
        <f>IF(AND(E1389="",F1389=""),"",F1389-E1389)</f>
      </c>
      <c r="H1389" s="4"/>
      <c r="I1389" s="5"/>
    </row>
    <row r="1390" ht="21" customHeight="1">
      <c r="A1390" s="3">
        <v>46380</v>
      </c>
      <c r="B1390" t="inlineStr" s="4">
        <is>
          <t>星期四</t>
        </is>
      </c>
      <c r="C1390" t="inlineStr" s="4">
        <is>
          <t>其他</t>
        </is>
      </c>
      <c r="D1390" t="inlineStr" s="5">
        <is>
          <t>其他</t>
        </is>
      </c>
      <c r="E1390" s="6"/>
      <c r="F1390" s="6"/>
      <c r="G1390" s="6">
        <f>IF(AND(E1390="",F1390=""),"",F1390-E1390)</f>
      </c>
      <c r="H1390" s="4"/>
      <c r="I1390" s="5"/>
    </row>
    <row r="1391" ht="21" customHeight="1">
      <c r="A1391" s="3">
        <v>46381</v>
      </c>
      <c r="B1391" t="inlineStr" s="4">
        <is>
          <t>星期五</t>
        </is>
      </c>
      <c r="C1391" t="inlineStr" s="4">
        <is>
          <t>餐饮</t>
        </is>
      </c>
      <c r="D1391" t="inlineStr" s="5">
        <is>
          <t>早餐</t>
        </is>
      </c>
      <c r="E1391" s="6"/>
      <c r="F1391" s="6"/>
      <c r="G1391" s="6">
        <f>IF(AND(E1391="",F1391=""),"",F1391-E1391)</f>
      </c>
      <c r="H1391" s="4"/>
      <c r="I1391" s="5"/>
    </row>
    <row r="1392" ht="21" customHeight="1">
      <c r="A1392" s="3">
        <v>46381</v>
      </c>
      <c r="B1392" t="inlineStr" s="4">
        <is>
          <t>星期五</t>
        </is>
      </c>
      <c r="C1392" t="inlineStr" s="4">
        <is>
          <t>餐饮</t>
        </is>
      </c>
      <c r="D1392" t="inlineStr" s="5">
        <is>
          <t>中餐</t>
        </is>
      </c>
      <c r="E1392" s="6"/>
      <c r="F1392" s="6"/>
      <c r="G1392" s="6">
        <f>IF(AND(E1392="",F1392=""),"",F1392-E1392)</f>
      </c>
      <c r="H1392" s="4"/>
      <c r="I1392" s="5"/>
    </row>
    <row r="1393" ht="21" customHeight="1">
      <c r="A1393" s="3">
        <v>46381</v>
      </c>
      <c r="B1393" t="inlineStr" s="4">
        <is>
          <t>星期五</t>
        </is>
      </c>
      <c r="C1393" t="inlineStr" s="4">
        <is>
          <t>餐饮</t>
        </is>
      </c>
      <c r="D1393" t="inlineStr" s="5">
        <is>
          <t>晚餐</t>
        </is>
      </c>
      <c r="E1393" s="6"/>
      <c r="F1393" s="6"/>
      <c r="G1393" s="6">
        <f>IF(AND(E1393="",F1393=""),"",F1393-E1393)</f>
      </c>
      <c r="H1393" s="4"/>
      <c r="I1393" s="5"/>
    </row>
    <row r="1394" ht="21" customHeight="1">
      <c r="A1394" s="3">
        <v>46381</v>
      </c>
      <c r="B1394" t="inlineStr" s="4">
        <is>
          <t>星期五</t>
        </is>
      </c>
      <c r="C1394" t="inlineStr" s="4">
        <is>
          <t>奶茶/咖啡</t>
        </is>
      </c>
      <c r="D1394" t="inlineStr" s="5">
        <is>
          <t>奶茶/咖啡</t>
        </is>
      </c>
      <c r="E1394" s="6"/>
      <c r="F1394" s="6"/>
      <c r="G1394" s="6">
        <f>IF(AND(E1394="",F1394=""),"",F1394-E1394)</f>
      </c>
      <c r="H1394" s="4"/>
      <c r="I1394" s="5"/>
    </row>
    <row r="1395" ht="21" customHeight="1">
      <c r="A1395" s="3">
        <v>46381</v>
      </c>
      <c r="B1395" t="inlineStr" s="4">
        <is>
          <t>星期五</t>
        </is>
      </c>
      <c r="C1395" t="inlineStr" s="4">
        <is>
          <t>其他</t>
        </is>
      </c>
      <c r="D1395" t="inlineStr" s="5">
        <is>
          <t>其他</t>
        </is>
      </c>
      <c r="E1395" s="6"/>
      <c r="F1395" s="6"/>
      <c r="G1395" s="6">
        <f>IF(AND(E1395="",F1395=""),"",F1395-E1395)</f>
      </c>
      <c r="H1395" s="4"/>
      <c r="I1395" s="5"/>
    </row>
    <row r="1396" ht="21" customHeight="1">
      <c r="A1396" s="3">
        <v>46381</v>
      </c>
      <c r="B1396" t="inlineStr" s="4">
        <is>
          <t>星期五</t>
        </is>
      </c>
      <c r="C1396" t="inlineStr" s="4">
        <is>
          <t>其他</t>
        </is>
      </c>
      <c r="D1396" t="inlineStr" s="5">
        <is>
          <t>其他</t>
        </is>
      </c>
      <c r="E1396" s="6"/>
      <c r="F1396" s="6"/>
      <c r="G1396" s="6">
        <f>IF(AND(E1396="",F1396=""),"",F1396-E1396)</f>
      </c>
      <c r="H1396" s="4"/>
      <c r="I1396" s="5"/>
    </row>
    <row r="1397" ht="21" customHeight="1">
      <c r="A1397" s="3">
        <v>46382</v>
      </c>
      <c r="B1397" t="inlineStr" s="4">
        <is>
          <t>星期六</t>
        </is>
      </c>
      <c r="C1397" t="inlineStr" s="4">
        <is>
          <t>餐饮</t>
        </is>
      </c>
      <c r="D1397" t="inlineStr" s="5">
        <is>
          <t>早餐</t>
        </is>
      </c>
      <c r="E1397" s="6"/>
      <c r="F1397" s="6"/>
      <c r="G1397" s="6">
        <f>IF(AND(E1397="",F1397=""),"",F1397-E1397)</f>
      </c>
      <c r="H1397" s="4"/>
      <c r="I1397" s="5"/>
    </row>
    <row r="1398" ht="21" customHeight="1">
      <c r="A1398" s="3">
        <v>46382</v>
      </c>
      <c r="B1398" t="inlineStr" s="4">
        <is>
          <t>星期六</t>
        </is>
      </c>
      <c r="C1398" t="inlineStr" s="4">
        <is>
          <t>餐饮</t>
        </is>
      </c>
      <c r="D1398" t="inlineStr" s="5">
        <is>
          <t>中餐</t>
        </is>
      </c>
      <c r="E1398" s="6"/>
      <c r="F1398" s="6"/>
      <c r="G1398" s="6">
        <f>IF(AND(E1398="",F1398=""),"",F1398-E1398)</f>
      </c>
      <c r="H1398" s="4"/>
      <c r="I1398" s="5"/>
    </row>
    <row r="1399" ht="21" customHeight="1">
      <c r="A1399" s="3">
        <v>46382</v>
      </c>
      <c r="B1399" t="inlineStr" s="4">
        <is>
          <t>星期六</t>
        </is>
      </c>
      <c r="C1399" t="inlineStr" s="4">
        <is>
          <t>餐饮</t>
        </is>
      </c>
      <c r="D1399" t="inlineStr" s="5">
        <is>
          <t>晚餐</t>
        </is>
      </c>
      <c r="E1399" s="6"/>
      <c r="F1399" s="6"/>
      <c r="G1399" s="6">
        <f>IF(AND(E1399="",F1399=""),"",F1399-E1399)</f>
      </c>
      <c r="H1399" s="4"/>
      <c r="I1399" s="5"/>
    </row>
    <row r="1400" ht="21" customHeight="1">
      <c r="A1400" s="3">
        <v>46382</v>
      </c>
      <c r="B1400" t="inlineStr" s="4">
        <is>
          <t>星期六</t>
        </is>
      </c>
      <c r="C1400" t="inlineStr" s="4">
        <is>
          <t>奶茶/咖啡</t>
        </is>
      </c>
      <c r="D1400" t="inlineStr" s="5">
        <is>
          <t>奶茶/咖啡</t>
        </is>
      </c>
      <c r="E1400" s="6"/>
      <c r="F1400" s="6"/>
      <c r="G1400" s="6">
        <f>IF(AND(E1400="",F1400=""),"",F1400-E1400)</f>
      </c>
      <c r="H1400" s="4"/>
      <c r="I1400" s="5"/>
    </row>
    <row r="1401" ht="21" customHeight="1">
      <c r="A1401" s="3">
        <v>46382</v>
      </c>
      <c r="B1401" t="inlineStr" s="4">
        <is>
          <t>星期六</t>
        </is>
      </c>
      <c r="C1401" t="inlineStr" s="4">
        <is>
          <t>其他</t>
        </is>
      </c>
      <c r="D1401" t="inlineStr" s="5">
        <is>
          <t>其他</t>
        </is>
      </c>
      <c r="E1401" s="6"/>
      <c r="F1401" s="6"/>
      <c r="G1401" s="6">
        <f>IF(AND(E1401="",F1401=""),"",F1401-E1401)</f>
      </c>
      <c r="H1401" s="4"/>
      <c r="I1401" s="5"/>
    </row>
    <row r="1402" ht="21" customHeight="1">
      <c r="A1402" s="3">
        <v>46382</v>
      </c>
      <c r="B1402" t="inlineStr" s="4">
        <is>
          <t>星期六</t>
        </is>
      </c>
      <c r="C1402" t="inlineStr" s="4">
        <is>
          <t>其他</t>
        </is>
      </c>
      <c r="D1402" t="inlineStr" s="5">
        <is>
          <t>其他</t>
        </is>
      </c>
      <c r="E1402" s="6"/>
      <c r="F1402" s="6"/>
      <c r="G1402" s="6">
        <f>IF(AND(E1402="",F1402=""),"",F1402-E1402)</f>
      </c>
      <c r="H1402" s="4"/>
      <c r="I1402" s="5"/>
    </row>
    <row r="1403" ht="21" customHeight="1">
      <c r="A1403" s="3">
        <v>46383</v>
      </c>
      <c r="B1403" t="inlineStr" s="4">
        <is>
          <t>星期日</t>
        </is>
      </c>
      <c r="C1403" t="inlineStr" s="4">
        <is>
          <t>餐饮</t>
        </is>
      </c>
      <c r="D1403" t="inlineStr" s="5">
        <is>
          <t>早餐</t>
        </is>
      </c>
      <c r="E1403" s="6"/>
      <c r="F1403" s="6"/>
      <c r="G1403" s="6">
        <f>IF(AND(E1403="",F1403=""),"",F1403-E1403)</f>
      </c>
      <c r="H1403" s="4"/>
      <c r="I1403" s="5"/>
    </row>
    <row r="1404" ht="21" customHeight="1">
      <c r="A1404" s="3">
        <v>46383</v>
      </c>
      <c r="B1404" t="inlineStr" s="4">
        <is>
          <t>星期日</t>
        </is>
      </c>
      <c r="C1404" t="inlineStr" s="4">
        <is>
          <t>餐饮</t>
        </is>
      </c>
      <c r="D1404" t="inlineStr" s="5">
        <is>
          <t>中餐</t>
        </is>
      </c>
      <c r="E1404" s="6"/>
      <c r="F1404" s="6"/>
      <c r="G1404" s="6">
        <f>IF(AND(E1404="",F1404=""),"",F1404-E1404)</f>
      </c>
      <c r="H1404" s="4"/>
      <c r="I1404" s="5"/>
    </row>
    <row r="1405" ht="21" customHeight="1">
      <c r="A1405" s="3">
        <v>46383</v>
      </c>
      <c r="B1405" t="inlineStr" s="4">
        <is>
          <t>星期日</t>
        </is>
      </c>
      <c r="C1405" t="inlineStr" s="4">
        <is>
          <t>餐饮</t>
        </is>
      </c>
      <c r="D1405" t="inlineStr" s="5">
        <is>
          <t>晚餐</t>
        </is>
      </c>
      <c r="E1405" s="6"/>
      <c r="F1405" s="6"/>
      <c r="G1405" s="6">
        <f>IF(AND(E1405="",F1405=""),"",F1405-E1405)</f>
      </c>
      <c r="H1405" s="4"/>
      <c r="I1405" s="5"/>
    </row>
    <row r="1406" ht="21" customHeight="1">
      <c r="A1406" s="3">
        <v>46383</v>
      </c>
      <c r="B1406" t="inlineStr" s="4">
        <is>
          <t>星期日</t>
        </is>
      </c>
      <c r="C1406" t="inlineStr" s="4">
        <is>
          <t>奶茶/咖啡</t>
        </is>
      </c>
      <c r="D1406" t="inlineStr" s="5">
        <is>
          <t>奶茶/咖啡</t>
        </is>
      </c>
      <c r="E1406" s="6"/>
      <c r="F1406" s="6"/>
      <c r="G1406" s="6">
        <f>IF(AND(E1406="",F1406=""),"",F1406-E1406)</f>
      </c>
      <c r="H1406" s="4"/>
      <c r="I1406" s="5"/>
    </row>
    <row r="1407" ht="21" customHeight="1">
      <c r="A1407" s="3">
        <v>46383</v>
      </c>
      <c r="B1407" t="inlineStr" s="4">
        <is>
          <t>星期日</t>
        </is>
      </c>
      <c r="C1407" t="inlineStr" s="4">
        <is>
          <t>其他</t>
        </is>
      </c>
      <c r="D1407" t="inlineStr" s="5">
        <is>
          <t>其他</t>
        </is>
      </c>
      <c r="E1407" s="6"/>
      <c r="F1407" s="6"/>
      <c r="G1407" s="6">
        <f>IF(AND(E1407="",F1407=""),"",F1407-E1407)</f>
      </c>
      <c r="H1407" s="4"/>
      <c r="I1407" s="5"/>
    </row>
    <row r="1408" ht="21" customHeight="1">
      <c r="A1408" s="3">
        <v>46383</v>
      </c>
      <c r="B1408" t="inlineStr" s="4">
        <is>
          <t>星期日</t>
        </is>
      </c>
      <c r="C1408" t="inlineStr" s="4">
        <is>
          <t>其他</t>
        </is>
      </c>
      <c r="D1408" t="inlineStr" s="5">
        <is>
          <t>其他</t>
        </is>
      </c>
      <c r="E1408" s="6"/>
      <c r="F1408" s="6"/>
      <c r="G1408" s="6">
        <f>IF(AND(E1408="",F1408=""),"",F1408-E1408)</f>
      </c>
      <c r="H1408" s="4"/>
      <c r="I1408" s="5"/>
    </row>
    <row r="1409" ht="23" customHeight="1">
      <c r="A1409" t="inlineStr" s="7">
        <is>
          <t>本周小计</t>
        </is>
      </c>
      <c r="B1409" s="7"/>
      <c r="C1409" s="7"/>
      <c r="D1409" s="7"/>
      <c r="E1409" s="8">
        <f>SUM(E1367:E1408)</f>
      </c>
      <c r="F1409" s="8">
        <f>SUM(F1367:F1408)</f>
      </c>
      <c r="G1409" s="8">
        <f>SUM(G1367:G1408)</f>
      </c>
      <c r="H1409" s="7"/>
      <c r="I1409" s="7"/>
    </row>
    <row r="1410" ht="18" customHeight="1">
      <c r="A1410" s="9"/>
      <c r="B1410" s="9"/>
      <c r="C1410" s="9"/>
      <c r="D1410" s="9"/>
      <c r="E1410" s="9"/>
      <c r="F1410" s="9"/>
      <c r="G1410" s="9"/>
      <c r="H1410" s="9"/>
      <c r="I1410" s="9"/>
    </row>
    <row r="1411" ht="18" customHeight="1">
      <c r="A1411" s="9"/>
      <c r="B1411" s="9"/>
      <c r="C1411" s="9"/>
      <c r="D1411" s="9"/>
      <c r="E1411" s="9"/>
      <c r="F1411" s="9"/>
      <c r="G1411" s="9"/>
      <c r="H1411" s="9"/>
      <c r="I1411" s="9"/>
    </row>
    <row r="1412" ht="26" customHeight="1">
      <c r="A1412" t="inlineStr" s="2">
        <is>
          <t>2026年12月-1月｜第四周（12月28日 - 1月3日）</t>
        </is>
      </c>
      <c r="B1412" s="2"/>
      <c r="C1412" s="2"/>
      <c r="D1412" s="2"/>
      <c r="E1412" s="2"/>
      <c r="F1412" s="2"/>
      <c r="G1412" s="2"/>
      <c r="H1412" s="2"/>
      <c r="I1412" s="2"/>
    </row>
    <row r="1413" ht="22" customHeight="1">
      <c r="A1413" t="inlineStr" s="1">
        <is>
          <t>日期</t>
        </is>
      </c>
      <c r="B1413" t="inlineStr" s="1">
        <is>
          <t>星期</t>
        </is>
      </c>
      <c r="C1413" t="inlineStr" s="1">
        <is>
          <t>分类</t>
        </is>
      </c>
      <c r="D1413" t="inlineStr" s="1">
        <is>
          <t>事项</t>
        </is>
      </c>
      <c r="E1413" t="inlineStr" s="1">
        <is>
          <t>支出金额</t>
        </is>
      </c>
      <c r="F1413" t="inlineStr" s="1">
        <is>
          <t>收入金额</t>
        </is>
      </c>
      <c r="G1413" t="inlineStr" s="1">
        <is>
          <t>当笔净额</t>
        </is>
      </c>
      <c r="H1413" t="inlineStr" s="1">
        <is>
          <t>支付方式</t>
        </is>
      </c>
      <c r="I1413" t="inlineStr" s="1">
        <is>
          <t>备注</t>
        </is>
      </c>
    </row>
    <row r="1414" ht="21" customHeight="1">
      <c r="A1414" s="3">
        <v>46384</v>
      </c>
      <c r="B1414" t="inlineStr" s="4">
        <is>
          <t>星期一</t>
        </is>
      </c>
      <c r="C1414" t="inlineStr" s="4">
        <is>
          <t>餐饮</t>
        </is>
      </c>
      <c r="D1414" t="inlineStr" s="5">
        <is>
          <t>早餐</t>
        </is>
      </c>
      <c r="E1414" s="6"/>
      <c r="F1414" s="6"/>
      <c r="G1414" s="6">
        <f>IF(AND(E1414="",F1414=""),"",F1414-E1414)</f>
      </c>
      <c r="H1414" s="4"/>
      <c r="I1414" s="5"/>
    </row>
    <row r="1415" ht="21" customHeight="1">
      <c r="A1415" s="3">
        <v>46384</v>
      </c>
      <c r="B1415" t="inlineStr" s="4">
        <is>
          <t>星期一</t>
        </is>
      </c>
      <c r="C1415" t="inlineStr" s="4">
        <is>
          <t>餐饮</t>
        </is>
      </c>
      <c r="D1415" t="inlineStr" s="5">
        <is>
          <t>中餐</t>
        </is>
      </c>
      <c r="E1415" s="6"/>
      <c r="F1415" s="6"/>
      <c r="G1415" s="6">
        <f>IF(AND(E1415="",F1415=""),"",F1415-E1415)</f>
      </c>
      <c r="H1415" s="4"/>
      <c r="I1415" s="5"/>
    </row>
    <row r="1416" ht="21" customHeight="1">
      <c r="A1416" s="3">
        <v>46384</v>
      </c>
      <c r="B1416" t="inlineStr" s="4">
        <is>
          <t>星期一</t>
        </is>
      </c>
      <c r="C1416" t="inlineStr" s="4">
        <is>
          <t>餐饮</t>
        </is>
      </c>
      <c r="D1416" t="inlineStr" s="5">
        <is>
          <t>晚餐</t>
        </is>
      </c>
      <c r="E1416" s="6"/>
      <c r="F1416" s="6"/>
      <c r="G1416" s="6">
        <f>IF(AND(E1416="",F1416=""),"",F1416-E1416)</f>
      </c>
      <c r="H1416" s="4"/>
      <c r="I1416" s="5"/>
    </row>
    <row r="1417" ht="21" customHeight="1">
      <c r="A1417" s="3">
        <v>46384</v>
      </c>
      <c r="B1417" t="inlineStr" s="4">
        <is>
          <t>星期一</t>
        </is>
      </c>
      <c r="C1417" t="inlineStr" s="4">
        <is>
          <t>奶茶/咖啡</t>
        </is>
      </c>
      <c r="D1417" t="inlineStr" s="5">
        <is>
          <t>奶茶/咖啡</t>
        </is>
      </c>
      <c r="E1417" s="6"/>
      <c r="F1417" s="6"/>
      <c r="G1417" s="6">
        <f>IF(AND(E1417="",F1417=""),"",F1417-E1417)</f>
      </c>
      <c r="H1417" s="4"/>
      <c r="I1417" s="5"/>
    </row>
    <row r="1418" ht="21" customHeight="1">
      <c r="A1418" s="3">
        <v>46384</v>
      </c>
      <c r="B1418" t="inlineStr" s="4">
        <is>
          <t>星期一</t>
        </is>
      </c>
      <c r="C1418" t="inlineStr" s="4">
        <is>
          <t>其他</t>
        </is>
      </c>
      <c r="D1418" t="inlineStr" s="5">
        <is>
          <t>其他</t>
        </is>
      </c>
      <c r="E1418" s="6"/>
      <c r="F1418" s="6"/>
      <c r="G1418" s="6">
        <f>IF(AND(E1418="",F1418=""),"",F1418-E1418)</f>
      </c>
      <c r="H1418" s="4"/>
      <c r="I1418" s="5"/>
    </row>
    <row r="1419" ht="21" customHeight="1">
      <c r="A1419" s="3">
        <v>46384</v>
      </c>
      <c r="B1419" t="inlineStr" s="4">
        <is>
          <t>星期一</t>
        </is>
      </c>
      <c r="C1419" t="inlineStr" s="4">
        <is>
          <t>其他</t>
        </is>
      </c>
      <c r="D1419" t="inlineStr" s="5">
        <is>
          <t>其他</t>
        </is>
      </c>
      <c r="E1419" s="6"/>
      <c r="F1419" s="6"/>
      <c r="G1419" s="6">
        <f>IF(AND(E1419="",F1419=""),"",F1419-E1419)</f>
      </c>
      <c r="H1419" s="4"/>
      <c r="I1419" s="5"/>
    </row>
    <row r="1420" ht="21" customHeight="1">
      <c r="A1420" s="3">
        <v>46385</v>
      </c>
      <c r="B1420" t="inlineStr" s="4">
        <is>
          <t>星期二</t>
        </is>
      </c>
      <c r="C1420" t="inlineStr" s="4">
        <is>
          <t>餐饮</t>
        </is>
      </c>
      <c r="D1420" t="inlineStr" s="5">
        <is>
          <t>早餐</t>
        </is>
      </c>
      <c r="E1420" s="6"/>
      <c r="F1420" s="6"/>
      <c r="G1420" s="6">
        <f>IF(AND(E1420="",F1420=""),"",F1420-E1420)</f>
      </c>
      <c r="H1420" s="4"/>
      <c r="I1420" s="5"/>
    </row>
    <row r="1421" ht="21" customHeight="1">
      <c r="A1421" s="3">
        <v>46385</v>
      </c>
      <c r="B1421" t="inlineStr" s="4">
        <is>
          <t>星期二</t>
        </is>
      </c>
      <c r="C1421" t="inlineStr" s="4">
        <is>
          <t>餐饮</t>
        </is>
      </c>
      <c r="D1421" t="inlineStr" s="5">
        <is>
          <t>中餐</t>
        </is>
      </c>
      <c r="E1421" s="6"/>
      <c r="F1421" s="6"/>
      <c r="G1421" s="6">
        <f>IF(AND(E1421="",F1421=""),"",F1421-E1421)</f>
      </c>
      <c r="H1421" s="4"/>
      <c r="I1421" s="5"/>
    </row>
    <row r="1422" ht="21" customHeight="1">
      <c r="A1422" s="3">
        <v>46385</v>
      </c>
      <c r="B1422" t="inlineStr" s="4">
        <is>
          <t>星期二</t>
        </is>
      </c>
      <c r="C1422" t="inlineStr" s="4">
        <is>
          <t>餐饮</t>
        </is>
      </c>
      <c r="D1422" t="inlineStr" s="5">
        <is>
          <t>晚餐</t>
        </is>
      </c>
      <c r="E1422" s="6"/>
      <c r="F1422" s="6"/>
      <c r="G1422" s="6">
        <f>IF(AND(E1422="",F1422=""),"",F1422-E1422)</f>
      </c>
      <c r="H1422" s="4"/>
      <c r="I1422" s="5"/>
    </row>
    <row r="1423" ht="21" customHeight="1">
      <c r="A1423" s="3">
        <v>46385</v>
      </c>
      <c r="B1423" t="inlineStr" s="4">
        <is>
          <t>星期二</t>
        </is>
      </c>
      <c r="C1423" t="inlineStr" s="4">
        <is>
          <t>奶茶/咖啡</t>
        </is>
      </c>
      <c r="D1423" t="inlineStr" s="5">
        <is>
          <t>奶茶/咖啡</t>
        </is>
      </c>
      <c r="E1423" s="6"/>
      <c r="F1423" s="6"/>
      <c r="G1423" s="6">
        <f>IF(AND(E1423="",F1423=""),"",F1423-E1423)</f>
      </c>
      <c r="H1423" s="4"/>
      <c r="I1423" s="5"/>
    </row>
    <row r="1424" ht="21" customHeight="1">
      <c r="A1424" s="3">
        <v>46385</v>
      </c>
      <c r="B1424" t="inlineStr" s="4">
        <is>
          <t>星期二</t>
        </is>
      </c>
      <c r="C1424" t="inlineStr" s="4">
        <is>
          <t>其他</t>
        </is>
      </c>
      <c r="D1424" t="inlineStr" s="5">
        <is>
          <t>其他</t>
        </is>
      </c>
      <c r="E1424" s="6"/>
      <c r="F1424" s="6"/>
      <c r="G1424" s="6">
        <f>IF(AND(E1424="",F1424=""),"",F1424-E1424)</f>
      </c>
      <c r="H1424" s="4"/>
      <c r="I1424" s="5"/>
    </row>
    <row r="1425" ht="21" customHeight="1">
      <c r="A1425" s="3">
        <v>46385</v>
      </c>
      <c r="B1425" t="inlineStr" s="4">
        <is>
          <t>星期二</t>
        </is>
      </c>
      <c r="C1425" t="inlineStr" s="4">
        <is>
          <t>其他</t>
        </is>
      </c>
      <c r="D1425" t="inlineStr" s="5">
        <is>
          <t>其他</t>
        </is>
      </c>
      <c r="E1425" s="6"/>
      <c r="F1425" s="6"/>
      <c r="G1425" s="6">
        <f>IF(AND(E1425="",F1425=""),"",F1425-E1425)</f>
      </c>
      <c r="H1425" s="4"/>
      <c r="I1425" s="5"/>
    </row>
    <row r="1426" ht="21" customHeight="1">
      <c r="A1426" s="3">
        <v>46386</v>
      </c>
      <c r="B1426" t="inlineStr" s="4">
        <is>
          <t>星期三</t>
        </is>
      </c>
      <c r="C1426" t="inlineStr" s="4">
        <is>
          <t>餐饮</t>
        </is>
      </c>
      <c r="D1426" t="inlineStr" s="5">
        <is>
          <t>早餐</t>
        </is>
      </c>
      <c r="E1426" s="6"/>
      <c r="F1426" s="6"/>
      <c r="G1426" s="6">
        <f>IF(AND(E1426="",F1426=""),"",F1426-E1426)</f>
      </c>
      <c r="H1426" s="4"/>
      <c r="I1426" s="5"/>
    </row>
    <row r="1427" ht="21" customHeight="1">
      <c r="A1427" s="3">
        <v>46386</v>
      </c>
      <c r="B1427" t="inlineStr" s="4">
        <is>
          <t>星期三</t>
        </is>
      </c>
      <c r="C1427" t="inlineStr" s="4">
        <is>
          <t>餐饮</t>
        </is>
      </c>
      <c r="D1427" t="inlineStr" s="5">
        <is>
          <t>中餐</t>
        </is>
      </c>
      <c r="E1427" s="6"/>
      <c r="F1427" s="6"/>
      <c r="G1427" s="6">
        <f>IF(AND(E1427="",F1427=""),"",F1427-E1427)</f>
      </c>
      <c r="H1427" s="4"/>
      <c r="I1427" s="5"/>
    </row>
    <row r="1428" ht="21" customHeight="1">
      <c r="A1428" s="3">
        <v>46386</v>
      </c>
      <c r="B1428" t="inlineStr" s="4">
        <is>
          <t>星期三</t>
        </is>
      </c>
      <c r="C1428" t="inlineStr" s="4">
        <is>
          <t>餐饮</t>
        </is>
      </c>
      <c r="D1428" t="inlineStr" s="5">
        <is>
          <t>晚餐</t>
        </is>
      </c>
      <c r="E1428" s="6"/>
      <c r="F1428" s="6"/>
      <c r="G1428" s="6">
        <f>IF(AND(E1428="",F1428=""),"",F1428-E1428)</f>
      </c>
      <c r="H1428" s="4"/>
      <c r="I1428" s="5"/>
    </row>
    <row r="1429" ht="21" customHeight="1">
      <c r="A1429" s="3">
        <v>46386</v>
      </c>
      <c r="B1429" t="inlineStr" s="4">
        <is>
          <t>星期三</t>
        </is>
      </c>
      <c r="C1429" t="inlineStr" s="4">
        <is>
          <t>奶茶/咖啡</t>
        </is>
      </c>
      <c r="D1429" t="inlineStr" s="5">
        <is>
          <t>奶茶/咖啡</t>
        </is>
      </c>
      <c r="E1429" s="6"/>
      <c r="F1429" s="6"/>
      <c r="G1429" s="6">
        <f>IF(AND(E1429="",F1429=""),"",F1429-E1429)</f>
      </c>
      <c r="H1429" s="4"/>
      <c r="I1429" s="5"/>
    </row>
    <row r="1430" ht="21" customHeight="1">
      <c r="A1430" s="3">
        <v>46386</v>
      </c>
      <c r="B1430" t="inlineStr" s="4">
        <is>
          <t>星期三</t>
        </is>
      </c>
      <c r="C1430" t="inlineStr" s="4">
        <is>
          <t>其他</t>
        </is>
      </c>
      <c r="D1430" t="inlineStr" s="5">
        <is>
          <t>其他</t>
        </is>
      </c>
      <c r="E1430" s="6"/>
      <c r="F1430" s="6"/>
      <c r="G1430" s="6">
        <f>IF(AND(E1430="",F1430=""),"",F1430-E1430)</f>
      </c>
      <c r="H1430" s="4"/>
      <c r="I1430" s="5"/>
    </row>
    <row r="1431" ht="21" customHeight="1">
      <c r="A1431" s="3">
        <v>46386</v>
      </c>
      <c r="B1431" t="inlineStr" s="4">
        <is>
          <t>星期三</t>
        </is>
      </c>
      <c r="C1431" t="inlineStr" s="4">
        <is>
          <t>其他</t>
        </is>
      </c>
      <c r="D1431" t="inlineStr" s="5">
        <is>
          <t>其他</t>
        </is>
      </c>
      <c r="E1431" s="6"/>
      <c r="F1431" s="6"/>
      <c r="G1431" s="6">
        <f>IF(AND(E1431="",F1431=""),"",F1431-E1431)</f>
      </c>
      <c r="H1431" s="4"/>
      <c r="I1431" s="5"/>
    </row>
    <row r="1432" ht="21" customHeight="1">
      <c r="A1432" s="3">
        <v>46387</v>
      </c>
      <c r="B1432" t="inlineStr" s="4">
        <is>
          <t>星期四</t>
        </is>
      </c>
      <c r="C1432" t="inlineStr" s="4">
        <is>
          <t>餐饮</t>
        </is>
      </c>
      <c r="D1432" t="inlineStr" s="5">
        <is>
          <t>早餐</t>
        </is>
      </c>
      <c r="E1432" s="6"/>
      <c r="F1432" s="6"/>
      <c r="G1432" s="6">
        <f>IF(AND(E1432="",F1432=""),"",F1432-E1432)</f>
      </c>
      <c r="H1432" s="4"/>
      <c r="I1432" s="5"/>
    </row>
    <row r="1433" ht="21" customHeight="1">
      <c r="A1433" s="3">
        <v>46387</v>
      </c>
      <c r="B1433" t="inlineStr" s="4">
        <is>
          <t>星期四</t>
        </is>
      </c>
      <c r="C1433" t="inlineStr" s="4">
        <is>
          <t>餐饮</t>
        </is>
      </c>
      <c r="D1433" t="inlineStr" s="5">
        <is>
          <t>中餐</t>
        </is>
      </c>
      <c r="E1433" s="6"/>
      <c r="F1433" s="6"/>
      <c r="G1433" s="6">
        <f>IF(AND(E1433="",F1433=""),"",F1433-E1433)</f>
      </c>
      <c r="H1433" s="4"/>
      <c r="I1433" s="5"/>
    </row>
    <row r="1434" ht="21" customHeight="1">
      <c r="A1434" s="3">
        <v>46387</v>
      </c>
      <c r="B1434" t="inlineStr" s="4">
        <is>
          <t>星期四</t>
        </is>
      </c>
      <c r="C1434" t="inlineStr" s="4">
        <is>
          <t>餐饮</t>
        </is>
      </c>
      <c r="D1434" t="inlineStr" s="5">
        <is>
          <t>晚餐</t>
        </is>
      </c>
      <c r="E1434" s="6"/>
      <c r="F1434" s="6"/>
      <c r="G1434" s="6">
        <f>IF(AND(E1434="",F1434=""),"",F1434-E1434)</f>
      </c>
      <c r="H1434" s="4"/>
      <c r="I1434" s="5"/>
    </row>
    <row r="1435" ht="21" customHeight="1">
      <c r="A1435" s="3">
        <v>46387</v>
      </c>
      <c r="B1435" t="inlineStr" s="4">
        <is>
          <t>星期四</t>
        </is>
      </c>
      <c r="C1435" t="inlineStr" s="4">
        <is>
          <t>奶茶/咖啡</t>
        </is>
      </c>
      <c r="D1435" t="inlineStr" s="5">
        <is>
          <t>奶茶/咖啡</t>
        </is>
      </c>
      <c r="E1435" s="6"/>
      <c r="F1435" s="6"/>
      <c r="G1435" s="6">
        <f>IF(AND(E1435="",F1435=""),"",F1435-E1435)</f>
      </c>
      <c r="H1435" s="4"/>
      <c r="I1435" s="5"/>
    </row>
    <row r="1436" ht="21" customHeight="1">
      <c r="A1436" s="3">
        <v>46387</v>
      </c>
      <c r="B1436" t="inlineStr" s="4">
        <is>
          <t>星期四</t>
        </is>
      </c>
      <c r="C1436" t="inlineStr" s="4">
        <is>
          <t>其他</t>
        </is>
      </c>
      <c r="D1436" t="inlineStr" s="5">
        <is>
          <t>其他</t>
        </is>
      </c>
      <c r="E1436" s="6"/>
      <c r="F1436" s="6"/>
      <c r="G1436" s="6">
        <f>IF(AND(E1436="",F1436=""),"",F1436-E1436)</f>
      </c>
      <c r="H1436" s="4"/>
      <c r="I1436" s="5"/>
    </row>
    <row r="1437" ht="21" customHeight="1">
      <c r="A1437" s="3">
        <v>46387</v>
      </c>
      <c r="B1437" t="inlineStr" s="4">
        <is>
          <t>星期四</t>
        </is>
      </c>
      <c r="C1437" t="inlineStr" s="4">
        <is>
          <t>其他</t>
        </is>
      </c>
      <c r="D1437" t="inlineStr" s="5">
        <is>
          <t>其他</t>
        </is>
      </c>
      <c r="E1437" s="6"/>
      <c r="F1437" s="6"/>
      <c r="G1437" s="6">
        <f>IF(AND(E1437="",F1437=""),"",F1437-E1437)</f>
      </c>
      <c r="H1437" s="4"/>
      <c r="I1437" s="5"/>
    </row>
    <row r="1438" ht="21" customHeight="1">
      <c r="A1438" s="3">
        <v>46388</v>
      </c>
      <c r="B1438" t="inlineStr" s="4">
        <is>
          <t>星期五</t>
        </is>
      </c>
      <c r="C1438" t="inlineStr" s="4">
        <is>
          <t>餐饮</t>
        </is>
      </c>
      <c r="D1438" t="inlineStr" s="5">
        <is>
          <t>早餐</t>
        </is>
      </c>
      <c r="E1438" s="6"/>
      <c r="F1438" s="6"/>
      <c r="G1438" s="6">
        <f>IF(AND(E1438="",F1438=""),"",F1438-E1438)</f>
      </c>
      <c r="H1438" s="4"/>
      <c r="I1438" s="5"/>
    </row>
    <row r="1439" ht="21" customHeight="1">
      <c r="A1439" s="3">
        <v>46388</v>
      </c>
      <c r="B1439" t="inlineStr" s="4">
        <is>
          <t>星期五</t>
        </is>
      </c>
      <c r="C1439" t="inlineStr" s="4">
        <is>
          <t>餐饮</t>
        </is>
      </c>
      <c r="D1439" t="inlineStr" s="5">
        <is>
          <t>中餐</t>
        </is>
      </c>
      <c r="E1439" s="6"/>
      <c r="F1439" s="6"/>
      <c r="G1439" s="6">
        <f>IF(AND(E1439="",F1439=""),"",F1439-E1439)</f>
      </c>
      <c r="H1439" s="4"/>
      <c r="I1439" s="5"/>
    </row>
    <row r="1440" ht="21" customHeight="1">
      <c r="A1440" s="3">
        <v>46388</v>
      </c>
      <c r="B1440" t="inlineStr" s="4">
        <is>
          <t>星期五</t>
        </is>
      </c>
      <c r="C1440" t="inlineStr" s="4">
        <is>
          <t>餐饮</t>
        </is>
      </c>
      <c r="D1440" t="inlineStr" s="5">
        <is>
          <t>晚餐</t>
        </is>
      </c>
      <c r="E1440" s="6"/>
      <c r="F1440" s="6"/>
      <c r="G1440" s="6">
        <f>IF(AND(E1440="",F1440=""),"",F1440-E1440)</f>
      </c>
      <c r="H1440" s="4"/>
      <c r="I1440" s="5"/>
    </row>
    <row r="1441" ht="21" customHeight="1">
      <c r="A1441" s="3">
        <v>46388</v>
      </c>
      <c r="B1441" t="inlineStr" s="4">
        <is>
          <t>星期五</t>
        </is>
      </c>
      <c r="C1441" t="inlineStr" s="4">
        <is>
          <t>奶茶/咖啡</t>
        </is>
      </c>
      <c r="D1441" t="inlineStr" s="5">
        <is>
          <t>奶茶/咖啡</t>
        </is>
      </c>
      <c r="E1441" s="6"/>
      <c r="F1441" s="6"/>
      <c r="G1441" s="6">
        <f>IF(AND(E1441="",F1441=""),"",F1441-E1441)</f>
      </c>
      <c r="H1441" s="4"/>
      <c r="I1441" s="5"/>
    </row>
    <row r="1442" ht="21" customHeight="1">
      <c r="A1442" s="3">
        <v>46388</v>
      </c>
      <c r="B1442" t="inlineStr" s="4">
        <is>
          <t>星期五</t>
        </is>
      </c>
      <c r="C1442" t="inlineStr" s="4">
        <is>
          <t>其他</t>
        </is>
      </c>
      <c r="D1442" t="inlineStr" s="5">
        <is>
          <t>其他</t>
        </is>
      </c>
      <c r="E1442" s="6"/>
      <c r="F1442" s="6"/>
      <c r="G1442" s="6">
        <f>IF(AND(E1442="",F1442=""),"",F1442-E1442)</f>
      </c>
      <c r="H1442" s="4"/>
      <c r="I1442" s="5"/>
    </row>
    <row r="1443" ht="21" customHeight="1">
      <c r="A1443" s="3">
        <v>46388</v>
      </c>
      <c r="B1443" t="inlineStr" s="4">
        <is>
          <t>星期五</t>
        </is>
      </c>
      <c r="C1443" t="inlineStr" s="4">
        <is>
          <t>其他</t>
        </is>
      </c>
      <c r="D1443" t="inlineStr" s="5">
        <is>
          <t>其他</t>
        </is>
      </c>
      <c r="E1443" s="6"/>
      <c r="F1443" s="6"/>
      <c r="G1443" s="6">
        <f>IF(AND(E1443="",F1443=""),"",F1443-E1443)</f>
      </c>
      <c r="H1443" s="4"/>
      <c r="I1443" s="5"/>
    </row>
    <row r="1444" ht="21" customHeight="1">
      <c r="A1444" s="3">
        <v>46389</v>
      </c>
      <c r="B1444" t="inlineStr" s="4">
        <is>
          <t>星期六</t>
        </is>
      </c>
      <c r="C1444" t="inlineStr" s="4">
        <is>
          <t>餐饮</t>
        </is>
      </c>
      <c r="D1444" t="inlineStr" s="5">
        <is>
          <t>早餐</t>
        </is>
      </c>
      <c r="E1444" s="6"/>
      <c r="F1444" s="6"/>
      <c r="G1444" s="6">
        <f>IF(AND(E1444="",F1444=""),"",F1444-E1444)</f>
      </c>
      <c r="H1444" s="4"/>
      <c r="I1444" s="5"/>
    </row>
    <row r="1445" ht="21" customHeight="1">
      <c r="A1445" s="3">
        <v>46389</v>
      </c>
      <c r="B1445" t="inlineStr" s="4">
        <is>
          <t>星期六</t>
        </is>
      </c>
      <c r="C1445" t="inlineStr" s="4">
        <is>
          <t>餐饮</t>
        </is>
      </c>
      <c r="D1445" t="inlineStr" s="5">
        <is>
          <t>中餐</t>
        </is>
      </c>
      <c r="E1445" s="6"/>
      <c r="F1445" s="6"/>
      <c r="G1445" s="6">
        <f>IF(AND(E1445="",F1445=""),"",F1445-E1445)</f>
      </c>
      <c r="H1445" s="4"/>
      <c r="I1445" s="5"/>
    </row>
    <row r="1446" ht="21" customHeight="1">
      <c r="A1446" s="3">
        <v>46389</v>
      </c>
      <c r="B1446" t="inlineStr" s="4">
        <is>
          <t>星期六</t>
        </is>
      </c>
      <c r="C1446" t="inlineStr" s="4">
        <is>
          <t>餐饮</t>
        </is>
      </c>
      <c r="D1446" t="inlineStr" s="5">
        <is>
          <t>晚餐</t>
        </is>
      </c>
      <c r="E1446" s="6"/>
      <c r="F1446" s="6"/>
      <c r="G1446" s="6">
        <f>IF(AND(E1446="",F1446=""),"",F1446-E1446)</f>
      </c>
      <c r="H1446" s="4"/>
      <c r="I1446" s="5"/>
    </row>
    <row r="1447" ht="21" customHeight="1">
      <c r="A1447" s="3">
        <v>46389</v>
      </c>
      <c r="B1447" t="inlineStr" s="4">
        <is>
          <t>星期六</t>
        </is>
      </c>
      <c r="C1447" t="inlineStr" s="4">
        <is>
          <t>奶茶/咖啡</t>
        </is>
      </c>
      <c r="D1447" t="inlineStr" s="5">
        <is>
          <t>奶茶/咖啡</t>
        </is>
      </c>
      <c r="E1447" s="6"/>
      <c r="F1447" s="6"/>
      <c r="G1447" s="6">
        <f>IF(AND(E1447="",F1447=""),"",F1447-E1447)</f>
      </c>
      <c r="H1447" s="4"/>
      <c r="I1447" s="5"/>
    </row>
    <row r="1448" ht="21" customHeight="1">
      <c r="A1448" s="3">
        <v>46389</v>
      </c>
      <c r="B1448" t="inlineStr" s="4">
        <is>
          <t>星期六</t>
        </is>
      </c>
      <c r="C1448" t="inlineStr" s="4">
        <is>
          <t>其他</t>
        </is>
      </c>
      <c r="D1448" t="inlineStr" s="5">
        <is>
          <t>其他</t>
        </is>
      </c>
      <c r="E1448" s="6"/>
      <c r="F1448" s="6"/>
      <c r="G1448" s="6">
        <f>IF(AND(E1448="",F1448=""),"",F1448-E1448)</f>
      </c>
      <c r="H1448" s="4"/>
      <c r="I1448" s="5"/>
    </row>
    <row r="1449" ht="21" customHeight="1">
      <c r="A1449" s="3">
        <v>46389</v>
      </c>
      <c r="B1449" t="inlineStr" s="4">
        <is>
          <t>星期六</t>
        </is>
      </c>
      <c r="C1449" t="inlineStr" s="4">
        <is>
          <t>其他</t>
        </is>
      </c>
      <c r="D1449" t="inlineStr" s="5">
        <is>
          <t>其他</t>
        </is>
      </c>
      <c r="E1449" s="6"/>
      <c r="F1449" s="6"/>
      <c r="G1449" s="6">
        <f>IF(AND(E1449="",F1449=""),"",F1449-E1449)</f>
      </c>
      <c r="H1449" s="4"/>
      <c r="I1449" s="5"/>
    </row>
    <row r="1450" ht="21" customHeight="1">
      <c r="A1450" s="3">
        <v>46390</v>
      </c>
      <c r="B1450" t="inlineStr" s="4">
        <is>
          <t>星期日</t>
        </is>
      </c>
      <c r="C1450" t="inlineStr" s="4">
        <is>
          <t>餐饮</t>
        </is>
      </c>
      <c r="D1450" t="inlineStr" s="5">
        <is>
          <t>早餐</t>
        </is>
      </c>
      <c r="E1450" s="6"/>
      <c r="F1450" s="6"/>
      <c r="G1450" s="6">
        <f>IF(AND(E1450="",F1450=""),"",F1450-E1450)</f>
      </c>
      <c r="H1450" s="4"/>
      <c r="I1450" s="5"/>
    </row>
    <row r="1451" ht="21" customHeight="1">
      <c r="A1451" s="3">
        <v>46390</v>
      </c>
      <c r="B1451" t="inlineStr" s="4">
        <is>
          <t>星期日</t>
        </is>
      </c>
      <c r="C1451" t="inlineStr" s="4">
        <is>
          <t>餐饮</t>
        </is>
      </c>
      <c r="D1451" t="inlineStr" s="5">
        <is>
          <t>中餐</t>
        </is>
      </c>
      <c r="E1451" s="6"/>
      <c r="F1451" s="6"/>
      <c r="G1451" s="6">
        <f>IF(AND(E1451="",F1451=""),"",F1451-E1451)</f>
      </c>
      <c r="H1451" s="4"/>
      <c r="I1451" s="5"/>
    </row>
    <row r="1452" ht="21" customHeight="1">
      <c r="A1452" s="3">
        <v>46390</v>
      </c>
      <c r="B1452" t="inlineStr" s="4">
        <is>
          <t>星期日</t>
        </is>
      </c>
      <c r="C1452" t="inlineStr" s="4">
        <is>
          <t>餐饮</t>
        </is>
      </c>
      <c r="D1452" t="inlineStr" s="5">
        <is>
          <t>晚餐</t>
        </is>
      </c>
      <c r="E1452" s="6"/>
      <c r="F1452" s="6"/>
      <c r="G1452" s="6">
        <f>IF(AND(E1452="",F1452=""),"",F1452-E1452)</f>
      </c>
      <c r="H1452" s="4"/>
      <c r="I1452" s="5"/>
    </row>
    <row r="1453" ht="21" customHeight="1">
      <c r="A1453" s="3">
        <v>46390</v>
      </c>
      <c r="B1453" t="inlineStr" s="4">
        <is>
          <t>星期日</t>
        </is>
      </c>
      <c r="C1453" t="inlineStr" s="4">
        <is>
          <t>奶茶/咖啡</t>
        </is>
      </c>
      <c r="D1453" t="inlineStr" s="5">
        <is>
          <t>奶茶/咖啡</t>
        </is>
      </c>
      <c r="E1453" s="6"/>
      <c r="F1453" s="6"/>
      <c r="G1453" s="6">
        <f>IF(AND(E1453="",F1453=""),"",F1453-E1453)</f>
      </c>
      <c r="H1453" s="4"/>
      <c r="I1453" s="5"/>
    </row>
    <row r="1454" ht="21" customHeight="1">
      <c r="A1454" s="3">
        <v>46390</v>
      </c>
      <c r="B1454" t="inlineStr" s="4">
        <is>
          <t>星期日</t>
        </is>
      </c>
      <c r="C1454" t="inlineStr" s="4">
        <is>
          <t>其他</t>
        </is>
      </c>
      <c r="D1454" t="inlineStr" s="5">
        <is>
          <t>其他</t>
        </is>
      </c>
      <c r="E1454" s="6"/>
      <c r="F1454" s="6"/>
      <c r="G1454" s="6">
        <f>IF(AND(E1454="",F1454=""),"",F1454-E1454)</f>
      </c>
      <c r="H1454" s="4"/>
      <c r="I1454" s="5"/>
    </row>
    <row r="1455" ht="21" customHeight="1">
      <c r="A1455" s="3">
        <v>46390</v>
      </c>
      <c r="B1455" t="inlineStr" s="4">
        <is>
          <t>星期日</t>
        </is>
      </c>
      <c r="C1455" t="inlineStr" s="4">
        <is>
          <t>其他</t>
        </is>
      </c>
      <c r="D1455" t="inlineStr" s="5">
        <is>
          <t>其他</t>
        </is>
      </c>
      <c r="E1455" s="6"/>
      <c r="F1455" s="6"/>
      <c r="G1455" s="6">
        <f>IF(AND(E1455="",F1455=""),"",F1455-E1455)</f>
      </c>
      <c r="H1455" s="4"/>
      <c r="I1455" s="5"/>
    </row>
    <row r="1456" ht="23" customHeight="1">
      <c r="A1456" t="inlineStr" s="7">
        <is>
          <t>本周小计</t>
        </is>
      </c>
      <c r="B1456" s="7"/>
      <c r="C1456" s="7"/>
      <c r="D1456" s="7"/>
      <c r="E1456" s="8">
        <f>SUM(E1414:E1455)</f>
      </c>
      <c r="F1456" s="8">
        <f>SUM(F1414:F1455)</f>
      </c>
      <c r="G1456" s="8">
        <f>SUM(G1414:G1455)</f>
      </c>
      <c r="H1456" s="7"/>
      <c r="I1456" s="7"/>
    </row>
    <row r="1457" ht="18" customHeight="1">
      <c r="A1457" s="9"/>
      <c r="B1457" s="9"/>
      <c r="C1457" s="9"/>
      <c r="D1457" s="9"/>
      <c r="E1457" s="9"/>
      <c r="F1457" s="9"/>
      <c r="G1457" s="9"/>
      <c r="H1457" s="9"/>
      <c r="I1457" s="9"/>
    </row>
    <row r="1458" ht="18" customHeight="1">
      <c r="A1458" s="9"/>
      <c r="B1458" s="9"/>
      <c r="C1458" s="9"/>
      <c r="D1458" s="9"/>
      <c r="E1458" s="9"/>
      <c r="F1458" s="9"/>
      <c r="G1458" s="9"/>
      <c r="H1458" s="9"/>
      <c r="I1458" s="9"/>
    </row>
    <row r="1459" ht="26" customHeight="1">
      <c r="A1459" t="inlineStr" s="2">
        <is>
          <t>2027年1月｜第一周（1月4日 - 1月10日）</t>
        </is>
      </c>
      <c r="B1459" s="2"/>
      <c r="C1459" s="2"/>
      <c r="D1459" s="2"/>
      <c r="E1459" s="2"/>
      <c r="F1459" s="2"/>
      <c r="G1459" s="2"/>
      <c r="H1459" s="2"/>
      <c r="I1459" s="2"/>
    </row>
    <row r="1460" ht="22" customHeight="1">
      <c r="A1460" t="inlineStr" s="1">
        <is>
          <t>日期</t>
        </is>
      </c>
      <c r="B1460" t="inlineStr" s="1">
        <is>
          <t>星期</t>
        </is>
      </c>
      <c r="C1460" t="inlineStr" s="1">
        <is>
          <t>分类</t>
        </is>
      </c>
      <c r="D1460" t="inlineStr" s="1">
        <is>
          <t>事项</t>
        </is>
      </c>
      <c r="E1460" t="inlineStr" s="1">
        <is>
          <t>支出金额</t>
        </is>
      </c>
      <c r="F1460" t="inlineStr" s="1">
        <is>
          <t>收入金额</t>
        </is>
      </c>
      <c r="G1460" t="inlineStr" s="1">
        <is>
          <t>当笔净额</t>
        </is>
      </c>
      <c r="H1460" t="inlineStr" s="1">
        <is>
          <t>支付方式</t>
        </is>
      </c>
      <c r="I1460" t="inlineStr" s="1">
        <is>
          <t>备注</t>
        </is>
      </c>
    </row>
    <row r="1461" ht="21" customHeight="1">
      <c r="A1461" s="3">
        <v>46391</v>
      </c>
      <c r="B1461" t="inlineStr" s="4">
        <is>
          <t>星期一</t>
        </is>
      </c>
      <c r="C1461" t="inlineStr" s="4">
        <is>
          <t>餐饮</t>
        </is>
      </c>
      <c r="D1461" t="inlineStr" s="5">
        <is>
          <t>早餐</t>
        </is>
      </c>
      <c r="E1461" s="6"/>
      <c r="F1461" s="6"/>
      <c r="G1461" s="6">
        <f>IF(AND(E1461="",F1461=""),"",F1461-E1461)</f>
      </c>
      <c r="H1461" s="4"/>
      <c r="I1461" s="5"/>
    </row>
    <row r="1462" ht="21" customHeight="1">
      <c r="A1462" s="3">
        <v>46391</v>
      </c>
      <c r="B1462" t="inlineStr" s="4">
        <is>
          <t>星期一</t>
        </is>
      </c>
      <c r="C1462" t="inlineStr" s="4">
        <is>
          <t>餐饮</t>
        </is>
      </c>
      <c r="D1462" t="inlineStr" s="5">
        <is>
          <t>中餐</t>
        </is>
      </c>
      <c r="E1462" s="6"/>
      <c r="F1462" s="6"/>
      <c r="G1462" s="6">
        <f>IF(AND(E1462="",F1462=""),"",F1462-E1462)</f>
      </c>
      <c r="H1462" s="4"/>
      <c r="I1462" s="5"/>
    </row>
    <row r="1463" ht="21" customHeight="1">
      <c r="A1463" s="3">
        <v>46391</v>
      </c>
      <c r="B1463" t="inlineStr" s="4">
        <is>
          <t>星期一</t>
        </is>
      </c>
      <c r="C1463" t="inlineStr" s="4">
        <is>
          <t>餐饮</t>
        </is>
      </c>
      <c r="D1463" t="inlineStr" s="5">
        <is>
          <t>晚餐</t>
        </is>
      </c>
      <c r="E1463" s="6"/>
      <c r="F1463" s="6"/>
      <c r="G1463" s="6">
        <f>IF(AND(E1463="",F1463=""),"",F1463-E1463)</f>
      </c>
      <c r="H1463" s="4"/>
      <c r="I1463" s="5"/>
    </row>
    <row r="1464" ht="21" customHeight="1">
      <c r="A1464" s="3">
        <v>46391</v>
      </c>
      <c r="B1464" t="inlineStr" s="4">
        <is>
          <t>星期一</t>
        </is>
      </c>
      <c r="C1464" t="inlineStr" s="4">
        <is>
          <t>奶茶/咖啡</t>
        </is>
      </c>
      <c r="D1464" t="inlineStr" s="5">
        <is>
          <t>奶茶/咖啡</t>
        </is>
      </c>
      <c r="E1464" s="6"/>
      <c r="F1464" s="6"/>
      <c r="G1464" s="6">
        <f>IF(AND(E1464="",F1464=""),"",F1464-E1464)</f>
      </c>
      <c r="H1464" s="4"/>
      <c r="I1464" s="5"/>
    </row>
    <row r="1465" ht="21" customHeight="1">
      <c r="A1465" s="3">
        <v>46391</v>
      </c>
      <c r="B1465" t="inlineStr" s="4">
        <is>
          <t>星期一</t>
        </is>
      </c>
      <c r="C1465" t="inlineStr" s="4">
        <is>
          <t>其他</t>
        </is>
      </c>
      <c r="D1465" t="inlineStr" s="5">
        <is>
          <t>其他</t>
        </is>
      </c>
      <c r="E1465" s="6"/>
      <c r="F1465" s="6"/>
      <c r="G1465" s="6">
        <f>IF(AND(E1465="",F1465=""),"",F1465-E1465)</f>
      </c>
      <c r="H1465" s="4"/>
      <c r="I1465" s="5"/>
    </row>
    <row r="1466" ht="21" customHeight="1">
      <c r="A1466" s="3">
        <v>46391</v>
      </c>
      <c r="B1466" t="inlineStr" s="4">
        <is>
          <t>星期一</t>
        </is>
      </c>
      <c r="C1466" t="inlineStr" s="4">
        <is>
          <t>其他</t>
        </is>
      </c>
      <c r="D1466" t="inlineStr" s="5">
        <is>
          <t>其他</t>
        </is>
      </c>
      <c r="E1466" s="6"/>
      <c r="F1466" s="6"/>
      <c r="G1466" s="6">
        <f>IF(AND(E1466="",F1466=""),"",F1466-E1466)</f>
      </c>
      <c r="H1466" s="4"/>
      <c r="I1466" s="5"/>
    </row>
    <row r="1467" ht="21" customHeight="1">
      <c r="A1467" s="3">
        <v>46392</v>
      </c>
      <c r="B1467" t="inlineStr" s="4">
        <is>
          <t>星期二</t>
        </is>
      </c>
      <c r="C1467" t="inlineStr" s="4">
        <is>
          <t>餐饮</t>
        </is>
      </c>
      <c r="D1467" t="inlineStr" s="5">
        <is>
          <t>早餐</t>
        </is>
      </c>
      <c r="E1467" s="6"/>
      <c r="F1467" s="6"/>
      <c r="G1467" s="6">
        <f>IF(AND(E1467="",F1467=""),"",F1467-E1467)</f>
      </c>
      <c r="H1467" s="4"/>
      <c r="I1467" s="5"/>
    </row>
    <row r="1468" ht="21" customHeight="1">
      <c r="A1468" s="3">
        <v>46392</v>
      </c>
      <c r="B1468" t="inlineStr" s="4">
        <is>
          <t>星期二</t>
        </is>
      </c>
      <c r="C1468" t="inlineStr" s="4">
        <is>
          <t>餐饮</t>
        </is>
      </c>
      <c r="D1468" t="inlineStr" s="5">
        <is>
          <t>中餐</t>
        </is>
      </c>
      <c r="E1468" s="6"/>
      <c r="F1468" s="6"/>
      <c r="G1468" s="6">
        <f>IF(AND(E1468="",F1468=""),"",F1468-E1468)</f>
      </c>
      <c r="H1468" s="4"/>
      <c r="I1468" s="5"/>
    </row>
    <row r="1469" ht="21" customHeight="1">
      <c r="A1469" s="3">
        <v>46392</v>
      </c>
      <c r="B1469" t="inlineStr" s="4">
        <is>
          <t>星期二</t>
        </is>
      </c>
      <c r="C1469" t="inlineStr" s="4">
        <is>
          <t>餐饮</t>
        </is>
      </c>
      <c r="D1469" t="inlineStr" s="5">
        <is>
          <t>晚餐</t>
        </is>
      </c>
      <c r="E1469" s="6"/>
      <c r="F1469" s="6"/>
      <c r="G1469" s="6">
        <f>IF(AND(E1469="",F1469=""),"",F1469-E1469)</f>
      </c>
      <c r="H1469" s="4"/>
      <c r="I1469" s="5"/>
    </row>
    <row r="1470" ht="21" customHeight="1">
      <c r="A1470" s="3">
        <v>46392</v>
      </c>
      <c r="B1470" t="inlineStr" s="4">
        <is>
          <t>星期二</t>
        </is>
      </c>
      <c r="C1470" t="inlineStr" s="4">
        <is>
          <t>奶茶/咖啡</t>
        </is>
      </c>
      <c r="D1470" t="inlineStr" s="5">
        <is>
          <t>奶茶/咖啡</t>
        </is>
      </c>
      <c r="E1470" s="6"/>
      <c r="F1470" s="6"/>
      <c r="G1470" s="6">
        <f>IF(AND(E1470="",F1470=""),"",F1470-E1470)</f>
      </c>
      <c r="H1470" s="4"/>
      <c r="I1470" s="5"/>
    </row>
    <row r="1471" ht="21" customHeight="1">
      <c r="A1471" s="3">
        <v>46392</v>
      </c>
      <c r="B1471" t="inlineStr" s="4">
        <is>
          <t>星期二</t>
        </is>
      </c>
      <c r="C1471" t="inlineStr" s="4">
        <is>
          <t>其他</t>
        </is>
      </c>
      <c r="D1471" t="inlineStr" s="5">
        <is>
          <t>其他</t>
        </is>
      </c>
      <c r="E1471" s="6"/>
      <c r="F1471" s="6"/>
      <c r="G1471" s="6">
        <f>IF(AND(E1471="",F1471=""),"",F1471-E1471)</f>
      </c>
      <c r="H1471" s="4"/>
      <c r="I1471" s="5"/>
    </row>
    <row r="1472" ht="21" customHeight="1">
      <c r="A1472" s="3">
        <v>46392</v>
      </c>
      <c r="B1472" t="inlineStr" s="4">
        <is>
          <t>星期二</t>
        </is>
      </c>
      <c r="C1472" t="inlineStr" s="4">
        <is>
          <t>其他</t>
        </is>
      </c>
      <c r="D1472" t="inlineStr" s="5">
        <is>
          <t>其他</t>
        </is>
      </c>
      <c r="E1472" s="6"/>
      <c r="F1472" s="6"/>
      <c r="G1472" s="6">
        <f>IF(AND(E1472="",F1472=""),"",F1472-E1472)</f>
      </c>
      <c r="H1472" s="4"/>
      <c r="I1472" s="5"/>
    </row>
    <row r="1473" ht="21" customHeight="1">
      <c r="A1473" s="3">
        <v>46393</v>
      </c>
      <c r="B1473" t="inlineStr" s="4">
        <is>
          <t>星期三</t>
        </is>
      </c>
      <c r="C1473" t="inlineStr" s="4">
        <is>
          <t>餐饮</t>
        </is>
      </c>
      <c r="D1473" t="inlineStr" s="5">
        <is>
          <t>早餐</t>
        </is>
      </c>
      <c r="E1473" s="6"/>
      <c r="F1473" s="6"/>
      <c r="G1473" s="6">
        <f>IF(AND(E1473="",F1473=""),"",F1473-E1473)</f>
      </c>
      <c r="H1473" s="4"/>
      <c r="I1473" s="5"/>
    </row>
    <row r="1474" ht="21" customHeight="1">
      <c r="A1474" s="3">
        <v>46393</v>
      </c>
      <c r="B1474" t="inlineStr" s="4">
        <is>
          <t>星期三</t>
        </is>
      </c>
      <c r="C1474" t="inlineStr" s="4">
        <is>
          <t>餐饮</t>
        </is>
      </c>
      <c r="D1474" t="inlineStr" s="5">
        <is>
          <t>中餐</t>
        </is>
      </c>
      <c r="E1474" s="6"/>
      <c r="F1474" s="6"/>
      <c r="G1474" s="6">
        <f>IF(AND(E1474="",F1474=""),"",F1474-E1474)</f>
      </c>
      <c r="H1474" s="4"/>
      <c r="I1474" s="5"/>
    </row>
    <row r="1475" ht="21" customHeight="1">
      <c r="A1475" s="3">
        <v>46393</v>
      </c>
      <c r="B1475" t="inlineStr" s="4">
        <is>
          <t>星期三</t>
        </is>
      </c>
      <c r="C1475" t="inlineStr" s="4">
        <is>
          <t>餐饮</t>
        </is>
      </c>
      <c r="D1475" t="inlineStr" s="5">
        <is>
          <t>晚餐</t>
        </is>
      </c>
      <c r="E1475" s="6"/>
      <c r="F1475" s="6"/>
      <c r="G1475" s="6">
        <f>IF(AND(E1475="",F1475=""),"",F1475-E1475)</f>
      </c>
      <c r="H1475" s="4"/>
      <c r="I1475" s="5"/>
    </row>
    <row r="1476" ht="21" customHeight="1">
      <c r="A1476" s="3">
        <v>46393</v>
      </c>
      <c r="B1476" t="inlineStr" s="4">
        <is>
          <t>星期三</t>
        </is>
      </c>
      <c r="C1476" t="inlineStr" s="4">
        <is>
          <t>奶茶/咖啡</t>
        </is>
      </c>
      <c r="D1476" t="inlineStr" s="5">
        <is>
          <t>奶茶/咖啡</t>
        </is>
      </c>
      <c r="E1476" s="6"/>
      <c r="F1476" s="6"/>
      <c r="G1476" s="6">
        <f>IF(AND(E1476="",F1476=""),"",F1476-E1476)</f>
      </c>
      <c r="H1476" s="4"/>
      <c r="I1476" s="5"/>
    </row>
    <row r="1477" ht="21" customHeight="1">
      <c r="A1477" s="3">
        <v>46393</v>
      </c>
      <c r="B1477" t="inlineStr" s="4">
        <is>
          <t>星期三</t>
        </is>
      </c>
      <c r="C1477" t="inlineStr" s="4">
        <is>
          <t>其他</t>
        </is>
      </c>
      <c r="D1477" t="inlineStr" s="5">
        <is>
          <t>其他</t>
        </is>
      </c>
      <c r="E1477" s="6"/>
      <c r="F1477" s="6"/>
      <c r="G1477" s="6">
        <f>IF(AND(E1477="",F1477=""),"",F1477-E1477)</f>
      </c>
      <c r="H1477" s="4"/>
      <c r="I1477" s="5"/>
    </row>
    <row r="1478" ht="21" customHeight="1">
      <c r="A1478" s="3">
        <v>46393</v>
      </c>
      <c r="B1478" t="inlineStr" s="4">
        <is>
          <t>星期三</t>
        </is>
      </c>
      <c r="C1478" t="inlineStr" s="4">
        <is>
          <t>其他</t>
        </is>
      </c>
      <c r="D1478" t="inlineStr" s="5">
        <is>
          <t>其他</t>
        </is>
      </c>
      <c r="E1478" s="6"/>
      <c r="F1478" s="6"/>
      <c r="G1478" s="6">
        <f>IF(AND(E1478="",F1478=""),"",F1478-E1478)</f>
      </c>
      <c r="H1478" s="4"/>
      <c r="I1478" s="5"/>
    </row>
    <row r="1479" ht="21" customHeight="1">
      <c r="A1479" s="3">
        <v>46394</v>
      </c>
      <c r="B1479" t="inlineStr" s="4">
        <is>
          <t>星期四</t>
        </is>
      </c>
      <c r="C1479" t="inlineStr" s="4">
        <is>
          <t>餐饮</t>
        </is>
      </c>
      <c r="D1479" t="inlineStr" s="5">
        <is>
          <t>早餐</t>
        </is>
      </c>
      <c r="E1479" s="6"/>
      <c r="F1479" s="6"/>
      <c r="G1479" s="6">
        <f>IF(AND(E1479="",F1479=""),"",F1479-E1479)</f>
      </c>
      <c r="H1479" s="4"/>
      <c r="I1479" s="5"/>
    </row>
    <row r="1480" ht="21" customHeight="1">
      <c r="A1480" s="3">
        <v>46394</v>
      </c>
      <c r="B1480" t="inlineStr" s="4">
        <is>
          <t>星期四</t>
        </is>
      </c>
      <c r="C1480" t="inlineStr" s="4">
        <is>
          <t>餐饮</t>
        </is>
      </c>
      <c r="D1480" t="inlineStr" s="5">
        <is>
          <t>中餐</t>
        </is>
      </c>
      <c r="E1480" s="6"/>
      <c r="F1480" s="6"/>
      <c r="G1480" s="6">
        <f>IF(AND(E1480="",F1480=""),"",F1480-E1480)</f>
      </c>
      <c r="H1480" s="4"/>
      <c r="I1480" s="5"/>
    </row>
    <row r="1481" ht="21" customHeight="1">
      <c r="A1481" s="3">
        <v>46394</v>
      </c>
      <c r="B1481" t="inlineStr" s="4">
        <is>
          <t>星期四</t>
        </is>
      </c>
      <c r="C1481" t="inlineStr" s="4">
        <is>
          <t>餐饮</t>
        </is>
      </c>
      <c r="D1481" t="inlineStr" s="5">
        <is>
          <t>晚餐</t>
        </is>
      </c>
      <c r="E1481" s="6"/>
      <c r="F1481" s="6"/>
      <c r="G1481" s="6">
        <f>IF(AND(E1481="",F1481=""),"",F1481-E1481)</f>
      </c>
      <c r="H1481" s="4"/>
      <c r="I1481" s="5"/>
    </row>
    <row r="1482" ht="21" customHeight="1">
      <c r="A1482" s="3">
        <v>46394</v>
      </c>
      <c r="B1482" t="inlineStr" s="4">
        <is>
          <t>星期四</t>
        </is>
      </c>
      <c r="C1482" t="inlineStr" s="4">
        <is>
          <t>奶茶/咖啡</t>
        </is>
      </c>
      <c r="D1482" t="inlineStr" s="5">
        <is>
          <t>奶茶/咖啡</t>
        </is>
      </c>
      <c r="E1482" s="6"/>
      <c r="F1482" s="6"/>
      <c r="G1482" s="6">
        <f>IF(AND(E1482="",F1482=""),"",F1482-E1482)</f>
      </c>
      <c r="H1482" s="4"/>
      <c r="I1482" s="5"/>
    </row>
    <row r="1483" ht="21" customHeight="1">
      <c r="A1483" s="3">
        <v>46394</v>
      </c>
      <c r="B1483" t="inlineStr" s="4">
        <is>
          <t>星期四</t>
        </is>
      </c>
      <c r="C1483" t="inlineStr" s="4">
        <is>
          <t>其他</t>
        </is>
      </c>
      <c r="D1483" t="inlineStr" s="5">
        <is>
          <t>其他</t>
        </is>
      </c>
      <c r="E1483" s="6"/>
      <c r="F1483" s="6"/>
      <c r="G1483" s="6">
        <f>IF(AND(E1483="",F1483=""),"",F1483-E1483)</f>
      </c>
      <c r="H1483" s="4"/>
      <c r="I1483" s="5"/>
    </row>
    <row r="1484" ht="21" customHeight="1">
      <c r="A1484" s="3">
        <v>46394</v>
      </c>
      <c r="B1484" t="inlineStr" s="4">
        <is>
          <t>星期四</t>
        </is>
      </c>
      <c r="C1484" t="inlineStr" s="4">
        <is>
          <t>其他</t>
        </is>
      </c>
      <c r="D1484" t="inlineStr" s="5">
        <is>
          <t>其他</t>
        </is>
      </c>
      <c r="E1484" s="6"/>
      <c r="F1484" s="6"/>
      <c r="G1484" s="6">
        <f>IF(AND(E1484="",F1484=""),"",F1484-E1484)</f>
      </c>
      <c r="H1484" s="4"/>
      <c r="I1484" s="5"/>
    </row>
    <row r="1485" ht="21" customHeight="1">
      <c r="A1485" s="3">
        <v>46395</v>
      </c>
      <c r="B1485" t="inlineStr" s="4">
        <is>
          <t>星期五</t>
        </is>
      </c>
      <c r="C1485" t="inlineStr" s="4">
        <is>
          <t>餐饮</t>
        </is>
      </c>
      <c r="D1485" t="inlineStr" s="5">
        <is>
          <t>早餐</t>
        </is>
      </c>
      <c r="E1485" s="6"/>
      <c r="F1485" s="6"/>
      <c r="G1485" s="6">
        <f>IF(AND(E1485="",F1485=""),"",F1485-E1485)</f>
      </c>
      <c r="H1485" s="4"/>
      <c r="I1485" s="5"/>
    </row>
    <row r="1486" ht="21" customHeight="1">
      <c r="A1486" s="3">
        <v>46395</v>
      </c>
      <c r="B1486" t="inlineStr" s="4">
        <is>
          <t>星期五</t>
        </is>
      </c>
      <c r="C1486" t="inlineStr" s="4">
        <is>
          <t>餐饮</t>
        </is>
      </c>
      <c r="D1486" t="inlineStr" s="5">
        <is>
          <t>中餐</t>
        </is>
      </c>
      <c r="E1486" s="6"/>
      <c r="F1486" s="6"/>
      <c r="G1486" s="6">
        <f>IF(AND(E1486="",F1486=""),"",F1486-E1486)</f>
      </c>
      <c r="H1486" s="4"/>
      <c r="I1486" s="5"/>
    </row>
    <row r="1487" ht="21" customHeight="1">
      <c r="A1487" s="3">
        <v>46395</v>
      </c>
      <c r="B1487" t="inlineStr" s="4">
        <is>
          <t>星期五</t>
        </is>
      </c>
      <c r="C1487" t="inlineStr" s="4">
        <is>
          <t>餐饮</t>
        </is>
      </c>
      <c r="D1487" t="inlineStr" s="5">
        <is>
          <t>晚餐</t>
        </is>
      </c>
      <c r="E1487" s="6"/>
      <c r="F1487" s="6"/>
      <c r="G1487" s="6">
        <f>IF(AND(E1487="",F1487=""),"",F1487-E1487)</f>
      </c>
      <c r="H1487" s="4"/>
      <c r="I1487" s="5"/>
    </row>
    <row r="1488" ht="21" customHeight="1">
      <c r="A1488" s="3">
        <v>46395</v>
      </c>
      <c r="B1488" t="inlineStr" s="4">
        <is>
          <t>星期五</t>
        </is>
      </c>
      <c r="C1488" t="inlineStr" s="4">
        <is>
          <t>奶茶/咖啡</t>
        </is>
      </c>
      <c r="D1488" t="inlineStr" s="5">
        <is>
          <t>奶茶/咖啡</t>
        </is>
      </c>
      <c r="E1488" s="6"/>
      <c r="F1488" s="6"/>
      <c r="G1488" s="6">
        <f>IF(AND(E1488="",F1488=""),"",F1488-E1488)</f>
      </c>
      <c r="H1488" s="4"/>
      <c r="I1488" s="5"/>
    </row>
    <row r="1489" ht="21" customHeight="1">
      <c r="A1489" s="3">
        <v>46395</v>
      </c>
      <c r="B1489" t="inlineStr" s="4">
        <is>
          <t>星期五</t>
        </is>
      </c>
      <c r="C1489" t="inlineStr" s="4">
        <is>
          <t>其他</t>
        </is>
      </c>
      <c r="D1489" t="inlineStr" s="5">
        <is>
          <t>其他</t>
        </is>
      </c>
      <c r="E1489" s="6"/>
      <c r="F1489" s="6"/>
      <c r="G1489" s="6">
        <f>IF(AND(E1489="",F1489=""),"",F1489-E1489)</f>
      </c>
      <c r="H1489" s="4"/>
      <c r="I1489" s="5"/>
    </row>
    <row r="1490" ht="21" customHeight="1">
      <c r="A1490" s="3">
        <v>46395</v>
      </c>
      <c r="B1490" t="inlineStr" s="4">
        <is>
          <t>星期五</t>
        </is>
      </c>
      <c r="C1490" t="inlineStr" s="4">
        <is>
          <t>其他</t>
        </is>
      </c>
      <c r="D1490" t="inlineStr" s="5">
        <is>
          <t>其他</t>
        </is>
      </c>
      <c r="E1490" s="6"/>
      <c r="F1490" s="6"/>
      <c r="G1490" s="6">
        <f>IF(AND(E1490="",F1490=""),"",F1490-E1490)</f>
      </c>
      <c r="H1490" s="4"/>
      <c r="I1490" s="5"/>
    </row>
    <row r="1491" ht="21" customHeight="1">
      <c r="A1491" s="3">
        <v>46396</v>
      </c>
      <c r="B1491" t="inlineStr" s="4">
        <is>
          <t>星期六</t>
        </is>
      </c>
      <c r="C1491" t="inlineStr" s="4">
        <is>
          <t>餐饮</t>
        </is>
      </c>
      <c r="D1491" t="inlineStr" s="5">
        <is>
          <t>早餐</t>
        </is>
      </c>
      <c r="E1491" s="6"/>
      <c r="F1491" s="6"/>
      <c r="G1491" s="6">
        <f>IF(AND(E1491="",F1491=""),"",F1491-E1491)</f>
      </c>
      <c r="H1491" s="4"/>
      <c r="I1491" s="5"/>
    </row>
    <row r="1492" ht="21" customHeight="1">
      <c r="A1492" s="3">
        <v>46396</v>
      </c>
      <c r="B1492" t="inlineStr" s="4">
        <is>
          <t>星期六</t>
        </is>
      </c>
      <c r="C1492" t="inlineStr" s="4">
        <is>
          <t>餐饮</t>
        </is>
      </c>
      <c r="D1492" t="inlineStr" s="5">
        <is>
          <t>中餐</t>
        </is>
      </c>
      <c r="E1492" s="6"/>
      <c r="F1492" s="6"/>
      <c r="G1492" s="6">
        <f>IF(AND(E1492="",F1492=""),"",F1492-E1492)</f>
      </c>
      <c r="H1492" s="4"/>
      <c r="I1492" s="5"/>
    </row>
    <row r="1493" ht="21" customHeight="1">
      <c r="A1493" s="3">
        <v>46396</v>
      </c>
      <c r="B1493" t="inlineStr" s="4">
        <is>
          <t>星期六</t>
        </is>
      </c>
      <c r="C1493" t="inlineStr" s="4">
        <is>
          <t>餐饮</t>
        </is>
      </c>
      <c r="D1493" t="inlineStr" s="5">
        <is>
          <t>晚餐</t>
        </is>
      </c>
      <c r="E1493" s="6"/>
      <c r="F1493" s="6"/>
      <c r="G1493" s="6">
        <f>IF(AND(E1493="",F1493=""),"",F1493-E1493)</f>
      </c>
      <c r="H1493" s="4"/>
      <c r="I1493" s="5"/>
    </row>
    <row r="1494" ht="21" customHeight="1">
      <c r="A1494" s="3">
        <v>46396</v>
      </c>
      <c r="B1494" t="inlineStr" s="4">
        <is>
          <t>星期六</t>
        </is>
      </c>
      <c r="C1494" t="inlineStr" s="4">
        <is>
          <t>奶茶/咖啡</t>
        </is>
      </c>
      <c r="D1494" t="inlineStr" s="5">
        <is>
          <t>奶茶/咖啡</t>
        </is>
      </c>
      <c r="E1494" s="6"/>
      <c r="F1494" s="6"/>
      <c r="G1494" s="6">
        <f>IF(AND(E1494="",F1494=""),"",F1494-E1494)</f>
      </c>
      <c r="H1494" s="4"/>
      <c r="I1494" s="5"/>
    </row>
    <row r="1495" ht="21" customHeight="1">
      <c r="A1495" s="3">
        <v>46396</v>
      </c>
      <c r="B1495" t="inlineStr" s="4">
        <is>
          <t>星期六</t>
        </is>
      </c>
      <c r="C1495" t="inlineStr" s="4">
        <is>
          <t>其他</t>
        </is>
      </c>
      <c r="D1495" t="inlineStr" s="5">
        <is>
          <t>其他</t>
        </is>
      </c>
      <c r="E1495" s="6"/>
      <c r="F1495" s="6"/>
      <c r="G1495" s="6">
        <f>IF(AND(E1495="",F1495=""),"",F1495-E1495)</f>
      </c>
      <c r="H1495" s="4"/>
      <c r="I1495" s="5"/>
    </row>
    <row r="1496" ht="21" customHeight="1">
      <c r="A1496" s="3">
        <v>46396</v>
      </c>
      <c r="B1496" t="inlineStr" s="4">
        <is>
          <t>星期六</t>
        </is>
      </c>
      <c r="C1496" t="inlineStr" s="4">
        <is>
          <t>其他</t>
        </is>
      </c>
      <c r="D1496" t="inlineStr" s="5">
        <is>
          <t>其他</t>
        </is>
      </c>
      <c r="E1496" s="6"/>
      <c r="F1496" s="6"/>
      <c r="G1496" s="6">
        <f>IF(AND(E1496="",F1496=""),"",F1496-E1496)</f>
      </c>
      <c r="H1496" s="4"/>
      <c r="I1496" s="5"/>
    </row>
    <row r="1497" ht="21" customHeight="1">
      <c r="A1497" s="3">
        <v>46397</v>
      </c>
      <c r="B1497" t="inlineStr" s="4">
        <is>
          <t>星期日</t>
        </is>
      </c>
      <c r="C1497" t="inlineStr" s="4">
        <is>
          <t>餐饮</t>
        </is>
      </c>
      <c r="D1497" t="inlineStr" s="5">
        <is>
          <t>早餐</t>
        </is>
      </c>
      <c r="E1497" s="6"/>
      <c r="F1497" s="6"/>
      <c r="G1497" s="6">
        <f>IF(AND(E1497="",F1497=""),"",F1497-E1497)</f>
      </c>
      <c r="H1497" s="4"/>
      <c r="I1497" s="5"/>
    </row>
    <row r="1498" ht="21" customHeight="1">
      <c r="A1498" s="3">
        <v>46397</v>
      </c>
      <c r="B1498" t="inlineStr" s="4">
        <is>
          <t>星期日</t>
        </is>
      </c>
      <c r="C1498" t="inlineStr" s="4">
        <is>
          <t>餐饮</t>
        </is>
      </c>
      <c r="D1498" t="inlineStr" s="5">
        <is>
          <t>中餐</t>
        </is>
      </c>
      <c r="E1498" s="6"/>
      <c r="F1498" s="6"/>
      <c r="G1498" s="6">
        <f>IF(AND(E1498="",F1498=""),"",F1498-E1498)</f>
      </c>
      <c r="H1498" s="4"/>
      <c r="I1498" s="5"/>
    </row>
    <row r="1499" ht="21" customHeight="1">
      <c r="A1499" s="3">
        <v>46397</v>
      </c>
      <c r="B1499" t="inlineStr" s="4">
        <is>
          <t>星期日</t>
        </is>
      </c>
      <c r="C1499" t="inlineStr" s="4">
        <is>
          <t>餐饮</t>
        </is>
      </c>
      <c r="D1499" t="inlineStr" s="5">
        <is>
          <t>晚餐</t>
        </is>
      </c>
      <c r="E1499" s="6"/>
      <c r="F1499" s="6"/>
      <c r="G1499" s="6">
        <f>IF(AND(E1499="",F1499=""),"",F1499-E1499)</f>
      </c>
      <c r="H1499" s="4"/>
      <c r="I1499" s="5"/>
    </row>
    <row r="1500" ht="21" customHeight="1">
      <c r="A1500" s="3">
        <v>46397</v>
      </c>
      <c r="B1500" t="inlineStr" s="4">
        <is>
          <t>星期日</t>
        </is>
      </c>
      <c r="C1500" t="inlineStr" s="4">
        <is>
          <t>奶茶/咖啡</t>
        </is>
      </c>
      <c r="D1500" t="inlineStr" s="5">
        <is>
          <t>奶茶/咖啡</t>
        </is>
      </c>
      <c r="E1500" s="6"/>
      <c r="F1500" s="6"/>
      <c r="G1500" s="6">
        <f>IF(AND(E1500="",F1500=""),"",F1500-E1500)</f>
      </c>
      <c r="H1500" s="4"/>
      <c r="I1500" s="5"/>
    </row>
    <row r="1501" ht="21" customHeight="1">
      <c r="A1501" s="3">
        <v>46397</v>
      </c>
      <c r="B1501" t="inlineStr" s="4">
        <is>
          <t>星期日</t>
        </is>
      </c>
      <c r="C1501" t="inlineStr" s="4">
        <is>
          <t>其他</t>
        </is>
      </c>
      <c r="D1501" t="inlineStr" s="5">
        <is>
          <t>其他</t>
        </is>
      </c>
      <c r="E1501" s="6"/>
      <c r="F1501" s="6"/>
      <c r="G1501" s="6">
        <f>IF(AND(E1501="",F1501=""),"",F1501-E1501)</f>
      </c>
      <c r="H1501" s="4"/>
      <c r="I1501" s="5"/>
    </row>
    <row r="1502" ht="21" customHeight="1">
      <c r="A1502" s="3">
        <v>46397</v>
      </c>
      <c r="B1502" t="inlineStr" s="4">
        <is>
          <t>星期日</t>
        </is>
      </c>
      <c r="C1502" t="inlineStr" s="4">
        <is>
          <t>其他</t>
        </is>
      </c>
      <c r="D1502" t="inlineStr" s="5">
        <is>
          <t>其他</t>
        </is>
      </c>
      <c r="E1502" s="6"/>
      <c r="F1502" s="6"/>
      <c r="G1502" s="6">
        <f>IF(AND(E1502="",F1502=""),"",F1502-E1502)</f>
      </c>
      <c r="H1502" s="4"/>
      <c r="I1502" s="5"/>
    </row>
    <row r="1503" ht="23" customHeight="1">
      <c r="A1503" t="inlineStr" s="7">
        <is>
          <t>本周小计</t>
        </is>
      </c>
      <c r="B1503" s="7"/>
      <c r="C1503" s="7"/>
      <c r="D1503" s="7"/>
      <c r="E1503" s="8">
        <f>SUM(E1461:E1502)</f>
      </c>
      <c r="F1503" s="8">
        <f>SUM(F1461:F1502)</f>
      </c>
      <c r="G1503" s="8">
        <f>SUM(G1461:G1502)</f>
      </c>
      <c r="H1503" s="7"/>
      <c r="I1503" s="7"/>
    </row>
    <row r="1504" ht="18" customHeight="1">
      <c r="A1504" s="9"/>
      <c r="B1504" s="9"/>
      <c r="C1504" s="9"/>
      <c r="D1504" s="9"/>
      <c r="E1504" s="9"/>
      <c r="F1504" s="9"/>
      <c r="G1504" s="9"/>
      <c r="H1504" s="9"/>
      <c r="I1504" s="9"/>
    </row>
    <row r="1505" ht="18" customHeight="1">
      <c r="A1505" s="9"/>
      <c r="B1505" s="9"/>
      <c r="C1505" s="9"/>
      <c r="D1505" s="9"/>
      <c r="E1505" s="9"/>
      <c r="F1505" s="9"/>
      <c r="G1505" s="9"/>
      <c r="H1505" s="9"/>
      <c r="I1505" s="9"/>
    </row>
    <row r="1506" ht="26" customHeight="1">
      <c r="A1506" t="inlineStr" s="2">
        <is>
          <t>2027年1月｜第二周（1月11日 - 1月17日）</t>
        </is>
      </c>
      <c r="B1506" s="2"/>
      <c r="C1506" s="2"/>
      <c r="D1506" s="2"/>
      <c r="E1506" s="2"/>
      <c r="F1506" s="2"/>
      <c r="G1506" s="2"/>
      <c r="H1506" s="2"/>
      <c r="I1506" s="2"/>
    </row>
    <row r="1507" ht="22" customHeight="1">
      <c r="A1507" t="inlineStr" s="1">
        <is>
          <t>日期</t>
        </is>
      </c>
      <c r="B1507" t="inlineStr" s="1">
        <is>
          <t>星期</t>
        </is>
      </c>
      <c r="C1507" t="inlineStr" s="1">
        <is>
          <t>分类</t>
        </is>
      </c>
      <c r="D1507" t="inlineStr" s="1">
        <is>
          <t>事项</t>
        </is>
      </c>
      <c r="E1507" t="inlineStr" s="1">
        <is>
          <t>支出金额</t>
        </is>
      </c>
      <c r="F1507" t="inlineStr" s="1">
        <is>
          <t>收入金额</t>
        </is>
      </c>
      <c r="G1507" t="inlineStr" s="1">
        <is>
          <t>当笔净额</t>
        </is>
      </c>
      <c r="H1507" t="inlineStr" s="1">
        <is>
          <t>支付方式</t>
        </is>
      </c>
      <c r="I1507" t="inlineStr" s="1">
        <is>
          <t>备注</t>
        </is>
      </c>
    </row>
    <row r="1508" ht="21" customHeight="1">
      <c r="A1508" s="3">
        <v>46398</v>
      </c>
      <c r="B1508" t="inlineStr" s="4">
        <is>
          <t>星期一</t>
        </is>
      </c>
      <c r="C1508" t="inlineStr" s="4">
        <is>
          <t>餐饮</t>
        </is>
      </c>
      <c r="D1508" t="inlineStr" s="5">
        <is>
          <t>早餐</t>
        </is>
      </c>
      <c r="E1508" s="6"/>
      <c r="F1508" s="6"/>
      <c r="G1508" s="6">
        <f>IF(AND(E1508="",F1508=""),"",F1508-E1508)</f>
      </c>
      <c r="H1508" s="4"/>
      <c r="I1508" s="5"/>
    </row>
    <row r="1509" ht="21" customHeight="1">
      <c r="A1509" s="3">
        <v>46398</v>
      </c>
      <c r="B1509" t="inlineStr" s="4">
        <is>
          <t>星期一</t>
        </is>
      </c>
      <c r="C1509" t="inlineStr" s="4">
        <is>
          <t>餐饮</t>
        </is>
      </c>
      <c r="D1509" t="inlineStr" s="5">
        <is>
          <t>中餐</t>
        </is>
      </c>
      <c r="E1509" s="6"/>
      <c r="F1509" s="6"/>
      <c r="G1509" s="6">
        <f>IF(AND(E1509="",F1509=""),"",F1509-E1509)</f>
      </c>
      <c r="H1509" s="4"/>
      <c r="I1509" s="5"/>
    </row>
    <row r="1510" ht="21" customHeight="1">
      <c r="A1510" s="3">
        <v>46398</v>
      </c>
      <c r="B1510" t="inlineStr" s="4">
        <is>
          <t>星期一</t>
        </is>
      </c>
      <c r="C1510" t="inlineStr" s="4">
        <is>
          <t>餐饮</t>
        </is>
      </c>
      <c r="D1510" t="inlineStr" s="5">
        <is>
          <t>晚餐</t>
        </is>
      </c>
      <c r="E1510" s="6"/>
      <c r="F1510" s="6"/>
      <c r="G1510" s="6">
        <f>IF(AND(E1510="",F1510=""),"",F1510-E1510)</f>
      </c>
      <c r="H1510" s="4"/>
      <c r="I1510" s="5"/>
    </row>
    <row r="1511" ht="21" customHeight="1">
      <c r="A1511" s="3">
        <v>46398</v>
      </c>
      <c r="B1511" t="inlineStr" s="4">
        <is>
          <t>星期一</t>
        </is>
      </c>
      <c r="C1511" t="inlineStr" s="4">
        <is>
          <t>奶茶/咖啡</t>
        </is>
      </c>
      <c r="D1511" t="inlineStr" s="5">
        <is>
          <t>奶茶/咖啡</t>
        </is>
      </c>
      <c r="E1511" s="6"/>
      <c r="F1511" s="6"/>
      <c r="G1511" s="6">
        <f>IF(AND(E1511="",F1511=""),"",F1511-E1511)</f>
      </c>
      <c r="H1511" s="4"/>
      <c r="I1511" s="5"/>
    </row>
    <row r="1512" ht="21" customHeight="1">
      <c r="A1512" s="3">
        <v>46398</v>
      </c>
      <c r="B1512" t="inlineStr" s="4">
        <is>
          <t>星期一</t>
        </is>
      </c>
      <c r="C1512" t="inlineStr" s="4">
        <is>
          <t>其他</t>
        </is>
      </c>
      <c r="D1512" t="inlineStr" s="5">
        <is>
          <t>其他</t>
        </is>
      </c>
      <c r="E1512" s="6"/>
      <c r="F1512" s="6"/>
      <c r="G1512" s="6">
        <f>IF(AND(E1512="",F1512=""),"",F1512-E1512)</f>
      </c>
      <c r="H1512" s="4"/>
      <c r="I1512" s="5"/>
    </row>
    <row r="1513" ht="21" customHeight="1">
      <c r="A1513" s="3">
        <v>46398</v>
      </c>
      <c r="B1513" t="inlineStr" s="4">
        <is>
          <t>星期一</t>
        </is>
      </c>
      <c r="C1513" t="inlineStr" s="4">
        <is>
          <t>其他</t>
        </is>
      </c>
      <c r="D1513" t="inlineStr" s="5">
        <is>
          <t>其他</t>
        </is>
      </c>
      <c r="E1513" s="6"/>
      <c r="F1513" s="6"/>
      <c r="G1513" s="6">
        <f>IF(AND(E1513="",F1513=""),"",F1513-E1513)</f>
      </c>
      <c r="H1513" s="4"/>
      <c r="I1513" s="5"/>
    </row>
    <row r="1514" ht="21" customHeight="1">
      <c r="A1514" s="3">
        <v>46399</v>
      </c>
      <c r="B1514" t="inlineStr" s="4">
        <is>
          <t>星期二</t>
        </is>
      </c>
      <c r="C1514" t="inlineStr" s="4">
        <is>
          <t>餐饮</t>
        </is>
      </c>
      <c r="D1514" t="inlineStr" s="5">
        <is>
          <t>早餐</t>
        </is>
      </c>
      <c r="E1514" s="6"/>
      <c r="F1514" s="6"/>
      <c r="G1514" s="6">
        <f>IF(AND(E1514="",F1514=""),"",F1514-E1514)</f>
      </c>
      <c r="H1514" s="4"/>
      <c r="I1514" s="5"/>
    </row>
    <row r="1515" ht="21" customHeight="1">
      <c r="A1515" s="3">
        <v>46399</v>
      </c>
      <c r="B1515" t="inlineStr" s="4">
        <is>
          <t>星期二</t>
        </is>
      </c>
      <c r="C1515" t="inlineStr" s="4">
        <is>
          <t>餐饮</t>
        </is>
      </c>
      <c r="D1515" t="inlineStr" s="5">
        <is>
          <t>中餐</t>
        </is>
      </c>
      <c r="E1515" s="6"/>
      <c r="F1515" s="6"/>
      <c r="G1515" s="6">
        <f>IF(AND(E1515="",F1515=""),"",F1515-E1515)</f>
      </c>
      <c r="H1515" s="4"/>
      <c r="I1515" s="5"/>
    </row>
    <row r="1516" ht="21" customHeight="1">
      <c r="A1516" s="3">
        <v>46399</v>
      </c>
      <c r="B1516" t="inlineStr" s="4">
        <is>
          <t>星期二</t>
        </is>
      </c>
      <c r="C1516" t="inlineStr" s="4">
        <is>
          <t>餐饮</t>
        </is>
      </c>
      <c r="D1516" t="inlineStr" s="5">
        <is>
          <t>晚餐</t>
        </is>
      </c>
      <c r="E1516" s="6"/>
      <c r="F1516" s="6"/>
      <c r="G1516" s="6">
        <f>IF(AND(E1516="",F1516=""),"",F1516-E1516)</f>
      </c>
      <c r="H1516" s="4"/>
      <c r="I1516" s="5"/>
    </row>
    <row r="1517" ht="21" customHeight="1">
      <c r="A1517" s="3">
        <v>46399</v>
      </c>
      <c r="B1517" t="inlineStr" s="4">
        <is>
          <t>星期二</t>
        </is>
      </c>
      <c r="C1517" t="inlineStr" s="4">
        <is>
          <t>奶茶/咖啡</t>
        </is>
      </c>
      <c r="D1517" t="inlineStr" s="5">
        <is>
          <t>奶茶/咖啡</t>
        </is>
      </c>
      <c r="E1517" s="6"/>
      <c r="F1517" s="6"/>
      <c r="G1517" s="6">
        <f>IF(AND(E1517="",F1517=""),"",F1517-E1517)</f>
      </c>
      <c r="H1517" s="4"/>
      <c r="I1517" s="5"/>
    </row>
    <row r="1518" ht="21" customHeight="1">
      <c r="A1518" s="3">
        <v>46399</v>
      </c>
      <c r="B1518" t="inlineStr" s="4">
        <is>
          <t>星期二</t>
        </is>
      </c>
      <c r="C1518" t="inlineStr" s="4">
        <is>
          <t>其他</t>
        </is>
      </c>
      <c r="D1518" t="inlineStr" s="5">
        <is>
          <t>其他</t>
        </is>
      </c>
      <c r="E1518" s="6"/>
      <c r="F1518" s="6"/>
      <c r="G1518" s="6">
        <f>IF(AND(E1518="",F1518=""),"",F1518-E1518)</f>
      </c>
      <c r="H1518" s="4"/>
      <c r="I1518" s="5"/>
    </row>
    <row r="1519" ht="21" customHeight="1">
      <c r="A1519" s="3">
        <v>46399</v>
      </c>
      <c r="B1519" t="inlineStr" s="4">
        <is>
          <t>星期二</t>
        </is>
      </c>
      <c r="C1519" t="inlineStr" s="4">
        <is>
          <t>其他</t>
        </is>
      </c>
      <c r="D1519" t="inlineStr" s="5">
        <is>
          <t>其他</t>
        </is>
      </c>
      <c r="E1519" s="6"/>
      <c r="F1519" s="6"/>
      <c r="G1519" s="6">
        <f>IF(AND(E1519="",F1519=""),"",F1519-E1519)</f>
      </c>
      <c r="H1519" s="4"/>
      <c r="I1519" s="5"/>
    </row>
    <row r="1520" ht="21" customHeight="1">
      <c r="A1520" s="3">
        <v>46400</v>
      </c>
      <c r="B1520" t="inlineStr" s="4">
        <is>
          <t>星期三</t>
        </is>
      </c>
      <c r="C1520" t="inlineStr" s="4">
        <is>
          <t>餐饮</t>
        </is>
      </c>
      <c r="D1520" t="inlineStr" s="5">
        <is>
          <t>早餐</t>
        </is>
      </c>
      <c r="E1520" s="6"/>
      <c r="F1520" s="6"/>
      <c r="G1520" s="6">
        <f>IF(AND(E1520="",F1520=""),"",F1520-E1520)</f>
      </c>
      <c r="H1520" s="4"/>
      <c r="I1520" s="5"/>
    </row>
    <row r="1521" ht="21" customHeight="1">
      <c r="A1521" s="3">
        <v>46400</v>
      </c>
      <c r="B1521" t="inlineStr" s="4">
        <is>
          <t>星期三</t>
        </is>
      </c>
      <c r="C1521" t="inlineStr" s="4">
        <is>
          <t>餐饮</t>
        </is>
      </c>
      <c r="D1521" t="inlineStr" s="5">
        <is>
          <t>中餐</t>
        </is>
      </c>
      <c r="E1521" s="6"/>
      <c r="F1521" s="6"/>
      <c r="G1521" s="6">
        <f>IF(AND(E1521="",F1521=""),"",F1521-E1521)</f>
      </c>
      <c r="H1521" s="4"/>
      <c r="I1521" s="5"/>
    </row>
    <row r="1522" ht="21" customHeight="1">
      <c r="A1522" s="3">
        <v>46400</v>
      </c>
      <c r="B1522" t="inlineStr" s="4">
        <is>
          <t>星期三</t>
        </is>
      </c>
      <c r="C1522" t="inlineStr" s="4">
        <is>
          <t>餐饮</t>
        </is>
      </c>
      <c r="D1522" t="inlineStr" s="5">
        <is>
          <t>晚餐</t>
        </is>
      </c>
      <c r="E1522" s="6"/>
      <c r="F1522" s="6"/>
      <c r="G1522" s="6">
        <f>IF(AND(E1522="",F1522=""),"",F1522-E1522)</f>
      </c>
      <c r="H1522" s="4"/>
      <c r="I1522" s="5"/>
    </row>
    <row r="1523" ht="21" customHeight="1">
      <c r="A1523" s="3">
        <v>46400</v>
      </c>
      <c r="B1523" t="inlineStr" s="4">
        <is>
          <t>星期三</t>
        </is>
      </c>
      <c r="C1523" t="inlineStr" s="4">
        <is>
          <t>奶茶/咖啡</t>
        </is>
      </c>
      <c r="D1523" t="inlineStr" s="5">
        <is>
          <t>奶茶/咖啡</t>
        </is>
      </c>
      <c r="E1523" s="6"/>
      <c r="F1523" s="6"/>
      <c r="G1523" s="6">
        <f>IF(AND(E1523="",F1523=""),"",F1523-E1523)</f>
      </c>
      <c r="H1523" s="4"/>
      <c r="I1523" s="5"/>
    </row>
    <row r="1524" ht="21" customHeight="1">
      <c r="A1524" s="3">
        <v>46400</v>
      </c>
      <c r="B1524" t="inlineStr" s="4">
        <is>
          <t>星期三</t>
        </is>
      </c>
      <c r="C1524" t="inlineStr" s="4">
        <is>
          <t>其他</t>
        </is>
      </c>
      <c r="D1524" t="inlineStr" s="5">
        <is>
          <t>其他</t>
        </is>
      </c>
      <c r="E1524" s="6"/>
      <c r="F1524" s="6"/>
      <c r="G1524" s="6">
        <f>IF(AND(E1524="",F1524=""),"",F1524-E1524)</f>
      </c>
      <c r="H1524" s="4"/>
      <c r="I1524" s="5"/>
    </row>
    <row r="1525" ht="21" customHeight="1">
      <c r="A1525" s="3">
        <v>46400</v>
      </c>
      <c r="B1525" t="inlineStr" s="4">
        <is>
          <t>星期三</t>
        </is>
      </c>
      <c r="C1525" t="inlineStr" s="4">
        <is>
          <t>其他</t>
        </is>
      </c>
      <c r="D1525" t="inlineStr" s="5">
        <is>
          <t>其他</t>
        </is>
      </c>
      <c r="E1525" s="6"/>
      <c r="F1525" s="6"/>
      <c r="G1525" s="6">
        <f>IF(AND(E1525="",F1525=""),"",F1525-E1525)</f>
      </c>
      <c r="H1525" s="4"/>
      <c r="I1525" s="5"/>
    </row>
    <row r="1526" ht="21" customHeight="1">
      <c r="A1526" s="3">
        <v>46401</v>
      </c>
      <c r="B1526" t="inlineStr" s="4">
        <is>
          <t>星期四</t>
        </is>
      </c>
      <c r="C1526" t="inlineStr" s="4">
        <is>
          <t>餐饮</t>
        </is>
      </c>
      <c r="D1526" t="inlineStr" s="5">
        <is>
          <t>早餐</t>
        </is>
      </c>
      <c r="E1526" s="6"/>
      <c r="F1526" s="6"/>
      <c r="G1526" s="6">
        <f>IF(AND(E1526="",F1526=""),"",F1526-E1526)</f>
      </c>
      <c r="H1526" s="4"/>
      <c r="I1526" s="5"/>
    </row>
    <row r="1527" ht="21" customHeight="1">
      <c r="A1527" s="3">
        <v>46401</v>
      </c>
      <c r="B1527" t="inlineStr" s="4">
        <is>
          <t>星期四</t>
        </is>
      </c>
      <c r="C1527" t="inlineStr" s="4">
        <is>
          <t>餐饮</t>
        </is>
      </c>
      <c r="D1527" t="inlineStr" s="5">
        <is>
          <t>中餐</t>
        </is>
      </c>
      <c r="E1527" s="6"/>
      <c r="F1527" s="6"/>
      <c r="G1527" s="6">
        <f>IF(AND(E1527="",F1527=""),"",F1527-E1527)</f>
      </c>
      <c r="H1527" s="4"/>
      <c r="I1527" s="5"/>
    </row>
    <row r="1528" ht="21" customHeight="1">
      <c r="A1528" s="3">
        <v>46401</v>
      </c>
      <c r="B1528" t="inlineStr" s="4">
        <is>
          <t>星期四</t>
        </is>
      </c>
      <c r="C1528" t="inlineStr" s="4">
        <is>
          <t>餐饮</t>
        </is>
      </c>
      <c r="D1528" t="inlineStr" s="5">
        <is>
          <t>晚餐</t>
        </is>
      </c>
      <c r="E1528" s="6"/>
      <c r="F1528" s="6"/>
      <c r="G1528" s="6">
        <f>IF(AND(E1528="",F1528=""),"",F1528-E1528)</f>
      </c>
      <c r="H1528" s="4"/>
      <c r="I1528" s="5"/>
    </row>
    <row r="1529" ht="21" customHeight="1">
      <c r="A1529" s="3">
        <v>46401</v>
      </c>
      <c r="B1529" t="inlineStr" s="4">
        <is>
          <t>星期四</t>
        </is>
      </c>
      <c r="C1529" t="inlineStr" s="4">
        <is>
          <t>奶茶/咖啡</t>
        </is>
      </c>
      <c r="D1529" t="inlineStr" s="5">
        <is>
          <t>奶茶/咖啡</t>
        </is>
      </c>
      <c r="E1529" s="6"/>
      <c r="F1529" s="6"/>
      <c r="G1529" s="6">
        <f>IF(AND(E1529="",F1529=""),"",F1529-E1529)</f>
      </c>
      <c r="H1529" s="4"/>
      <c r="I1529" s="5"/>
    </row>
    <row r="1530" ht="21" customHeight="1">
      <c r="A1530" s="3">
        <v>46401</v>
      </c>
      <c r="B1530" t="inlineStr" s="4">
        <is>
          <t>星期四</t>
        </is>
      </c>
      <c r="C1530" t="inlineStr" s="4">
        <is>
          <t>其他</t>
        </is>
      </c>
      <c r="D1530" t="inlineStr" s="5">
        <is>
          <t>其他</t>
        </is>
      </c>
      <c r="E1530" s="6"/>
      <c r="F1530" s="6"/>
      <c r="G1530" s="6">
        <f>IF(AND(E1530="",F1530=""),"",F1530-E1530)</f>
      </c>
      <c r="H1530" s="4"/>
      <c r="I1530" s="5"/>
    </row>
    <row r="1531" ht="21" customHeight="1">
      <c r="A1531" s="3">
        <v>46401</v>
      </c>
      <c r="B1531" t="inlineStr" s="4">
        <is>
          <t>星期四</t>
        </is>
      </c>
      <c r="C1531" t="inlineStr" s="4">
        <is>
          <t>其他</t>
        </is>
      </c>
      <c r="D1531" t="inlineStr" s="5">
        <is>
          <t>其他</t>
        </is>
      </c>
      <c r="E1531" s="6"/>
      <c r="F1531" s="6"/>
      <c r="G1531" s="6">
        <f>IF(AND(E1531="",F1531=""),"",F1531-E1531)</f>
      </c>
      <c r="H1531" s="4"/>
      <c r="I1531" s="5"/>
    </row>
    <row r="1532" ht="21" customHeight="1">
      <c r="A1532" s="3">
        <v>46402</v>
      </c>
      <c r="B1532" t="inlineStr" s="4">
        <is>
          <t>星期五</t>
        </is>
      </c>
      <c r="C1532" t="inlineStr" s="4">
        <is>
          <t>餐饮</t>
        </is>
      </c>
      <c r="D1532" t="inlineStr" s="5">
        <is>
          <t>早餐</t>
        </is>
      </c>
      <c r="E1532" s="6"/>
      <c r="F1532" s="6"/>
      <c r="G1532" s="6">
        <f>IF(AND(E1532="",F1532=""),"",F1532-E1532)</f>
      </c>
      <c r="H1532" s="4"/>
      <c r="I1532" s="5"/>
    </row>
    <row r="1533" ht="21" customHeight="1">
      <c r="A1533" s="3">
        <v>46402</v>
      </c>
      <c r="B1533" t="inlineStr" s="4">
        <is>
          <t>星期五</t>
        </is>
      </c>
      <c r="C1533" t="inlineStr" s="4">
        <is>
          <t>餐饮</t>
        </is>
      </c>
      <c r="D1533" t="inlineStr" s="5">
        <is>
          <t>中餐</t>
        </is>
      </c>
      <c r="E1533" s="6"/>
      <c r="F1533" s="6"/>
      <c r="G1533" s="6">
        <f>IF(AND(E1533="",F1533=""),"",F1533-E1533)</f>
      </c>
      <c r="H1533" s="4"/>
      <c r="I1533" s="5"/>
    </row>
    <row r="1534" ht="21" customHeight="1">
      <c r="A1534" s="3">
        <v>46402</v>
      </c>
      <c r="B1534" t="inlineStr" s="4">
        <is>
          <t>星期五</t>
        </is>
      </c>
      <c r="C1534" t="inlineStr" s="4">
        <is>
          <t>餐饮</t>
        </is>
      </c>
      <c r="D1534" t="inlineStr" s="5">
        <is>
          <t>晚餐</t>
        </is>
      </c>
      <c r="E1534" s="6"/>
      <c r="F1534" s="6"/>
      <c r="G1534" s="6">
        <f>IF(AND(E1534="",F1534=""),"",F1534-E1534)</f>
      </c>
      <c r="H1534" s="4"/>
      <c r="I1534" s="5"/>
    </row>
    <row r="1535" ht="21" customHeight="1">
      <c r="A1535" s="3">
        <v>46402</v>
      </c>
      <c r="B1535" t="inlineStr" s="4">
        <is>
          <t>星期五</t>
        </is>
      </c>
      <c r="C1535" t="inlineStr" s="4">
        <is>
          <t>奶茶/咖啡</t>
        </is>
      </c>
      <c r="D1535" t="inlineStr" s="5">
        <is>
          <t>奶茶/咖啡</t>
        </is>
      </c>
      <c r="E1535" s="6"/>
      <c r="F1535" s="6"/>
      <c r="G1535" s="6">
        <f>IF(AND(E1535="",F1535=""),"",F1535-E1535)</f>
      </c>
      <c r="H1535" s="4"/>
      <c r="I1535" s="5"/>
    </row>
    <row r="1536" ht="21" customHeight="1">
      <c r="A1536" s="3">
        <v>46402</v>
      </c>
      <c r="B1536" t="inlineStr" s="4">
        <is>
          <t>星期五</t>
        </is>
      </c>
      <c r="C1536" t="inlineStr" s="4">
        <is>
          <t>其他</t>
        </is>
      </c>
      <c r="D1536" t="inlineStr" s="5">
        <is>
          <t>其他</t>
        </is>
      </c>
      <c r="E1536" s="6"/>
      <c r="F1536" s="6"/>
      <c r="G1536" s="6">
        <f>IF(AND(E1536="",F1536=""),"",F1536-E1536)</f>
      </c>
      <c r="H1536" s="4"/>
      <c r="I1536" s="5"/>
    </row>
    <row r="1537" ht="21" customHeight="1">
      <c r="A1537" s="3">
        <v>46402</v>
      </c>
      <c r="B1537" t="inlineStr" s="4">
        <is>
          <t>星期五</t>
        </is>
      </c>
      <c r="C1537" t="inlineStr" s="4">
        <is>
          <t>其他</t>
        </is>
      </c>
      <c r="D1537" t="inlineStr" s="5">
        <is>
          <t>其他</t>
        </is>
      </c>
      <c r="E1537" s="6"/>
      <c r="F1537" s="6"/>
      <c r="G1537" s="6">
        <f>IF(AND(E1537="",F1537=""),"",F1537-E1537)</f>
      </c>
      <c r="H1537" s="4"/>
      <c r="I1537" s="5"/>
    </row>
    <row r="1538" ht="21" customHeight="1">
      <c r="A1538" s="3">
        <v>46403</v>
      </c>
      <c r="B1538" t="inlineStr" s="4">
        <is>
          <t>星期六</t>
        </is>
      </c>
      <c r="C1538" t="inlineStr" s="4">
        <is>
          <t>餐饮</t>
        </is>
      </c>
      <c r="D1538" t="inlineStr" s="5">
        <is>
          <t>早餐</t>
        </is>
      </c>
      <c r="E1538" s="6"/>
      <c r="F1538" s="6"/>
      <c r="G1538" s="6">
        <f>IF(AND(E1538="",F1538=""),"",F1538-E1538)</f>
      </c>
      <c r="H1538" s="4"/>
      <c r="I1538" s="5"/>
    </row>
    <row r="1539" ht="21" customHeight="1">
      <c r="A1539" s="3">
        <v>46403</v>
      </c>
      <c r="B1539" t="inlineStr" s="4">
        <is>
          <t>星期六</t>
        </is>
      </c>
      <c r="C1539" t="inlineStr" s="4">
        <is>
          <t>餐饮</t>
        </is>
      </c>
      <c r="D1539" t="inlineStr" s="5">
        <is>
          <t>中餐</t>
        </is>
      </c>
      <c r="E1539" s="6"/>
      <c r="F1539" s="6"/>
      <c r="G1539" s="6">
        <f>IF(AND(E1539="",F1539=""),"",F1539-E1539)</f>
      </c>
      <c r="H1539" s="4"/>
      <c r="I1539" s="5"/>
    </row>
    <row r="1540" ht="21" customHeight="1">
      <c r="A1540" s="3">
        <v>46403</v>
      </c>
      <c r="B1540" t="inlineStr" s="4">
        <is>
          <t>星期六</t>
        </is>
      </c>
      <c r="C1540" t="inlineStr" s="4">
        <is>
          <t>餐饮</t>
        </is>
      </c>
      <c r="D1540" t="inlineStr" s="5">
        <is>
          <t>晚餐</t>
        </is>
      </c>
      <c r="E1540" s="6"/>
      <c r="F1540" s="6"/>
      <c r="G1540" s="6">
        <f>IF(AND(E1540="",F1540=""),"",F1540-E1540)</f>
      </c>
      <c r="H1540" s="4"/>
      <c r="I1540" s="5"/>
    </row>
    <row r="1541" ht="21" customHeight="1">
      <c r="A1541" s="3">
        <v>46403</v>
      </c>
      <c r="B1541" t="inlineStr" s="4">
        <is>
          <t>星期六</t>
        </is>
      </c>
      <c r="C1541" t="inlineStr" s="4">
        <is>
          <t>奶茶/咖啡</t>
        </is>
      </c>
      <c r="D1541" t="inlineStr" s="5">
        <is>
          <t>奶茶/咖啡</t>
        </is>
      </c>
      <c r="E1541" s="6"/>
      <c r="F1541" s="6"/>
      <c r="G1541" s="6">
        <f>IF(AND(E1541="",F1541=""),"",F1541-E1541)</f>
      </c>
      <c r="H1541" s="4"/>
      <c r="I1541" s="5"/>
    </row>
    <row r="1542" ht="21" customHeight="1">
      <c r="A1542" s="3">
        <v>46403</v>
      </c>
      <c r="B1542" t="inlineStr" s="4">
        <is>
          <t>星期六</t>
        </is>
      </c>
      <c r="C1542" t="inlineStr" s="4">
        <is>
          <t>其他</t>
        </is>
      </c>
      <c r="D1542" t="inlineStr" s="5">
        <is>
          <t>其他</t>
        </is>
      </c>
      <c r="E1542" s="6"/>
      <c r="F1542" s="6"/>
      <c r="G1542" s="6">
        <f>IF(AND(E1542="",F1542=""),"",F1542-E1542)</f>
      </c>
      <c r="H1542" s="4"/>
      <c r="I1542" s="5"/>
    </row>
    <row r="1543" ht="21" customHeight="1">
      <c r="A1543" s="3">
        <v>46403</v>
      </c>
      <c r="B1543" t="inlineStr" s="4">
        <is>
          <t>星期六</t>
        </is>
      </c>
      <c r="C1543" t="inlineStr" s="4">
        <is>
          <t>其他</t>
        </is>
      </c>
      <c r="D1543" t="inlineStr" s="5">
        <is>
          <t>其他</t>
        </is>
      </c>
      <c r="E1543" s="6"/>
      <c r="F1543" s="6"/>
      <c r="G1543" s="6">
        <f>IF(AND(E1543="",F1543=""),"",F1543-E1543)</f>
      </c>
      <c r="H1543" s="4"/>
      <c r="I1543" s="5"/>
    </row>
    <row r="1544" ht="21" customHeight="1">
      <c r="A1544" s="3">
        <v>46404</v>
      </c>
      <c r="B1544" t="inlineStr" s="4">
        <is>
          <t>星期日</t>
        </is>
      </c>
      <c r="C1544" t="inlineStr" s="4">
        <is>
          <t>餐饮</t>
        </is>
      </c>
      <c r="D1544" t="inlineStr" s="5">
        <is>
          <t>早餐</t>
        </is>
      </c>
      <c r="E1544" s="6"/>
      <c r="F1544" s="6"/>
      <c r="G1544" s="6">
        <f>IF(AND(E1544="",F1544=""),"",F1544-E1544)</f>
      </c>
      <c r="H1544" s="4"/>
      <c r="I1544" s="5"/>
    </row>
    <row r="1545" ht="21" customHeight="1">
      <c r="A1545" s="3">
        <v>46404</v>
      </c>
      <c r="B1545" t="inlineStr" s="4">
        <is>
          <t>星期日</t>
        </is>
      </c>
      <c r="C1545" t="inlineStr" s="4">
        <is>
          <t>餐饮</t>
        </is>
      </c>
      <c r="D1545" t="inlineStr" s="5">
        <is>
          <t>中餐</t>
        </is>
      </c>
      <c r="E1545" s="6"/>
      <c r="F1545" s="6"/>
      <c r="G1545" s="6">
        <f>IF(AND(E1545="",F1545=""),"",F1545-E1545)</f>
      </c>
      <c r="H1545" s="4"/>
      <c r="I1545" s="5"/>
    </row>
    <row r="1546" ht="21" customHeight="1">
      <c r="A1546" s="3">
        <v>46404</v>
      </c>
      <c r="B1546" t="inlineStr" s="4">
        <is>
          <t>星期日</t>
        </is>
      </c>
      <c r="C1546" t="inlineStr" s="4">
        <is>
          <t>餐饮</t>
        </is>
      </c>
      <c r="D1546" t="inlineStr" s="5">
        <is>
          <t>晚餐</t>
        </is>
      </c>
      <c r="E1546" s="6"/>
      <c r="F1546" s="6"/>
      <c r="G1546" s="6">
        <f>IF(AND(E1546="",F1546=""),"",F1546-E1546)</f>
      </c>
      <c r="H1546" s="4"/>
      <c r="I1546" s="5"/>
    </row>
    <row r="1547" ht="21" customHeight="1">
      <c r="A1547" s="3">
        <v>46404</v>
      </c>
      <c r="B1547" t="inlineStr" s="4">
        <is>
          <t>星期日</t>
        </is>
      </c>
      <c r="C1547" t="inlineStr" s="4">
        <is>
          <t>奶茶/咖啡</t>
        </is>
      </c>
      <c r="D1547" t="inlineStr" s="5">
        <is>
          <t>奶茶/咖啡</t>
        </is>
      </c>
      <c r="E1547" s="6"/>
      <c r="F1547" s="6"/>
      <c r="G1547" s="6">
        <f>IF(AND(E1547="",F1547=""),"",F1547-E1547)</f>
      </c>
      <c r="H1547" s="4"/>
      <c r="I1547" s="5"/>
    </row>
    <row r="1548" ht="21" customHeight="1">
      <c r="A1548" s="3">
        <v>46404</v>
      </c>
      <c r="B1548" t="inlineStr" s="4">
        <is>
          <t>星期日</t>
        </is>
      </c>
      <c r="C1548" t="inlineStr" s="4">
        <is>
          <t>其他</t>
        </is>
      </c>
      <c r="D1548" t="inlineStr" s="5">
        <is>
          <t>其他</t>
        </is>
      </c>
      <c r="E1548" s="6"/>
      <c r="F1548" s="6"/>
      <c r="G1548" s="6">
        <f>IF(AND(E1548="",F1548=""),"",F1548-E1548)</f>
      </c>
      <c r="H1548" s="4"/>
      <c r="I1548" s="5"/>
    </row>
    <row r="1549" ht="21" customHeight="1">
      <c r="A1549" s="3">
        <v>46404</v>
      </c>
      <c r="B1549" t="inlineStr" s="4">
        <is>
          <t>星期日</t>
        </is>
      </c>
      <c r="C1549" t="inlineStr" s="4">
        <is>
          <t>其他</t>
        </is>
      </c>
      <c r="D1549" t="inlineStr" s="5">
        <is>
          <t>其他</t>
        </is>
      </c>
      <c r="E1549" s="6"/>
      <c r="F1549" s="6"/>
      <c r="G1549" s="6">
        <f>IF(AND(E1549="",F1549=""),"",F1549-E1549)</f>
      </c>
      <c r="H1549" s="4"/>
      <c r="I1549" s="5"/>
    </row>
    <row r="1550" ht="23" customHeight="1">
      <c r="A1550" t="inlineStr" s="7">
        <is>
          <t>本周小计</t>
        </is>
      </c>
      <c r="B1550" s="7"/>
      <c r="C1550" s="7"/>
      <c r="D1550" s="7"/>
      <c r="E1550" s="8">
        <f>SUM(E1508:E1549)</f>
      </c>
      <c r="F1550" s="8">
        <f>SUM(F1508:F1549)</f>
      </c>
      <c r="G1550" s="8">
        <f>SUM(G1508:G1549)</f>
      </c>
      <c r="H1550" s="7"/>
      <c r="I1550" s="7"/>
    </row>
    <row r="1551" ht="18" customHeight="1">
      <c r="A1551" s="9"/>
      <c r="B1551" s="9"/>
      <c r="C1551" s="9"/>
      <c r="D1551" s="9"/>
      <c r="E1551" s="9"/>
      <c r="F1551" s="9"/>
      <c r="G1551" s="9"/>
      <c r="H1551" s="9"/>
      <c r="I1551" s="9"/>
    </row>
    <row r="1552" ht="18" customHeight="1">
      <c r="A1552" s="9"/>
      <c r="B1552" s="9"/>
      <c r="C1552" s="9"/>
      <c r="D1552" s="9"/>
      <c r="E1552" s="9"/>
      <c r="F1552" s="9"/>
      <c r="G1552" s="9"/>
      <c r="H1552" s="9"/>
      <c r="I1552" s="9"/>
    </row>
    <row r="1553" ht="26" customHeight="1">
      <c r="A1553" t="inlineStr" s="2">
        <is>
          <t>2027年1月｜第三周（1月18日 - 1月24日）</t>
        </is>
      </c>
      <c r="B1553" s="2"/>
      <c r="C1553" s="2"/>
      <c r="D1553" s="2"/>
      <c r="E1553" s="2"/>
      <c r="F1553" s="2"/>
      <c r="G1553" s="2"/>
      <c r="H1553" s="2"/>
      <c r="I1553" s="2"/>
    </row>
    <row r="1554" ht="22" customHeight="1">
      <c r="A1554" t="inlineStr" s="1">
        <is>
          <t>日期</t>
        </is>
      </c>
      <c r="B1554" t="inlineStr" s="1">
        <is>
          <t>星期</t>
        </is>
      </c>
      <c r="C1554" t="inlineStr" s="1">
        <is>
          <t>分类</t>
        </is>
      </c>
      <c r="D1554" t="inlineStr" s="1">
        <is>
          <t>事项</t>
        </is>
      </c>
      <c r="E1554" t="inlineStr" s="1">
        <is>
          <t>支出金额</t>
        </is>
      </c>
      <c r="F1554" t="inlineStr" s="1">
        <is>
          <t>收入金额</t>
        </is>
      </c>
      <c r="G1554" t="inlineStr" s="1">
        <is>
          <t>当笔净额</t>
        </is>
      </c>
      <c r="H1554" t="inlineStr" s="1">
        <is>
          <t>支付方式</t>
        </is>
      </c>
      <c r="I1554" t="inlineStr" s="1">
        <is>
          <t>备注</t>
        </is>
      </c>
    </row>
    <row r="1555" ht="21" customHeight="1">
      <c r="A1555" s="3">
        <v>46405</v>
      </c>
      <c r="B1555" t="inlineStr" s="4">
        <is>
          <t>星期一</t>
        </is>
      </c>
      <c r="C1555" t="inlineStr" s="4">
        <is>
          <t>餐饮</t>
        </is>
      </c>
      <c r="D1555" t="inlineStr" s="5">
        <is>
          <t>早餐</t>
        </is>
      </c>
      <c r="E1555" s="6"/>
      <c r="F1555" s="6"/>
      <c r="G1555" s="6">
        <f>IF(AND(E1555="",F1555=""),"",F1555-E1555)</f>
      </c>
      <c r="H1555" s="4"/>
      <c r="I1555" s="5"/>
    </row>
    <row r="1556" ht="21" customHeight="1">
      <c r="A1556" s="3">
        <v>46405</v>
      </c>
      <c r="B1556" t="inlineStr" s="4">
        <is>
          <t>星期一</t>
        </is>
      </c>
      <c r="C1556" t="inlineStr" s="4">
        <is>
          <t>餐饮</t>
        </is>
      </c>
      <c r="D1556" t="inlineStr" s="5">
        <is>
          <t>中餐</t>
        </is>
      </c>
      <c r="E1556" s="6"/>
      <c r="F1556" s="6"/>
      <c r="G1556" s="6">
        <f>IF(AND(E1556="",F1556=""),"",F1556-E1556)</f>
      </c>
      <c r="H1556" s="4"/>
      <c r="I1556" s="5"/>
    </row>
    <row r="1557" ht="21" customHeight="1">
      <c r="A1557" s="3">
        <v>46405</v>
      </c>
      <c r="B1557" t="inlineStr" s="4">
        <is>
          <t>星期一</t>
        </is>
      </c>
      <c r="C1557" t="inlineStr" s="4">
        <is>
          <t>餐饮</t>
        </is>
      </c>
      <c r="D1557" t="inlineStr" s="5">
        <is>
          <t>晚餐</t>
        </is>
      </c>
      <c r="E1557" s="6"/>
      <c r="F1557" s="6"/>
      <c r="G1557" s="6">
        <f>IF(AND(E1557="",F1557=""),"",F1557-E1557)</f>
      </c>
      <c r="H1557" s="4"/>
      <c r="I1557" s="5"/>
    </row>
    <row r="1558" ht="21" customHeight="1">
      <c r="A1558" s="3">
        <v>46405</v>
      </c>
      <c r="B1558" t="inlineStr" s="4">
        <is>
          <t>星期一</t>
        </is>
      </c>
      <c r="C1558" t="inlineStr" s="4">
        <is>
          <t>奶茶/咖啡</t>
        </is>
      </c>
      <c r="D1558" t="inlineStr" s="5">
        <is>
          <t>奶茶/咖啡</t>
        </is>
      </c>
      <c r="E1558" s="6"/>
      <c r="F1558" s="6"/>
      <c r="G1558" s="6">
        <f>IF(AND(E1558="",F1558=""),"",F1558-E1558)</f>
      </c>
      <c r="H1558" s="4"/>
      <c r="I1558" s="5"/>
    </row>
    <row r="1559" ht="21" customHeight="1">
      <c r="A1559" s="3">
        <v>46405</v>
      </c>
      <c r="B1559" t="inlineStr" s="4">
        <is>
          <t>星期一</t>
        </is>
      </c>
      <c r="C1559" t="inlineStr" s="4">
        <is>
          <t>其他</t>
        </is>
      </c>
      <c r="D1559" t="inlineStr" s="5">
        <is>
          <t>其他</t>
        </is>
      </c>
      <c r="E1559" s="6"/>
      <c r="F1559" s="6"/>
      <c r="G1559" s="6">
        <f>IF(AND(E1559="",F1559=""),"",F1559-E1559)</f>
      </c>
      <c r="H1559" s="4"/>
      <c r="I1559" s="5"/>
    </row>
    <row r="1560" ht="21" customHeight="1">
      <c r="A1560" s="3">
        <v>46405</v>
      </c>
      <c r="B1560" t="inlineStr" s="4">
        <is>
          <t>星期一</t>
        </is>
      </c>
      <c r="C1560" t="inlineStr" s="4">
        <is>
          <t>其他</t>
        </is>
      </c>
      <c r="D1560" t="inlineStr" s="5">
        <is>
          <t>其他</t>
        </is>
      </c>
      <c r="E1560" s="6"/>
      <c r="F1560" s="6"/>
      <c r="G1560" s="6">
        <f>IF(AND(E1560="",F1560=""),"",F1560-E1560)</f>
      </c>
      <c r="H1560" s="4"/>
      <c r="I1560" s="5"/>
    </row>
    <row r="1561" ht="21" customHeight="1">
      <c r="A1561" s="3">
        <v>46406</v>
      </c>
      <c r="B1561" t="inlineStr" s="4">
        <is>
          <t>星期二</t>
        </is>
      </c>
      <c r="C1561" t="inlineStr" s="4">
        <is>
          <t>餐饮</t>
        </is>
      </c>
      <c r="D1561" t="inlineStr" s="5">
        <is>
          <t>早餐</t>
        </is>
      </c>
      <c r="E1561" s="6"/>
      <c r="F1561" s="6"/>
      <c r="G1561" s="6">
        <f>IF(AND(E1561="",F1561=""),"",F1561-E1561)</f>
      </c>
      <c r="H1561" s="4"/>
      <c r="I1561" s="5"/>
    </row>
    <row r="1562" ht="21" customHeight="1">
      <c r="A1562" s="3">
        <v>46406</v>
      </c>
      <c r="B1562" t="inlineStr" s="4">
        <is>
          <t>星期二</t>
        </is>
      </c>
      <c r="C1562" t="inlineStr" s="4">
        <is>
          <t>餐饮</t>
        </is>
      </c>
      <c r="D1562" t="inlineStr" s="5">
        <is>
          <t>中餐</t>
        </is>
      </c>
      <c r="E1562" s="6"/>
      <c r="F1562" s="6"/>
      <c r="G1562" s="6">
        <f>IF(AND(E1562="",F1562=""),"",F1562-E1562)</f>
      </c>
      <c r="H1562" s="4"/>
      <c r="I1562" s="5"/>
    </row>
    <row r="1563" ht="21" customHeight="1">
      <c r="A1563" s="3">
        <v>46406</v>
      </c>
      <c r="B1563" t="inlineStr" s="4">
        <is>
          <t>星期二</t>
        </is>
      </c>
      <c r="C1563" t="inlineStr" s="4">
        <is>
          <t>餐饮</t>
        </is>
      </c>
      <c r="D1563" t="inlineStr" s="5">
        <is>
          <t>晚餐</t>
        </is>
      </c>
      <c r="E1563" s="6"/>
      <c r="F1563" s="6"/>
      <c r="G1563" s="6">
        <f>IF(AND(E1563="",F1563=""),"",F1563-E1563)</f>
      </c>
      <c r="H1563" s="4"/>
      <c r="I1563" s="5"/>
    </row>
    <row r="1564" ht="21" customHeight="1">
      <c r="A1564" s="3">
        <v>46406</v>
      </c>
      <c r="B1564" t="inlineStr" s="4">
        <is>
          <t>星期二</t>
        </is>
      </c>
      <c r="C1564" t="inlineStr" s="4">
        <is>
          <t>奶茶/咖啡</t>
        </is>
      </c>
      <c r="D1564" t="inlineStr" s="5">
        <is>
          <t>奶茶/咖啡</t>
        </is>
      </c>
      <c r="E1564" s="6"/>
      <c r="F1564" s="6"/>
      <c r="G1564" s="6">
        <f>IF(AND(E1564="",F1564=""),"",F1564-E1564)</f>
      </c>
      <c r="H1564" s="4"/>
      <c r="I1564" s="5"/>
    </row>
    <row r="1565" ht="21" customHeight="1">
      <c r="A1565" s="3">
        <v>46406</v>
      </c>
      <c r="B1565" t="inlineStr" s="4">
        <is>
          <t>星期二</t>
        </is>
      </c>
      <c r="C1565" t="inlineStr" s="4">
        <is>
          <t>其他</t>
        </is>
      </c>
      <c r="D1565" t="inlineStr" s="5">
        <is>
          <t>其他</t>
        </is>
      </c>
      <c r="E1565" s="6"/>
      <c r="F1565" s="6"/>
      <c r="G1565" s="6">
        <f>IF(AND(E1565="",F1565=""),"",F1565-E1565)</f>
      </c>
      <c r="H1565" s="4"/>
      <c r="I1565" s="5"/>
    </row>
    <row r="1566" ht="21" customHeight="1">
      <c r="A1566" s="3">
        <v>46406</v>
      </c>
      <c r="B1566" t="inlineStr" s="4">
        <is>
          <t>星期二</t>
        </is>
      </c>
      <c r="C1566" t="inlineStr" s="4">
        <is>
          <t>其他</t>
        </is>
      </c>
      <c r="D1566" t="inlineStr" s="5">
        <is>
          <t>其他</t>
        </is>
      </c>
      <c r="E1566" s="6"/>
      <c r="F1566" s="6"/>
      <c r="G1566" s="6">
        <f>IF(AND(E1566="",F1566=""),"",F1566-E1566)</f>
      </c>
      <c r="H1566" s="4"/>
      <c r="I1566" s="5"/>
    </row>
    <row r="1567" ht="21" customHeight="1">
      <c r="A1567" s="3">
        <v>46407</v>
      </c>
      <c r="B1567" t="inlineStr" s="4">
        <is>
          <t>星期三</t>
        </is>
      </c>
      <c r="C1567" t="inlineStr" s="4">
        <is>
          <t>餐饮</t>
        </is>
      </c>
      <c r="D1567" t="inlineStr" s="5">
        <is>
          <t>早餐</t>
        </is>
      </c>
      <c r="E1567" s="6"/>
      <c r="F1567" s="6"/>
      <c r="G1567" s="6">
        <f>IF(AND(E1567="",F1567=""),"",F1567-E1567)</f>
      </c>
      <c r="H1567" s="4"/>
      <c r="I1567" s="5"/>
    </row>
    <row r="1568" ht="21" customHeight="1">
      <c r="A1568" s="3">
        <v>46407</v>
      </c>
      <c r="B1568" t="inlineStr" s="4">
        <is>
          <t>星期三</t>
        </is>
      </c>
      <c r="C1568" t="inlineStr" s="4">
        <is>
          <t>餐饮</t>
        </is>
      </c>
      <c r="D1568" t="inlineStr" s="5">
        <is>
          <t>中餐</t>
        </is>
      </c>
      <c r="E1568" s="6"/>
      <c r="F1568" s="6"/>
      <c r="G1568" s="6">
        <f>IF(AND(E1568="",F1568=""),"",F1568-E1568)</f>
      </c>
      <c r="H1568" s="4"/>
      <c r="I1568" s="5"/>
    </row>
    <row r="1569" ht="21" customHeight="1">
      <c r="A1569" s="3">
        <v>46407</v>
      </c>
      <c r="B1569" t="inlineStr" s="4">
        <is>
          <t>星期三</t>
        </is>
      </c>
      <c r="C1569" t="inlineStr" s="4">
        <is>
          <t>餐饮</t>
        </is>
      </c>
      <c r="D1569" t="inlineStr" s="5">
        <is>
          <t>晚餐</t>
        </is>
      </c>
      <c r="E1569" s="6"/>
      <c r="F1569" s="6"/>
      <c r="G1569" s="6">
        <f>IF(AND(E1569="",F1569=""),"",F1569-E1569)</f>
      </c>
      <c r="H1569" s="4"/>
      <c r="I1569" s="5"/>
    </row>
    <row r="1570" ht="21" customHeight="1">
      <c r="A1570" s="3">
        <v>46407</v>
      </c>
      <c r="B1570" t="inlineStr" s="4">
        <is>
          <t>星期三</t>
        </is>
      </c>
      <c r="C1570" t="inlineStr" s="4">
        <is>
          <t>奶茶/咖啡</t>
        </is>
      </c>
      <c r="D1570" t="inlineStr" s="5">
        <is>
          <t>奶茶/咖啡</t>
        </is>
      </c>
      <c r="E1570" s="6"/>
      <c r="F1570" s="6"/>
      <c r="G1570" s="6">
        <f>IF(AND(E1570="",F1570=""),"",F1570-E1570)</f>
      </c>
      <c r="H1570" s="4"/>
      <c r="I1570" s="5"/>
    </row>
    <row r="1571" ht="21" customHeight="1">
      <c r="A1571" s="3">
        <v>46407</v>
      </c>
      <c r="B1571" t="inlineStr" s="4">
        <is>
          <t>星期三</t>
        </is>
      </c>
      <c r="C1571" t="inlineStr" s="4">
        <is>
          <t>其他</t>
        </is>
      </c>
      <c r="D1571" t="inlineStr" s="5">
        <is>
          <t>其他</t>
        </is>
      </c>
      <c r="E1571" s="6"/>
      <c r="F1571" s="6"/>
      <c r="G1571" s="6">
        <f>IF(AND(E1571="",F1571=""),"",F1571-E1571)</f>
      </c>
      <c r="H1571" s="4"/>
      <c r="I1571" s="5"/>
    </row>
    <row r="1572" ht="21" customHeight="1">
      <c r="A1572" s="3">
        <v>46407</v>
      </c>
      <c r="B1572" t="inlineStr" s="4">
        <is>
          <t>星期三</t>
        </is>
      </c>
      <c r="C1572" t="inlineStr" s="4">
        <is>
          <t>其他</t>
        </is>
      </c>
      <c r="D1572" t="inlineStr" s="5">
        <is>
          <t>其他</t>
        </is>
      </c>
      <c r="E1572" s="6"/>
      <c r="F1572" s="6"/>
      <c r="G1572" s="6">
        <f>IF(AND(E1572="",F1572=""),"",F1572-E1572)</f>
      </c>
      <c r="H1572" s="4"/>
      <c r="I1572" s="5"/>
    </row>
    <row r="1573" ht="21" customHeight="1">
      <c r="A1573" s="3">
        <v>46408</v>
      </c>
      <c r="B1573" t="inlineStr" s="4">
        <is>
          <t>星期四</t>
        </is>
      </c>
      <c r="C1573" t="inlineStr" s="4">
        <is>
          <t>餐饮</t>
        </is>
      </c>
      <c r="D1573" t="inlineStr" s="5">
        <is>
          <t>早餐</t>
        </is>
      </c>
      <c r="E1573" s="6"/>
      <c r="F1573" s="6"/>
      <c r="G1573" s="6">
        <f>IF(AND(E1573="",F1573=""),"",F1573-E1573)</f>
      </c>
      <c r="H1573" s="4"/>
      <c r="I1573" s="5"/>
    </row>
    <row r="1574" ht="21" customHeight="1">
      <c r="A1574" s="3">
        <v>46408</v>
      </c>
      <c r="B1574" t="inlineStr" s="4">
        <is>
          <t>星期四</t>
        </is>
      </c>
      <c r="C1574" t="inlineStr" s="4">
        <is>
          <t>餐饮</t>
        </is>
      </c>
      <c r="D1574" t="inlineStr" s="5">
        <is>
          <t>中餐</t>
        </is>
      </c>
      <c r="E1574" s="6"/>
      <c r="F1574" s="6"/>
      <c r="G1574" s="6">
        <f>IF(AND(E1574="",F1574=""),"",F1574-E1574)</f>
      </c>
      <c r="H1574" s="4"/>
      <c r="I1574" s="5"/>
    </row>
    <row r="1575" ht="21" customHeight="1">
      <c r="A1575" s="3">
        <v>46408</v>
      </c>
      <c r="B1575" t="inlineStr" s="4">
        <is>
          <t>星期四</t>
        </is>
      </c>
      <c r="C1575" t="inlineStr" s="4">
        <is>
          <t>餐饮</t>
        </is>
      </c>
      <c r="D1575" t="inlineStr" s="5">
        <is>
          <t>晚餐</t>
        </is>
      </c>
      <c r="E1575" s="6"/>
      <c r="F1575" s="6"/>
      <c r="G1575" s="6">
        <f>IF(AND(E1575="",F1575=""),"",F1575-E1575)</f>
      </c>
      <c r="H1575" s="4"/>
      <c r="I1575" s="5"/>
    </row>
    <row r="1576" ht="21" customHeight="1">
      <c r="A1576" s="3">
        <v>46408</v>
      </c>
      <c r="B1576" t="inlineStr" s="4">
        <is>
          <t>星期四</t>
        </is>
      </c>
      <c r="C1576" t="inlineStr" s="4">
        <is>
          <t>奶茶/咖啡</t>
        </is>
      </c>
      <c r="D1576" t="inlineStr" s="5">
        <is>
          <t>奶茶/咖啡</t>
        </is>
      </c>
      <c r="E1576" s="6"/>
      <c r="F1576" s="6"/>
      <c r="G1576" s="6">
        <f>IF(AND(E1576="",F1576=""),"",F1576-E1576)</f>
      </c>
      <c r="H1576" s="4"/>
      <c r="I1576" s="5"/>
    </row>
    <row r="1577" ht="21" customHeight="1">
      <c r="A1577" s="3">
        <v>46408</v>
      </c>
      <c r="B1577" t="inlineStr" s="4">
        <is>
          <t>星期四</t>
        </is>
      </c>
      <c r="C1577" t="inlineStr" s="4">
        <is>
          <t>其他</t>
        </is>
      </c>
      <c r="D1577" t="inlineStr" s="5">
        <is>
          <t>其他</t>
        </is>
      </c>
      <c r="E1577" s="6"/>
      <c r="F1577" s="6"/>
      <c r="G1577" s="6">
        <f>IF(AND(E1577="",F1577=""),"",F1577-E1577)</f>
      </c>
      <c r="H1577" s="4"/>
      <c r="I1577" s="5"/>
    </row>
    <row r="1578" ht="21" customHeight="1">
      <c r="A1578" s="3">
        <v>46408</v>
      </c>
      <c r="B1578" t="inlineStr" s="4">
        <is>
          <t>星期四</t>
        </is>
      </c>
      <c r="C1578" t="inlineStr" s="4">
        <is>
          <t>其他</t>
        </is>
      </c>
      <c r="D1578" t="inlineStr" s="5">
        <is>
          <t>其他</t>
        </is>
      </c>
      <c r="E1578" s="6"/>
      <c r="F1578" s="6"/>
      <c r="G1578" s="6">
        <f>IF(AND(E1578="",F1578=""),"",F1578-E1578)</f>
      </c>
      <c r="H1578" s="4"/>
      <c r="I1578" s="5"/>
    </row>
    <row r="1579" ht="21" customHeight="1">
      <c r="A1579" s="3">
        <v>46409</v>
      </c>
      <c r="B1579" t="inlineStr" s="4">
        <is>
          <t>星期五</t>
        </is>
      </c>
      <c r="C1579" t="inlineStr" s="4">
        <is>
          <t>餐饮</t>
        </is>
      </c>
      <c r="D1579" t="inlineStr" s="5">
        <is>
          <t>早餐</t>
        </is>
      </c>
      <c r="E1579" s="6"/>
      <c r="F1579" s="6"/>
      <c r="G1579" s="6">
        <f>IF(AND(E1579="",F1579=""),"",F1579-E1579)</f>
      </c>
      <c r="H1579" s="4"/>
      <c r="I1579" s="5"/>
    </row>
    <row r="1580" ht="21" customHeight="1">
      <c r="A1580" s="3">
        <v>46409</v>
      </c>
      <c r="B1580" t="inlineStr" s="4">
        <is>
          <t>星期五</t>
        </is>
      </c>
      <c r="C1580" t="inlineStr" s="4">
        <is>
          <t>餐饮</t>
        </is>
      </c>
      <c r="D1580" t="inlineStr" s="5">
        <is>
          <t>中餐</t>
        </is>
      </c>
      <c r="E1580" s="6"/>
      <c r="F1580" s="6"/>
      <c r="G1580" s="6">
        <f>IF(AND(E1580="",F1580=""),"",F1580-E1580)</f>
      </c>
      <c r="H1580" s="4"/>
      <c r="I1580" s="5"/>
    </row>
    <row r="1581" ht="21" customHeight="1">
      <c r="A1581" s="3">
        <v>46409</v>
      </c>
      <c r="B1581" t="inlineStr" s="4">
        <is>
          <t>星期五</t>
        </is>
      </c>
      <c r="C1581" t="inlineStr" s="4">
        <is>
          <t>餐饮</t>
        </is>
      </c>
      <c r="D1581" t="inlineStr" s="5">
        <is>
          <t>晚餐</t>
        </is>
      </c>
      <c r="E1581" s="6"/>
      <c r="F1581" s="6"/>
      <c r="G1581" s="6">
        <f>IF(AND(E1581="",F1581=""),"",F1581-E1581)</f>
      </c>
      <c r="H1581" s="4"/>
      <c r="I1581" s="5"/>
    </row>
    <row r="1582" ht="21" customHeight="1">
      <c r="A1582" s="3">
        <v>46409</v>
      </c>
      <c r="B1582" t="inlineStr" s="4">
        <is>
          <t>星期五</t>
        </is>
      </c>
      <c r="C1582" t="inlineStr" s="4">
        <is>
          <t>奶茶/咖啡</t>
        </is>
      </c>
      <c r="D1582" t="inlineStr" s="5">
        <is>
          <t>奶茶/咖啡</t>
        </is>
      </c>
      <c r="E1582" s="6"/>
      <c r="F1582" s="6"/>
      <c r="G1582" s="6">
        <f>IF(AND(E1582="",F1582=""),"",F1582-E1582)</f>
      </c>
      <c r="H1582" s="4"/>
      <c r="I1582" s="5"/>
    </row>
    <row r="1583" ht="21" customHeight="1">
      <c r="A1583" s="3">
        <v>46409</v>
      </c>
      <c r="B1583" t="inlineStr" s="4">
        <is>
          <t>星期五</t>
        </is>
      </c>
      <c r="C1583" t="inlineStr" s="4">
        <is>
          <t>其他</t>
        </is>
      </c>
      <c r="D1583" t="inlineStr" s="5">
        <is>
          <t>其他</t>
        </is>
      </c>
      <c r="E1583" s="6"/>
      <c r="F1583" s="6"/>
      <c r="G1583" s="6">
        <f>IF(AND(E1583="",F1583=""),"",F1583-E1583)</f>
      </c>
      <c r="H1583" s="4"/>
      <c r="I1583" s="5"/>
    </row>
    <row r="1584" ht="21" customHeight="1">
      <c r="A1584" s="3">
        <v>46409</v>
      </c>
      <c r="B1584" t="inlineStr" s="4">
        <is>
          <t>星期五</t>
        </is>
      </c>
      <c r="C1584" t="inlineStr" s="4">
        <is>
          <t>其他</t>
        </is>
      </c>
      <c r="D1584" t="inlineStr" s="5">
        <is>
          <t>其他</t>
        </is>
      </c>
      <c r="E1584" s="6"/>
      <c r="F1584" s="6"/>
      <c r="G1584" s="6">
        <f>IF(AND(E1584="",F1584=""),"",F1584-E1584)</f>
      </c>
      <c r="H1584" s="4"/>
      <c r="I1584" s="5"/>
    </row>
    <row r="1585" ht="21" customHeight="1">
      <c r="A1585" s="3">
        <v>46410</v>
      </c>
      <c r="B1585" t="inlineStr" s="4">
        <is>
          <t>星期六</t>
        </is>
      </c>
      <c r="C1585" t="inlineStr" s="4">
        <is>
          <t>餐饮</t>
        </is>
      </c>
      <c r="D1585" t="inlineStr" s="5">
        <is>
          <t>早餐</t>
        </is>
      </c>
      <c r="E1585" s="6"/>
      <c r="F1585" s="6"/>
      <c r="G1585" s="6">
        <f>IF(AND(E1585="",F1585=""),"",F1585-E1585)</f>
      </c>
      <c r="H1585" s="4"/>
      <c r="I1585" s="5"/>
    </row>
    <row r="1586" ht="21" customHeight="1">
      <c r="A1586" s="3">
        <v>46410</v>
      </c>
      <c r="B1586" t="inlineStr" s="4">
        <is>
          <t>星期六</t>
        </is>
      </c>
      <c r="C1586" t="inlineStr" s="4">
        <is>
          <t>餐饮</t>
        </is>
      </c>
      <c r="D1586" t="inlineStr" s="5">
        <is>
          <t>中餐</t>
        </is>
      </c>
      <c r="E1586" s="6"/>
      <c r="F1586" s="6"/>
      <c r="G1586" s="6">
        <f>IF(AND(E1586="",F1586=""),"",F1586-E1586)</f>
      </c>
      <c r="H1586" s="4"/>
      <c r="I1586" s="5"/>
    </row>
    <row r="1587" ht="21" customHeight="1">
      <c r="A1587" s="3">
        <v>46410</v>
      </c>
      <c r="B1587" t="inlineStr" s="4">
        <is>
          <t>星期六</t>
        </is>
      </c>
      <c r="C1587" t="inlineStr" s="4">
        <is>
          <t>餐饮</t>
        </is>
      </c>
      <c r="D1587" t="inlineStr" s="5">
        <is>
          <t>晚餐</t>
        </is>
      </c>
      <c r="E1587" s="6"/>
      <c r="F1587" s="6"/>
      <c r="G1587" s="6">
        <f>IF(AND(E1587="",F1587=""),"",F1587-E1587)</f>
      </c>
      <c r="H1587" s="4"/>
      <c r="I1587" s="5"/>
    </row>
    <row r="1588" ht="21" customHeight="1">
      <c r="A1588" s="3">
        <v>46410</v>
      </c>
      <c r="B1588" t="inlineStr" s="4">
        <is>
          <t>星期六</t>
        </is>
      </c>
      <c r="C1588" t="inlineStr" s="4">
        <is>
          <t>奶茶/咖啡</t>
        </is>
      </c>
      <c r="D1588" t="inlineStr" s="5">
        <is>
          <t>奶茶/咖啡</t>
        </is>
      </c>
      <c r="E1588" s="6"/>
      <c r="F1588" s="6"/>
      <c r="G1588" s="6">
        <f>IF(AND(E1588="",F1588=""),"",F1588-E1588)</f>
      </c>
      <c r="H1588" s="4"/>
      <c r="I1588" s="5"/>
    </row>
    <row r="1589" ht="21" customHeight="1">
      <c r="A1589" s="3">
        <v>46410</v>
      </c>
      <c r="B1589" t="inlineStr" s="4">
        <is>
          <t>星期六</t>
        </is>
      </c>
      <c r="C1589" t="inlineStr" s="4">
        <is>
          <t>其他</t>
        </is>
      </c>
      <c r="D1589" t="inlineStr" s="5">
        <is>
          <t>其他</t>
        </is>
      </c>
      <c r="E1589" s="6"/>
      <c r="F1589" s="6"/>
      <c r="G1589" s="6">
        <f>IF(AND(E1589="",F1589=""),"",F1589-E1589)</f>
      </c>
      <c r="H1589" s="4"/>
      <c r="I1589" s="5"/>
    </row>
    <row r="1590" ht="21" customHeight="1">
      <c r="A1590" s="3">
        <v>46410</v>
      </c>
      <c r="B1590" t="inlineStr" s="4">
        <is>
          <t>星期六</t>
        </is>
      </c>
      <c r="C1590" t="inlineStr" s="4">
        <is>
          <t>其他</t>
        </is>
      </c>
      <c r="D1590" t="inlineStr" s="5">
        <is>
          <t>其他</t>
        </is>
      </c>
      <c r="E1590" s="6"/>
      <c r="F1590" s="6"/>
      <c r="G1590" s="6">
        <f>IF(AND(E1590="",F1590=""),"",F1590-E1590)</f>
      </c>
      <c r="H1590" s="4"/>
      <c r="I1590" s="5"/>
    </row>
    <row r="1591" ht="21" customHeight="1">
      <c r="A1591" s="3">
        <v>46411</v>
      </c>
      <c r="B1591" t="inlineStr" s="4">
        <is>
          <t>星期日</t>
        </is>
      </c>
      <c r="C1591" t="inlineStr" s="4">
        <is>
          <t>餐饮</t>
        </is>
      </c>
      <c r="D1591" t="inlineStr" s="5">
        <is>
          <t>早餐</t>
        </is>
      </c>
      <c r="E1591" s="6"/>
      <c r="F1591" s="6"/>
      <c r="G1591" s="6">
        <f>IF(AND(E1591="",F1591=""),"",F1591-E1591)</f>
      </c>
      <c r="H1591" s="4"/>
      <c r="I1591" s="5"/>
    </row>
    <row r="1592" ht="21" customHeight="1">
      <c r="A1592" s="3">
        <v>46411</v>
      </c>
      <c r="B1592" t="inlineStr" s="4">
        <is>
          <t>星期日</t>
        </is>
      </c>
      <c r="C1592" t="inlineStr" s="4">
        <is>
          <t>餐饮</t>
        </is>
      </c>
      <c r="D1592" t="inlineStr" s="5">
        <is>
          <t>中餐</t>
        </is>
      </c>
      <c r="E1592" s="6"/>
      <c r="F1592" s="6"/>
      <c r="G1592" s="6">
        <f>IF(AND(E1592="",F1592=""),"",F1592-E1592)</f>
      </c>
      <c r="H1592" s="4"/>
      <c r="I1592" s="5"/>
    </row>
    <row r="1593" ht="21" customHeight="1">
      <c r="A1593" s="3">
        <v>46411</v>
      </c>
      <c r="B1593" t="inlineStr" s="4">
        <is>
          <t>星期日</t>
        </is>
      </c>
      <c r="C1593" t="inlineStr" s="4">
        <is>
          <t>餐饮</t>
        </is>
      </c>
      <c r="D1593" t="inlineStr" s="5">
        <is>
          <t>晚餐</t>
        </is>
      </c>
      <c r="E1593" s="6"/>
      <c r="F1593" s="6"/>
      <c r="G1593" s="6">
        <f>IF(AND(E1593="",F1593=""),"",F1593-E1593)</f>
      </c>
      <c r="H1593" s="4"/>
      <c r="I1593" s="5"/>
    </row>
    <row r="1594" ht="21" customHeight="1">
      <c r="A1594" s="3">
        <v>46411</v>
      </c>
      <c r="B1594" t="inlineStr" s="4">
        <is>
          <t>星期日</t>
        </is>
      </c>
      <c r="C1594" t="inlineStr" s="4">
        <is>
          <t>奶茶/咖啡</t>
        </is>
      </c>
      <c r="D1594" t="inlineStr" s="5">
        <is>
          <t>奶茶/咖啡</t>
        </is>
      </c>
      <c r="E1594" s="6"/>
      <c r="F1594" s="6"/>
      <c r="G1594" s="6">
        <f>IF(AND(E1594="",F1594=""),"",F1594-E1594)</f>
      </c>
      <c r="H1594" s="4"/>
      <c r="I1594" s="5"/>
    </row>
    <row r="1595" ht="21" customHeight="1">
      <c r="A1595" s="3">
        <v>46411</v>
      </c>
      <c r="B1595" t="inlineStr" s="4">
        <is>
          <t>星期日</t>
        </is>
      </c>
      <c r="C1595" t="inlineStr" s="4">
        <is>
          <t>其他</t>
        </is>
      </c>
      <c r="D1595" t="inlineStr" s="5">
        <is>
          <t>其他</t>
        </is>
      </c>
      <c r="E1595" s="6"/>
      <c r="F1595" s="6"/>
      <c r="G1595" s="6">
        <f>IF(AND(E1595="",F1595=""),"",F1595-E1595)</f>
      </c>
      <c r="H1595" s="4"/>
      <c r="I1595" s="5"/>
    </row>
    <row r="1596" ht="21" customHeight="1">
      <c r="A1596" s="3">
        <v>46411</v>
      </c>
      <c r="B1596" t="inlineStr" s="4">
        <is>
          <t>星期日</t>
        </is>
      </c>
      <c r="C1596" t="inlineStr" s="4">
        <is>
          <t>其他</t>
        </is>
      </c>
      <c r="D1596" t="inlineStr" s="5">
        <is>
          <t>其他</t>
        </is>
      </c>
      <c r="E1596" s="6"/>
      <c r="F1596" s="6"/>
      <c r="G1596" s="6">
        <f>IF(AND(E1596="",F1596=""),"",F1596-E1596)</f>
      </c>
      <c r="H1596" s="4"/>
      <c r="I1596" s="5"/>
    </row>
    <row r="1597" ht="23" customHeight="1">
      <c r="A1597" t="inlineStr" s="7">
        <is>
          <t>本周小计</t>
        </is>
      </c>
      <c r="B1597" s="7"/>
      <c r="C1597" s="7"/>
      <c r="D1597" s="7"/>
      <c r="E1597" s="8">
        <f>SUM(E1555:E1596)</f>
      </c>
      <c r="F1597" s="8">
        <f>SUM(F1555:F1596)</f>
      </c>
      <c r="G1597" s="8">
        <f>SUM(G1555:G1596)</f>
      </c>
      <c r="H1597" s="7"/>
      <c r="I1597" s="7"/>
    </row>
    <row r="1598" ht="18" customHeight="1">
      <c r="A1598" s="9"/>
      <c r="B1598" s="9"/>
      <c r="C1598" s="9"/>
      <c r="D1598" s="9"/>
      <c r="E1598" s="9"/>
      <c r="F1598" s="9"/>
      <c r="G1598" s="9"/>
      <c r="H1598" s="9"/>
      <c r="I1598" s="9"/>
    </row>
    <row r="1599" ht="18" customHeight="1">
      <c r="A1599" s="9"/>
      <c r="B1599" s="9"/>
      <c r="C1599" s="9"/>
      <c r="D1599" s="9"/>
      <c r="E1599" s="9"/>
      <c r="F1599" s="9"/>
      <c r="G1599" s="9"/>
      <c r="H1599" s="9"/>
      <c r="I1599" s="9"/>
    </row>
    <row r="1600" ht="26" customHeight="1">
      <c r="A1600" t="inlineStr" s="2">
        <is>
          <t>2027年1月｜第四周（1月25日 - 1月31日）</t>
        </is>
      </c>
      <c r="B1600" s="2"/>
      <c r="C1600" s="2"/>
      <c r="D1600" s="2"/>
      <c r="E1600" s="2"/>
      <c r="F1600" s="2"/>
      <c r="G1600" s="2"/>
      <c r="H1600" s="2"/>
      <c r="I1600" s="2"/>
    </row>
    <row r="1601" ht="22" customHeight="1">
      <c r="A1601" t="inlineStr" s="1">
        <is>
          <t>日期</t>
        </is>
      </c>
      <c r="B1601" t="inlineStr" s="1">
        <is>
          <t>星期</t>
        </is>
      </c>
      <c r="C1601" t="inlineStr" s="1">
        <is>
          <t>分类</t>
        </is>
      </c>
      <c r="D1601" t="inlineStr" s="1">
        <is>
          <t>事项</t>
        </is>
      </c>
      <c r="E1601" t="inlineStr" s="1">
        <is>
          <t>支出金额</t>
        </is>
      </c>
      <c r="F1601" t="inlineStr" s="1">
        <is>
          <t>收入金额</t>
        </is>
      </c>
      <c r="G1601" t="inlineStr" s="1">
        <is>
          <t>当笔净额</t>
        </is>
      </c>
      <c r="H1601" t="inlineStr" s="1">
        <is>
          <t>支付方式</t>
        </is>
      </c>
      <c r="I1601" t="inlineStr" s="1">
        <is>
          <t>备注</t>
        </is>
      </c>
    </row>
    <row r="1602" ht="21" customHeight="1">
      <c r="A1602" s="3">
        <v>46412</v>
      </c>
      <c r="B1602" t="inlineStr" s="4">
        <is>
          <t>星期一</t>
        </is>
      </c>
      <c r="C1602" t="inlineStr" s="4">
        <is>
          <t>餐饮</t>
        </is>
      </c>
      <c r="D1602" t="inlineStr" s="5">
        <is>
          <t>早餐</t>
        </is>
      </c>
      <c r="E1602" s="6"/>
      <c r="F1602" s="6"/>
      <c r="G1602" s="6">
        <f>IF(AND(E1602="",F1602=""),"",F1602-E1602)</f>
      </c>
      <c r="H1602" s="4"/>
      <c r="I1602" s="5"/>
    </row>
    <row r="1603" ht="21" customHeight="1">
      <c r="A1603" s="3">
        <v>46412</v>
      </c>
      <c r="B1603" t="inlineStr" s="4">
        <is>
          <t>星期一</t>
        </is>
      </c>
      <c r="C1603" t="inlineStr" s="4">
        <is>
          <t>餐饮</t>
        </is>
      </c>
      <c r="D1603" t="inlineStr" s="5">
        <is>
          <t>中餐</t>
        </is>
      </c>
      <c r="E1603" s="6"/>
      <c r="F1603" s="6"/>
      <c r="G1603" s="6">
        <f>IF(AND(E1603="",F1603=""),"",F1603-E1603)</f>
      </c>
      <c r="H1603" s="4"/>
      <c r="I1603" s="5"/>
    </row>
    <row r="1604" ht="21" customHeight="1">
      <c r="A1604" s="3">
        <v>46412</v>
      </c>
      <c r="B1604" t="inlineStr" s="4">
        <is>
          <t>星期一</t>
        </is>
      </c>
      <c r="C1604" t="inlineStr" s="4">
        <is>
          <t>餐饮</t>
        </is>
      </c>
      <c r="D1604" t="inlineStr" s="5">
        <is>
          <t>晚餐</t>
        </is>
      </c>
      <c r="E1604" s="6"/>
      <c r="F1604" s="6"/>
      <c r="G1604" s="6">
        <f>IF(AND(E1604="",F1604=""),"",F1604-E1604)</f>
      </c>
      <c r="H1604" s="4"/>
      <c r="I1604" s="5"/>
    </row>
    <row r="1605" ht="21" customHeight="1">
      <c r="A1605" s="3">
        <v>46412</v>
      </c>
      <c r="B1605" t="inlineStr" s="4">
        <is>
          <t>星期一</t>
        </is>
      </c>
      <c r="C1605" t="inlineStr" s="4">
        <is>
          <t>奶茶/咖啡</t>
        </is>
      </c>
      <c r="D1605" t="inlineStr" s="5">
        <is>
          <t>奶茶/咖啡</t>
        </is>
      </c>
      <c r="E1605" s="6"/>
      <c r="F1605" s="6"/>
      <c r="G1605" s="6">
        <f>IF(AND(E1605="",F1605=""),"",F1605-E1605)</f>
      </c>
      <c r="H1605" s="4"/>
      <c r="I1605" s="5"/>
    </row>
    <row r="1606" ht="21" customHeight="1">
      <c r="A1606" s="3">
        <v>46412</v>
      </c>
      <c r="B1606" t="inlineStr" s="4">
        <is>
          <t>星期一</t>
        </is>
      </c>
      <c r="C1606" t="inlineStr" s="4">
        <is>
          <t>其他</t>
        </is>
      </c>
      <c r="D1606" t="inlineStr" s="5">
        <is>
          <t>其他</t>
        </is>
      </c>
      <c r="E1606" s="6"/>
      <c r="F1606" s="6"/>
      <c r="G1606" s="6">
        <f>IF(AND(E1606="",F1606=""),"",F1606-E1606)</f>
      </c>
      <c r="H1606" s="4"/>
      <c r="I1606" s="5"/>
    </row>
    <row r="1607" ht="21" customHeight="1">
      <c r="A1607" s="3">
        <v>46412</v>
      </c>
      <c r="B1607" t="inlineStr" s="4">
        <is>
          <t>星期一</t>
        </is>
      </c>
      <c r="C1607" t="inlineStr" s="4">
        <is>
          <t>其他</t>
        </is>
      </c>
      <c r="D1607" t="inlineStr" s="5">
        <is>
          <t>其他</t>
        </is>
      </c>
      <c r="E1607" s="6"/>
      <c r="F1607" s="6"/>
      <c r="G1607" s="6">
        <f>IF(AND(E1607="",F1607=""),"",F1607-E1607)</f>
      </c>
      <c r="H1607" s="4"/>
      <c r="I1607" s="5"/>
    </row>
    <row r="1608" ht="21" customHeight="1">
      <c r="A1608" s="3">
        <v>46413</v>
      </c>
      <c r="B1608" t="inlineStr" s="4">
        <is>
          <t>星期二</t>
        </is>
      </c>
      <c r="C1608" t="inlineStr" s="4">
        <is>
          <t>餐饮</t>
        </is>
      </c>
      <c r="D1608" t="inlineStr" s="5">
        <is>
          <t>早餐</t>
        </is>
      </c>
      <c r="E1608" s="6"/>
      <c r="F1608" s="6"/>
      <c r="G1608" s="6">
        <f>IF(AND(E1608="",F1608=""),"",F1608-E1608)</f>
      </c>
      <c r="H1608" s="4"/>
      <c r="I1608" s="5"/>
    </row>
    <row r="1609" ht="21" customHeight="1">
      <c r="A1609" s="3">
        <v>46413</v>
      </c>
      <c r="B1609" t="inlineStr" s="4">
        <is>
          <t>星期二</t>
        </is>
      </c>
      <c r="C1609" t="inlineStr" s="4">
        <is>
          <t>餐饮</t>
        </is>
      </c>
      <c r="D1609" t="inlineStr" s="5">
        <is>
          <t>中餐</t>
        </is>
      </c>
      <c r="E1609" s="6"/>
      <c r="F1609" s="6"/>
      <c r="G1609" s="6">
        <f>IF(AND(E1609="",F1609=""),"",F1609-E1609)</f>
      </c>
      <c r="H1609" s="4"/>
      <c r="I1609" s="5"/>
    </row>
    <row r="1610" ht="21" customHeight="1">
      <c r="A1610" s="3">
        <v>46413</v>
      </c>
      <c r="B1610" t="inlineStr" s="4">
        <is>
          <t>星期二</t>
        </is>
      </c>
      <c r="C1610" t="inlineStr" s="4">
        <is>
          <t>餐饮</t>
        </is>
      </c>
      <c r="D1610" t="inlineStr" s="5">
        <is>
          <t>晚餐</t>
        </is>
      </c>
      <c r="E1610" s="6"/>
      <c r="F1610" s="6"/>
      <c r="G1610" s="6">
        <f>IF(AND(E1610="",F1610=""),"",F1610-E1610)</f>
      </c>
      <c r="H1610" s="4"/>
      <c r="I1610" s="5"/>
    </row>
    <row r="1611" ht="21" customHeight="1">
      <c r="A1611" s="3">
        <v>46413</v>
      </c>
      <c r="B1611" t="inlineStr" s="4">
        <is>
          <t>星期二</t>
        </is>
      </c>
      <c r="C1611" t="inlineStr" s="4">
        <is>
          <t>奶茶/咖啡</t>
        </is>
      </c>
      <c r="D1611" t="inlineStr" s="5">
        <is>
          <t>奶茶/咖啡</t>
        </is>
      </c>
      <c r="E1611" s="6"/>
      <c r="F1611" s="6"/>
      <c r="G1611" s="6">
        <f>IF(AND(E1611="",F1611=""),"",F1611-E1611)</f>
      </c>
      <c r="H1611" s="4"/>
      <c r="I1611" s="5"/>
    </row>
    <row r="1612" ht="21" customHeight="1">
      <c r="A1612" s="3">
        <v>46413</v>
      </c>
      <c r="B1612" t="inlineStr" s="4">
        <is>
          <t>星期二</t>
        </is>
      </c>
      <c r="C1612" t="inlineStr" s="4">
        <is>
          <t>其他</t>
        </is>
      </c>
      <c r="D1612" t="inlineStr" s="5">
        <is>
          <t>其他</t>
        </is>
      </c>
      <c r="E1612" s="6"/>
      <c r="F1612" s="6"/>
      <c r="G1612" s="6">
        <f>IF(AND(E1612="",F1612=""),"",F1612-E1612)</f>
      </c>
      <c r="H1612" s="4"/>
      <c r="I1612" s="5"/>
    </row>
    <row r="1613" ht="21" customHeight="1">
      <c r="A1613" s="3">
        <v>46413</v>
      </c>
      <c r="B1613" t="inlineStr" s="4">
        <is>
          <t>星期二</t>
        </is>
      </c>
      <c r="C1613" t="inlineStr" s="4">
        <is>
          <t>其他</t>
        </is>
      </c>
      <c r="D1613" t="inlineStr" s="5">
        <is>
          <t>其他</t>
        </is>
      </c>
      <c r="E1613" s="6"/>
      <c r="F1613" s="6"/>
      <c r="G1613" s="6">
        <f>IF(AND(E1613="",F1613=""),"",F1613-E1613)</f>
      </c>
      <c r="H1613" s="4"/>
      <c r="I1613" s="5"/>
    </row>
    <row r="1614" ht="21" customHeight="1">
      <c r="A1614" s="3">
        <v>46414</v>
      </c>
      <c r="B1614" t="inlineStr" s="4">
        <is>
          <t>星期三</t>
        </is>
      </c>
      <c r="C1614" t="inlineStr" s="4">
        <is>
          <t>餐饮</t>
        </is>
      </c>
      <c r="D1614" t="inlineStr" s="5">
        <is>
          <t>早餐</t>
        </is>
      </c>
      <c r="E1614" s="6"/>
      <c r="F1614" s="6"/>
      <c r="G1614" s="6">
        <f>IF(AND(E1614="",F1614=""),"",F1614-E1614)</f>
      </c>
      <c r="H1614" s="4"/>
      <c r="I1614" s="5"/>
    </row>
    <row r="1615" ht="21" customHeight="1">
      <c r="A1615" s="3">
        <v>46414</v>
      </c>
      <c r="B1615" t="inlineStr" s="4">
        <is>
          <t>星期三</t>
        </is>
      </c>
      <c r="C1615" t="inlineStr" s="4">
        <is>
          <t>餐饮</t>
        </is>
      </c>
      <c r="D1615" t="inlineStr" s="5">
        <is>
          <t>中餐</t>
        </is>
      </c>
      <c r="E1615" s="6"/>
      <c r="F1615" s="6"/>
      <c r="G1615" s="6">
        <f>IF(AND(E1615="",F1615=""),"",F1615-E1615)</f>
      </c>
      <c r="H1615" s="4"/>
      <c r="I1615" s="5"/>
    </row>
    <row r="1616" ht="21" customHeight="1">
      <c r="A1616" s="3">
        <v>46414</v>
      </c>
      <c r="B1616" t="inlineStr" s="4">
        <is>
          <t>星期三</t>
        </is>
      </c>
      <c r="C1616" t="inlineStr" s="4">
        <is>
          <t>餐饮</t>
        </is>
      </c>
      <c r="D1616" t="inlineStr" s="5">
        <is>
          <t>晚餐</t>
        </is>
      </c>
      <c r="E1616" s="6"/>
      <c r="F1616" s="6"/>
      <c r="G1616" s="6">
        <f>IF(AND(E1616="",F1616=""),"",F1616-E1616)</f>
      </c>
      <c r="H1616" s="4"/>
      <c r="I1616" s="5"/>
    </row>
    <row r="1617" ht="21" customHeight="1">
      <c r="A1617" s="3">
        <v>46414</v>
      </c>
      <c r="B1617" t="inlineStr" s="4">
        <is>
          <t>星期三</t>
        </is>
      </c>
      <c r="C1617" t="inlineStr" s="4">
        <is>
          <t>奶茶/咖啡</t>
        </is>
      </c>
      <c r="D1617" t="inlineStr" s="5">
        <is>
          <t>奶茶/咖啡</t>
        </is>
      </c>
      <c r="E1617" s="6"/>
      <c r="F1617" s="6"/>
      <c r="G1617" s="6">
        <f>IF(AND(E1617="",F1617=""),"",F1617-E1617)</f>
      </c>
      <c r="H1617" s="4"/>
      <c r="I1617" s="5"/>
    </row>
    <row r="1618" ht="21" customHeight="1">
      <c r="A1618" s="3">
        <v>46414</v>
      </c>
      <c r="B1618" t="inlineStr" s="4">
        <is>
          <t>星期三</t>
        </is>
      </c>
      <c r="C1618" t="inlineStr" s="4">
        <is>
          <t>其他</t>
        </is>
      </c>
      <c r="D1618" t="inlineStr" s="5">
        <is>
          <t>其他</t>
        </is>
      </c>
      <c r="E1618" s="6"/>
      <c r="F1618" s="6"/>
      <c r="G1618" s="6">
        <f>IF(AND(E1618="",F1618=""),"",F1618-E1618)</f>
      </c>
      <c r="H1618" s="4"/>
      <c r="I1618" s="5"/>
    </row>
    <row r="1619" ht="21" customHeight="1">
      <c r="A1619" s="3">
        <v>46414</v>
      </c>
      <c r="B1619" t="inlineStr" s="4">
        <is>
          <t>星期三</t>
        </is>
      </c>
      <c r="C1619" t="inlineStr" s="4">
        <is>
          <t>其他</t>
        </is>
      </c>
      <c r="D1619" t="inlineStr" s="5">
        <is>
          <t>其他</t>
        </is>
      </c>
      <c r="E1619" s="6"/>
      <c r="F1619" s="6"/>
      <c r="G1619" s="6">
        <f>IF(AND(E1619="",F1619=""),"",F1619-E1619)</f>
      </c>
      <c r="H1619" s="4"/>
      <c r="I1619" s="5"/>
    </row>
    <row r="1620" ht="21" customHeight="1">
      <c r="A1620" s="3">
        <v>46415</v>
      </c>
      <c r="B1620" t="inlineStr" s="4">
        <is>
          <t>星期四</t>
        </is>
      </c>
      <c r="C1620" t="inlineStr" s="4">
        <is>
          <t>餐饮</t>
        </is>
      </c>
      <c r="D1620" t="inlineStr" s="5">
        <is>
          <t>早餐</t>
        </is>
      </c>
      <c r="E1620" s="6"/>
      <c r="F1620" s="6"/>
      <c r="G1620" s="6">
        <f>IF(AND(E1620="",F1620=""),"",F1620-E1620)</f>
      </c>
      <c r="H1620" s="4"/>
      <c r="I1620" s="5"/>
    </row>
    <row r="1621" ht="21" customHeight="1">
      <c r="A1621" s="3">
        <v>46415</v>
      </c>
      <c r="B1621" t="inlineStr" s="4">
        <is>
          <t>星期四</t>
        </is>
      </c>
      <c r="C1621" t="inlineStr" s="4">
        <is>
          <t>餐饮</t>
        </is>
      </c>
      <c r="D1621" t="inlineStr" s="5">
        <is>
          <t>中餐</t>
        </is>
      </c>
      <c r="E1621" s="6"/>
      <c r="F1621" s="6"/>
      <c r="G1621" s="6">
        <f>IF(AND(E1621="",F1621=""),"",F1621-E1621)</f>
      </c>
      <c r="H1621" s="4"/>
      <c r="I1621" s="5"/>
    </row>
    <row r="1622" ht="21" customHeight="1">
      <c r="A1622" s="3">
        <v>46415</v>
      </c>
      <c r="B1622" t="inlineStr" s="4">
        <is>
          <t>星期四</t>
        </is>
      </c>
      <c r="C1622" t="inlineStr" s="4">
        <is>
          <t>餐饮</t>
        </is>
      </c>
      <c r="D1622" t="inlineStr" s="5">
        <is>
          <t>晚餐</t>
        </is>
      </c>
      <c r="E1622" s="6"/>
      <c r="F1622" s="6"/>
      <c r="G1622" s="6">
        <f>IF(AND(E1622="",F1622=""),"",F1622-E1622)</f>
      </c>
      <c r="H1622" s="4"/>
      <c r="I1622" s="5"/>
    </row>
    <row r="1623" ht="21" customHeight="1">
      <c r="A1623" s="3">
        <v>46415</v>
      </c>
      <c r="B1623" t="inlineStr" s="4">
        <is>
          <t>星期四</t>
        </is>
      </c>
      <c r="C1623" t="inlineStr" s="4">
        <is>
          <t>奶茶/咖啡</t>
        </is>
      </c>
      <c r="D1623" t="inlineStr" s="5">
        <is>
          <t>奶茶/咖啡</t>
        </is>
      </c>
      <c r="E1623" s="6"/>
      <c r="F1623" s="6"/>
      <c r="G1623" s="6">
        <f>IF(AND(E1623="",F1623=""),"",F1623-E1623)</f>
      </c>
      <c r="H1623" s="4"/>
      <c r="I1623" s="5"/>
    </row>
    <row r="1624" ht="21" customHeight="1">
      <c r="A1624" s="3">
        <v>46415</v>
      </c>
      <c r="B1624" t="inlineStr" s="4">
        <is>
          <t>星期四</t>
        </is>
      </c>
      <c r="C1624" t="inlineStr" s="4">
        <is>
          <t>其他</t>
        </is>
      </c>
      <c r="D1624" t="inlineStr" s="5">
        <is>
          <t>其他</t>
        </is>
      </c>
      <c r="E1624" s="6"/>
      <c r="F1624" s="6"/>
      <c r="G1624" s="6">
        <f>IF(AND(E1624="",F1624=""),"",F1624-E1624)</f>
      </c>
      <c r="H1624" s="4"/>
      <c r="I1624" s="5"/>
    </row>
    <row r="1625" ht="21" customHeight="1">
      <c r="A1625" s="3">
        <v>46415</v>
      </c>
      <c r="B1625" t="inlineStr" s="4">
        <is>
          <t>星期四</t>
        </is>
      </c>
      <c r="C1625" t="inlineStr" s="4">
        <is>
          <t>其他</t>
        </is>
      </c>
      <c r="D1625" t="inlineStr" s="5">
        <is>
          <t>其他</t>
        </is>
      </c>
      <c r="E1625" s="6"/>
      <c r="F1625" s="6"/>
      <c r="G1625" s="6">
        <f>IF(AND(E1625="",F1625=""),"",F1625-E1625)</f>
      </c>
      <c r="H1625" s="4"/>
      <c r="I1625" s="5"/>
    </row>
    <row r="1626" ht="21" customHeight="1">
      <c r="A1626" s="3">
        <v>46416</v>
      </c>
      <c r="B1626" t="inlineStr" s="4">
        <is>
          <t>星期五</t>
        </is>
      </c>
      <c r="C1626" t="inlineStr" s="4">
        <is>
          <t>餐饮</t>
        </is>
      </c>
      <c r="D1626" t="inlineStr" s="5">
        <is>
          <t>早餐</t>
        </is>
      </c>
      <c r="E1626" s="6"/>
      <c r="F1626" s="6"/>
      <c r="G1626" s="6">
        <f>IF(AND(E1626="",F1626=""),"",F1626-E1626)</f>
      </c>
      <c r="H1626" s="4"/>
      <c r="I1626" s="5"/>
    </row>
    <row r="1627" ht="21" customHeight="1">
      <c r="A1627" s="3">
        <v>46416</v>
      </c>
      <c r="B1627" t="inlineStr" s="4">
        <is>
          <t>星期五</t>
        </is>
      </c>
      <c r="C1627" t="inlineStr" s="4">
        <is>
          <t>餐饮</t>
        </is>
      </c>
      <c r="D1627" t="inlineStr" s="5">
        <is>
          <t>中餐</t>
        </is>
      </c>
      <c r="E1627" s="6"/>
      <c r="F1627" s="6"/>
      <c r="G1627" s="6">
        <f>IF(AND(E1627="",F1627=""),"",F1627-E1627)</f>
      </c>
      <c r="H1627" s="4"/>
      <c r="I1627" s="5"/>
    </row>
    <row r="1628" ht="21" customHeight="1">
      <c r="A1628" s="3">
        <v>46416</v>
      </c>
      <c r="B1628" t="inlineStr" s="4">
        <is>
          <t>星期五</t>
        </is>
      </c>
      <c r="C1628" t="inlineStr" s="4">
        <is>
          <t>餐饮</t>
        </is>
      </c>
      <c r="D1628" t="inlineStr" s="5">
        <is>
          <t>晚餐</t>
        </is>
      </c>
      <c r="E1628" s="6"/>
      <c r="F1628" s="6"/>
      <c r="G1628" s="6">
        <f>IF(AND(E1628="",F1628=""),"",F1628-E1628)</f>
      </c>
      <c r="H1628" s="4"/>
      <c r="I1628" s="5"/>
    </row>
    <row r="1629" ht="21" customHeight="1">
      <c r="A1629" s="3">
        <v>46416</v>
      </c>
      <c r="B1629" t="inlineStr" s="4">
        <is>
          <t>星期五</t>
        </is>
      </c>
      <c r="C1629" t="inlineStr" s="4">
        <is>
          <t>奶茶/咖啡</t>
        </is>
      </c>
      <c r="D1629" t="inlineStr" s="5">
        <is>
          <t>奶茶/咖啡</t>
        </is>
      </c>
      <c r="E1629" s="6"/>
      <c r="F1629" s="6"/>
      <c r="G1629" s="6">
        <f>IF(AND(E1629="",F1629=""),"",F1629-E1629)</f>
      </c>
      <c r="H1629" s="4"/>
      <c r="I1629" s="5"/>
    </row>
    <row r="1630" ht="21" customHeight="1">
      <c r="A1630" s="3">
        <v>46416</v>
      </c>
      <c r="B1630" t="inlineStr" s="4">
        <is>
          <t>星期五</t>
        </is>
      </c>
      <c r="C1630" t="inlineStr" s="4">
        <is>
          <t>其他</t>
        </is>
      </c>
      <c r="D1630" t="inlineStr" s="5">
        <is>
          <t>其他</t>
        </is>
      </c>
      <c r="E1630" s="6"/>
      <c r="F1630" s="6"/>
      <c r="G1630" s="6">
        <f>IF(AND(E1630="",F1630=""),"",F1630-E1630)</f>
      </c>
      <c r="H1630" s="4"/>
      <c r="I1630" s="5"/>
    </row>
    <row r="1631" ht="21" customHeight="1">
      <c r="A1631" s="3">
        <v>46416</v>
      </c>
      <c r="B1631" t="inlineStr" s="4">
        <is>
          <t>星期五</t>
        </is>
      </c>
      <c r="C1631" t="inlineStr" s="4">
        <is>
          <t>其他</t>
        </is>
      </c>
      <c r="D1631" t="inlineStr" s="5">
        <is>
          <t>其他</t>
        </is>
      </c>
      <c r="E1631" s="6"/>
      <c r="F1631" s="6"/>
      <c r="G1631" s="6">
        <f>IF(AND(E1631="",F1631=""),"",F1631-E1631)</f>
      </c>
      <c r="H1631" s="4"/>
      <c r="I1631" s="5"/>
    </row>
    <row r="1632" ht="21" customHeight="1">
      <c r="A1632" s="3">
        <v>46417</v>
      </c>
      <c r="B1632" t="inlineStr" s="4">
        <is>
          <t>星期六</t>
        </is>
      </c>
      <c r="C1632" t="inlineStr" s="4">
        <is>
          <t>餐饮</t>
        </is>
      </c>
      <c r="D1632" t="inlineStr" s="5">
        <is>
          <t>早餐</t>
        </is>
      </c>
      <c r="E1632" s="6"/>
      <c r="F1632" s="6"/>
      <c r="G1632" s="6">
        <f>IF(AND(E1632="",F1632=""),"",F1632-E1632)</f>
      </c>
      <c r="H1632" s="4"/>
      <c r="I1632" s="5"/>
    </row>
    <row r="1633" ht="21" customHeight="1">
      <c r="A1633" s="3">
        <v>46417</v>
      </c>
      <c r="B1633" t="inlineStr" s="4">
        <is>
          <t>星期六</t>
        </is>
      </c>
      <c r="C1633" t="inlineStr" s="4">
        <is>
          <t>餐饮</t>
        </is>
      </c>
      <c r="D1633" t="inlineStr" s="5">
        <is>
          <t>中餐</t>
        </is>
      </c>
      <c r="E1633" s="6"/>
      <c r="F1633" s="6"/>
      <c r="G1633" s="6">
        <f>IF(AND(E1633="",F1633=""),"",F1633-E1633)</f>
      </c>
      <c r="H1633" s="4"/>
      <c r="I1633" s="5"/>
    </row>
    <row r="1634" ht="21" customHeight="1">
      <c r="A1634" s="3">
        <v>46417</v>
      </c>
      <c r="B1634" t="inlineStr" s="4">
        <is>
          <t>星期六</t>
        </is>
      </c>
      <c r="C1634" t="inlineStr" s="4">
        <is>
          <t>餐饮</t>
        </is>
      </c>
      <c r="D1634" t="inlineStr" s="5">
        <is>
          <t>晚餐</t>
        </is>
      </c>
      <c r="E1634" s="6"/>
      <c r="F1634" s="6"/>
      <c r="G1634" s="6">
        <f>IF(AND(E1634="",F1634=""),"",F1634-E1634)</f>
      </c>
      <c r="H1634" s="4"/>
      <c r="I1634" s="5"/>
    </row>
    <row r="1635" ht="21" customHeight="1">
      <c r="A1635" s="3">
        <v>46417</v>
      </c>
      <c r="B1635" t="inlineStr" s="4">
        <is>
          <t>星期六</t>
        </is>
      </c>
      <c r="C1635" t="inlineStr" s="4">
        <is>
          <t>奶茶/咖啡</t>
        </is>
      </c>
      <c r="D1635" t="inlineStr" s="5">
        <is>
          <t>奶茶/咖啡</t>
        </is>
      </c>
      <c r="E1635" s="6"/>
      <c r="F1635" s="6"/>
      <c r="G1635" s="6">
        <f>IF(AND(E1635="",F1635=""),"",F1635-E1635)</f>
      </c>
      <c r="H1635" s="4"/>
      <c r="I1635" s="5"/>
    </row>
    <row r="1636" ht="21" customHeight="1">
      <c r="A1636" s="3">
        <v>46417</v>
      </c>
      <c r="B1636" t="inlineStr" s="4">
        <is>
          <t>星期六</t>
        </is>
      </c>
      <c r="C1636" t="inlineStr" s="4">
        <is>
          <t>其他</t>
        </is>
      </c>
      <c r="D1636" t="inlineStr" s="5">
        <is>
          <t>其他</t>
        </is>
      </c>
      <c r="E1636" s="6"/>
      <c r="F1636" s="6"/>
      <c r="G1636" s="6">
        <f>IF(AND(E1636="",F1636=""),"",F1636-E1636)</f>
      </c>
      <c r="H1636" s="4"/>
      <c r="I1636" s="5"/>
    </row>
    <row r="1637" ht="21" customHeight="1">
      <c r="A1637" s="3">
        <v>46417</v>
      </c>
      <c r="B1637" t="inlineStr" s="4">
        <is>
          <t>星期六</t>
        </is>
      </c>
      <c r="C1637" t="inlineStr" s="4">
        <is>
          <t>其他</t>
        </is>
      </c>
      <c r="D1637" t="inlineStr" s="5">
        <is>
          <t>其他</t>
        </is>
      </c>
      <c r="E1637" s="6"/>
      <c r="F1637" s="6"/>
      <c r="G1637" s="6">
        <f>IF(AND(E1637="",F1637=""),"",F1637-E1637)</f>
      </c>
      <c r="H1637" s="4"/>
      <c r="I1637" s="5"/>
    </row>
    <row r="1638" ht="21" customHeight="1">
      <c r="A1638" s="3">
        <v>46418</v>
      </c>
      <c r="B1638" t="inlineStr" s="4">
        <is>
          <t>星期日</t>
        </is>
      </c>
      <c r="C1638" t="inlineStr" s="4">
        <is>
          <t>餐饮</t>
        </is>
      </c>
      <c r="D1638" t="inlineStr" s="5">
        <is>
          <t>早餐</t>
        </is>
      </c>
      <c r="E1638" s="6"/>
      <c r="F1638" s="6"/>
      <c r="G1638" s="6">
        <f>IF(AND(E1638="",F1638=""),"",F1638-E1638)</f>
      </c>
      <c r="H1638" s="4"/>
      <c r="I1638" s="5"/>
    </row>
    <row r="1639" ht="21" customHeight="1">
      <c r="A1639" s="3">
        <v>46418</v>
      </c>
      <c r="B1639" t="inlineStr" s="4">
        <is>
          <t>星期日</t>
        </is>
      </c>
      <c r="C1639" t="inlineStr" s="4">
        <is>
          <t>餐饮</t>
        </is>
      </c>
      <c r="D1639" t="inlineStr" s="5">
        <is>
          <t>中餐</t>
        </is>
      </c>
      <c r="E1639" s="6"/>
      <c r="F1639" s="6"/>
      <c r="G1639" s="6">
        <f>IF(AND(E1639="",F1639=""),"",F1639-E1639)</f>
      </c>
      <c r="H1639" s="4"/>
      <c r="I1639" s="5"/>
    </row>
    <row r="1640" ht="21" customHeight="1">
      <c r="A1640" s="3">
        <v>46418</v>
      </c>
      <c r="B1640" t="inlineStr" s="4">
        <is>
          <t>星期日</t>
        </is>
      </c>
      <c r="C1640" t="inlineStr" s="4">
        <is>
          <t>餐饮</t>
        </is>
      </c>
      <c r="D1640" t="inlineStr" s="5">
        <is>
          <t>晚餐</t>
        </is>
      </c>
      <c r="E1640" s="6"/>
      <c r="F1640" s="6"/>
      <c r="G1640" s="6">
        <f>IF(AND(E1640="",F1640=""),"",F1640-E1640)</f>
      </c>
      <c r="H1640" s="4"/>
      <c r="I1640" s="5"/>
    </row>
    <row r="1641" ht="21" customHeight="1">
      <c r="A1641" s="3">
        <v>46418</v>
      </c>
      <c r="B1641" t="inlineStr" s="4">
        <is>
          <t>星期日</t>
        </is>
      </c>
      <c r="C1641" t="inlineStr" s="4">
        <is>
          <t>奶茶/咖啡</t>
        </is>
      </c>
      <c r="D1641" t="inlineStr" s="5">
        <is>
          <t>奶茶/咖啡</t>
        </is>
      </c>
      <c r="E1641" s="6"/>
      <c r="F1641" s="6"/>
      <c r="G1641" s="6">
        <f>IF(AND(E1641="",F1641=""),"",F1641-E1641)</f>
      </c>
      <c r="H1641" s="4"/>
      <c r="I1641" s="5"/>
    </row>
    <row r="1642" ht="21" customHeight="1">
      <c r="A1642" s="3">
        <v>46418</v>
      </c>
      <c r="B1642" t="inlineStr" s="4">
        <is>
          <t>星期日</t>
        </is>
      </c>
      <c r="C1642" t="inlineStr" s="4">
        <is>
          <t>其他</t>
        </is>
      </c>
      <c r="D1642" t="inlineStr" s="5">
        <is>
          <t>其他</t>
        </is>
      </c>
      <c r="E1642" s="6"/>
      <c r="F1642" s="6"/>
      <c r="G1642" s="6">
        <f>IF(AND(E1642="",F1642=""),"",F1642-E1642)</f>
      </c>
      <c r="H1642" s="4"/>
      <c r="I1642" s="5"/>
    </row>
    <row r="1643" ht="21" customHeight="1">
      <c r="A1643" s="3">
        <v>46418</v>
      </c>
      <c r="B1643" t="inlineStr" s="4">
        <is>
          <t>星期日</t>
        </is>
      </c>
      <c r="C1643" t="inlineStr" s="4">
        <is>
          <t>其他</t>
        </is>
      </c>
      <c r="D1643" t="inlineStr" s="5">
        <is>
          <t>其他</t>
        </is>
      </c>
      <c r="E1643" s="6"/>
      <c r="F1643" s="6"/>
      <c r="G1643" s="6">
        <f>IF(AND(E1643="",F1643=""),"",F1643-E1643)</f>
      </c>
      <c r="H1643" s="4"/>
      <c r="I1643" s="5"/>
    </row>
    <row r="1644" ht="23" customHeight="1">
      <c r="A1644" t="inlineStr" s="7">
        <is>
          <t>本周小计</t>
        </is>
      </c>
      <c r="B1644" s="7"/>
      <c r="C1644" s="7"/>
      <c r="D1644" s="7"/>
      <c r="E1644" s="8">
        <f>SUM(E1602:E1643)</f>
      </c>
      <c r="F1644" s="8">
        <f>SUM(F1602:F1643)</f>
      </c>
      <c r="G1644" s="8">
        <f>SUM(G1602:G1643)</f>
      </c>
      <c r="H1644" s="7"/>
      <c r="I1644" s="7"/>
    </row>
    <row r="1645" ht="18" customHeight="1">
      <c r="A1645" s="9"/>
      <c r="B1645" s="9"/>
      <c r="C1645" s="9"/>
      <c r="D1645" s="9"/>
      <c r="E1645" s="9"/>
      <c r="F1645" s="9"/>
      <c r="G1645" s="9"/>
      <c r="H1645" s="9"/>
      <c r="I1645" s="9"/>
    </row>
    <row r="1646" ht="18" customHeight="1">
      <c r="A1646" s="9"/>
      <c r="B1646" s="9"/>
      <c r="C1646" s="9"/>
      <c r="D1646" s="9"/>
      <c r="E1646" s="9"/>
      <c r="F1646" s="9"/>
      <c r="G1646" s="9"/>
      <c r="H1646" s="9"/>
      <c r="I1646" s="9"/>
    </row>
    <row r="1647" ht="26" customHeight="1">
      <c r="A1647" t="inlineStr" s="2">
        <is>
          <t>2027年2月｜第一周（2月1日 - 2月7日）</t>
        </is>
      </c>
      <c r="B1647" s="2"/>
      <c r="C1647" s="2"/>
      <c r="D1647" s="2"/>
      <c r="E1647" s="2"/>
      <c r="F1647" s="2"/>
      <c r="G1647" s="2"/>
      <c r="H1647" s="2"/>
      <c r="I1647" s="2"/>
    </row>
    <row r="1648" ht="22" customHeight="1">
      <c r="A1648" t="inlineStr" s="1">
        <is>
          <t>日期</t>
        </is>
      </c>
      <c r="B1648" t="inlineStr" s="1">
        <is>
          <t>星期</t>
        </is>
      </c>
      <c r="C1648" t="inlineStr" s="1">
        <is>
          <t>分类</t>
        </is>
      </c>
      <c r="D1648" t="inlineStr" s="1">
        <is>
          <t>事项</t>
        </is>
      </c>
      <c r="E1648" t="inlineStr" s="1">
        <is>
          <t>支出金额</t>
        </is>
      </c>
      <c r="F1648" t="inlineStr" s="1">
        <is>
          <t>收入金额</t>
        </is>
      </c>
      <c r="G1648" t="inlineStr" s="1">
        <is>
          <t>当笔净额</t>
        </is>
      </c>
      <c r="H1648" t="inlineStr" s="1">
        <is>
          <t>支付方式</t>
        </is>
      </c>
      <c r="I1648" t="inlineStr" s="1">
        <is>
          <t>备注</t>
        </is>
      </c>
    </row>
    <row r="1649" ht="21" customHeight="1">
      <c r="A1649" s="3">
        <v>46419</v>
      </c>
      <c r="B1649" t="inlineStr" s="4">
        <is>
          <t>星期一</t>
        </is>
      </c>
      <c r="C1649" t="inlineStr" s="4">
        <is>
          <t>餐饮</t>
        </is>
      </c>
      <c r="D1649" t="inlineStr" s="5">
        <is>
          <t>早餐</t>
        </is>
      </c>
      <c r="E1649" s="6"/>
      <c r="F1649" s="6"/>
      <c r="G1649" s="6">
        <f>IF(AND(E1649="",F1649=""),"",F1649-E1649)</f>
      </c>
      <c r="H1649" s="4"/>
      <c r="I1649" s="5"/>
    </row>
    <row r="1650" ht="21" customHeight="1">
      <c r="A1650" s="3">
        <v>46419</v>
      </c>
      <c r="B1650" t="inlineStr" s="4">
        <is>
          <t>星期一</t>
        </is>
      </c>
      <c r="C1650" t="inlineStr" s="4">
        <is>
          <t>餐饮</t>
        </is>
      </c>
      <c r="D1650" t="inlineStr" s="5">
        <is>
          <t>中餐</t>
        </is>
      </c>
      <c r="E1650" s="6"/>
      <c r="F1650" s="6"/>
      <c r="G1650" s="6">
        <f>IF(AND(E1650="",F1650=""),"",F1650-E1650)</f>
      </c>
      <c r="H1650" s="4"/>
      <c r="I1650" s="5"/>
    </row>
    <row r="1651" ht="21" customHeight="1">
      <c r="A1651" s="3">
        <v>46419</v>
      </c>
      <c r="B1651" t="inlineStr" s="4">
        <is>
          <t>星期一</t>
        </is>
      </c>
      <c r="C1651" t="inlineStr" s="4">
        <is>
          <t>餐饮</t>
        </is>
      </c>
      <c r="D1651" t="inlineStr" s="5">
        <is>
          <t>晚餐</t>
        </is>
      </c>
      <c r="E1651" s="6"/>
      <c r="F1651" s="6"/>
      <c r="G1651" s="6">
        <f>IF(AND(E1651="",F1651=""),"",F1651-E1651)</f>
      </c>
      <c r="H1651" s="4"/>
      <c r="I1651" s="5"/>
    </row>
    <row r="1652" ht="21" customHeight="1">
      <c r="A1652" s="3">
        <v>46419</v>
      </c>
      <c r="B1652" t="inlineStr" s="4">
        <is>
          <t>星期一</t>
        </is>
      </c>
      <c r="C1652" t="inlineStr" s="4">
        <is>
          <t>奶茶/咖啡</t>
        </is>
      </c>
      <c r="D1652" t="inlineStr" s="5">
        <is>
          <t>奶茶/咖啡</t>
        </is>
      </c>
      <c r="E1652" s="6"/>
      <c r="F1652" s="6"/>
      <c r="G1652" s="6">
        <f>IF(AND(E1652="",F1652=""),"",F1652-E1652)</f>
      </c>
      <c r="H1652" s="4"/>
      <c r="I1652" s="5"/>
    </row>
    <row r="1653" ht="21" customHeight="1">
      <c r="A1653" s="3">
        <v>46419</v>
      </c>
      <c r="B1653" t="inlineStr" s="4">
        <is>
          <t>星期一</t>
        </is>
      </c>
      <c r="C1653" t="inlineStr" s="4">
        <is>
          <t>其他</t>
        </is>
      </c>
      <c r="D1653" t="inlineStr" s="5">
        <is>
          <t>其他</t>
        </is>
      </c>
      <c r="E1653" s="6"/>
      <c r="F1653" s="6"/>
      <c r="G1653" s="6">
        <f>IF(AND(E1653="",F1653=""),"",F1653-E1653)</f>
      </c>
      <c r="H1653" s="4"/>
      <c r="I1653" s="5"/>
    </row>
    <row r="1654" ht="21" customHeight="1">
      <c r="A1654" s="3">
        <v>46419</v>
      </c>
      <c r="B1654" t="inlineStr" s="4">
        <is>
          <t>星期一</t>
        </is>
      </c>
      <c r="C1654" t="inlineStr" s="4">
        <is>
          <t>其他</t>
        </is>
      </c>
      <c r="D1654" t="inlineStr" s="5">
        <is>
          <t>其他</t>
        </is>
      </c>
      <c r="E1654" s="6"/>
      <c r="F1654" s="6"/>
      <c r="G1654" s="6">
        <f>IF(AND(E1654="",F1654=""),"",F1654-E1654)</f>
      </c>
      <c r="H1654" s="4"/>
      <c r="I1654" s="5"/>
    </row>
    <row r="1655" ht="21" customHeight="1">
      <c r="A1655" s="3">
        <v>46420</v>
      </c>
      <c r="B1655" t="inlineStr" s="4">
        <is>
          <t>星期二</t>
        </is>
      </c>
      <c r="C1655" t="inlineStr" s="4">
        <is>
          <t>餐饮</t>
        </is>
      </c>
      <c r="D1655" t="inlineStr" s="5">
        <is>
          <t>早餐</t>
        </is>
      </c>
      <c r="E1655" s="6"/>
      <c r="F1655" s="6"/>
      <c r="G1655" s="6">
        <f>IF(AND(E1655="",F1655=""),"",F1655-E1655)</f>
      </c>
      <c r="H1655" s="4"/>
      <c r="I1655" s="5"/>
    </row>
    <row r="1656" ht="21" customHeight="1">
      <c r="A1656" s="3">
        <v>46420</v>
      </c>
      <c r="B1656" t="inlineStr" s="4">
        <is>
          <t>星期二</t>
        </is>
      </c>
      <c r="C1656" t="inlineStr" s="4">
        <is>
          <t>餐饮</t>
        </is>
      </c>
      <c r="D1656" t="inlineStr" s="5">
        <is>
          <t>中餐</t>
        </is>
      </c>
      <c r="E1656" s="6"/>
      <c r="F1656" s="6"/>
      <c r="G1656" s="6">
        <f>IF(AND(E1656="",F1656=""),"",F1656-E1656)</f>
      </c>
      <c r="H1656" s="4"/>
      <c r="I1656" s="5"/>
    </row>
    <row r="1657" ht="21" customHeight="1">
      <c r="A1657" s="3">
        <v>46420</v>
      </c>
      <c r="B1657" t="inlineStr" s="4">
        <is>
          <t>星期二</t>
        </is>
      </c>
      <c r="C1657" t="inlineStr" s="4">
        <is>
          <t>餐饮</t>
        </is>
      </c>
      <c r="D1657" t="inlineStr" s="5">
        <is>
          <t>晚餐</t>
        </is>
      </c>
      <c r="E1657" s="6"/>
      <c r="F1657" s="6"/>
      <c r="G1657" s="6">
        <f>IF(AND(E1657="",F1657=""),"",F1657-E1657)</f>
      </c>
      <c r="H1657" s="4"/>
      <c r="I1657" s="5"/>
    </row>
    <row r="1658" ht="21" customHeight="1">
      <c r="A1658" s="3">
        <v>46420</v>
      </c>
      <c r="B1658" t="inlineStr" s="4">
        <is>
          <t>星期二</t>
        </is>
      </c>
      <c r="C1658" t="inlineStr" s="4">
        <is>
          <t>奶茶/咖啡</t>
        </is>
      </c>
      <c r="D1658" t="inlineStr" s="5">
        <is>
          <t>奶茶/咖啡</t>
        </is>
      </c>
      <c r="E1658" s="6"/>
      <c r="F1658" s="6"/>
      <c r="G1658" s="6">
        <f>IF(AND(E1658="",F1658=""),"",F1658-E1658)</f>
      </c>
      <c r="H1658" s="4"/>
      <c r="I1658" s="5"/>
    </row>
    <row r="1659" ht="21" customHeight="1">
      <c r="A1659" s="3">
        <v>46420</v>
      </c>
      <c r="B1659" t="inlineStr" s="4">
        <is>
          <t>星期二</t>
        </is>
      </c>
      <c r="C1659" t="inlineStr" s="4">
        <is>
          <t>其他</t>
        </is>
      </c>
      <c r="D1659" t="inlineStr" s="5">
        <is>
          <t>其他</t>
        </is>
      </c>
      <c r="E1659" s="6"/>
      <c r="F1659" s="6"/>
      <c r="G1659" s="6">
        <f>IF(AND(E1659="",F1659=""),"",F1659-E1659)</f>
      </c>
      <c r="H1659" s="4"/>
      <c r="I1659" s="5"/>
    </row>
    <row r="1660" ht="21" customHeight="1">
      <c r="A1660" s="3">
        <v>46420</v>
      </c>
      <c r="B1660" t="inlineStr" s="4">
        <is>
          <t>星期二</t>
        </is>
      </c>
      <c r="C1660" t="inlineStr" s="4">
        <is>
          <t>其他</t>
        </is>
      </c>
      <c r="D1660" t="inlineStr" s="5">
        <is>
          <t>其他</t>
        </is>
      </c>
      <c r="E1660" s="6"/>
      <c r="F1660" s="6"/>
      <c r="G1660" s="6">
        <f>IF(AND(E1660="",F1660=""),"",F1660-E1660)</f>
      </c>
      <c r="H1660" s="4"/>
      <c r="I1660" s="5"/>
    </row>
    <row r="1661" ht="21" customHeight="1">
      <c r="A1661" s="3">
        <v>46421</v>
      </c>
      <c r="B1661" t="inlineStr" s="4">
        <is>
          <t>星期三</t>
        </is>
      </c>
      <c r="C1661" t="inlineStr" s="4">
        <is>
          <t>餐饮</t>
        </is>
      </c>
      <c r="D1661" t="inlineStr" s="5">
        <is>
          <t>早餐</t>
        </is>
      </c>
      <c r="E1661" s="6"/>
      <c r="F1661" s="6"/>
      <c r="G1661" s="6">
        <f>IF(AND(E1661="",F1661=""),"",F1661-E1661)</f>
      </c>
      <c r="H1661" s="4"/>
      <c r="I1661" s="5"/>
    </row>
    <row r="1662" ht="21" customHeight="1">
      <c r="A1662" s="3">
        <v>46421</v>
      </c>
      <c r="B1662" t="inlineStr" s="4">
        <is>
          <t>星期三</t>
        </is>
      </c>
      <c r="C1662" t="inlineStr" s="4">
        <is>
          <t>餐饮</t>
        </is>
      </c>
      <c r="D1662" t="inlineStr" s="5">
        <is>
          <t>中餐</t>
        </is>
      </c>
      <c r="E1662" s="6"/>
      <c r="F1662" s="6"/>
      <c r="G1662" s="6">
        <f>IF(AND(E1662="",F1662=""),"",F1662-E1662)</f>
      </c>
      <c r="H1662" s="4"/>
      <c r="I1662" s="5"/>
    </row>
    <row r="1663" ht="21" customHeight="1">
      <c r="A1663" s="3">
        <v>46421</v>
      </c>
      <c r="B1663" t="inlineStr" s="4">
        <is>
          <t>星期三</t>
        </is>
      </c>
      <c r="C1663" t="inlineStr" s="4">
        <is>
          <t>餐饮</t>
        </is>
      </c>
      <c r="D1663" t="inlineStr" s="5">
        <is>
          <t>晚餐</t>
        </is>
      </c>
      <c r="E1663" s="6"/>
      <c r="F1663" s="6"/>
      <c r="G1663" s="6">
        <f>IF(AND(E1663="",F1663=""),"",F1663-E1663)</f>
      </c>
      <c r="H1663" s="4"/>
      <c r="I1663" s="5"/>
    </row>
    <row r="1664" ht="21" customHeight="1">
      <c r="A1664" s="3">
        <v>46421</v>
      </c>
      <c r="B1664" t="inlineStr" s="4">
        <is>
          <t>星期三</t>
        </is>
      </c>
      <c r="C1664" t="inlineStr" s="4">
        <is>
          <t>奶茶/咖啡</t>
        </is>
      </c>
      <c r="D1664" t="inlineStr" s="5">
        <is>
          <t>奶茶/咖啡</t>
        </is>
      </c>
      <c r="E1664" s="6"/>
      <c r="F1664" s="6"/>
      <c r="G1664" s="6">
        <f>IF(AND(E1664="",F1664=""),"",F1664-E1664)</f>
      </c>
      <c r="H1664" s="4"/>
      <c r="I1664" s="5"/>
    </row>
    <row r="1665" ht="21" customHeight="1">
      <c r="A1665" s="3">
        <v>46421</v>
      </c>
      <c r="B1665" t="inlineStr" s="4">
        <is>
          <t>星期三</t>
        </is>
      </c>
      <c r="C1665" t="inlineStr" s="4">
        <is>
          <t>其他</t>
        </is>
      </c>
      <c r="D1665" t="inlineStr" s="5">
        <is>
          <t>其他</t>
        </is>
      </c>
      <c r="E1665" s="6"/>
      <c r="F1665" s="6"/>
      <c r="G1665" s="6">
        <f>IF(AND(E1665="",F1665=""),"",F1665-E1665)</f>
      </c>
      <c r="H1665" s="4"/>
      <c r="I1665" s="5"/>
    </row>
    <row r="1666" ht="21" customHeight="1">
      <c r="A1666" s="3">
        <v>46421</v>
      </c>
      <c r="B1666" t="inlineStr" s="4">
        <is>
          <t>星期三</t>
        </is>
      </c>
      <c r="C1666" t="inlineStr" s="4">
        <is>
          <t>其他</t>
        </is>
      </c>
      <c r="D1666" t="inlineStr" s="5">
        <is>
          <t>其他</t>
        </is>
      </c>
      <c r="E1666" s="6"/>
      <c r="F1666" s="6"/>
      <c r="G1666" s="6">
        <f>IF(AND(E1666="",F1666=""),"",F1666-E1666)</f>
      </c>
      <c r="H1666" s="4"/>
      <c r="I1666" s="5"/>
    </row>
    <row r="1667" ht="21" customHeight="1">
      <c r="A1667" s="3">
        <v>46422</v>
      </c>
      <c r="B1667" t="inlineStr" s="4">
        <is>
          <t>星期四</t>
        </is>
      </c>
      <c r="C1667" t="inlineStr" s="4">
        <is>
          <t>餐饮</t>
        </is>
      </c>
      <c r="D1667" t="inlineStr" s="5">
        <is>
          <t>早餐</t>
        </is>
      </c>
      <c r="E1667" s="6"/>
      <c r="F1667" s="6"/>
      <c r="G1667" s="6">
        <f>IF(AND(E1667="",F1667=""),"",F1667-E1667)</f>
      </c>
      <c r="H1667" s="4"/>
      <c r="I1667" s="5"/>
    </row>
    <row r="1668" ht="21" customHeight="1">
      <c r="A1668" s="3">
        <v>46422</v>
      </c>
      <c r="B1668" t="inlineStr" s="4">
        <is>
          <t>星期四</t>
        </is>
      </c>
      <c r="C1668" t="inlineStr" s="4">
        <is>
          <t>餐饮</t>
        </is>
      </c>
      <c r="D1668" t="inlineStr" s="5">
        <is>
          <t>中餐</t>
        </is>
      </c>
      <c r="E1668" s="6"/>
      <c r="F1668" s="6"/>
      <c r="G1668" s="6">
        <f>IF(AND(E1668="",F1668=""),"",F1668-E1668)</f>
      </c>
      <c r="H1668" s="4"/>
      <c r="I1668" s="5"/>
    </row>
    <row r="1669" ht="21" customHeight="1">
      <c r="A1669" s="3">
        <v>46422</v>
      </c>
      <c r="B1669" t="inlineStr" s="4">
        <is>
          <t>星期四</t>
        </is>
      </c>
      <c r="C1669" t="inlineStr" s="4">
        <is>
          <t>餐饮</t>
        </is>
      </c>
      <c r="D1669" t="inlineStr" s="5">
        <is>
          <t>晚餐</t>
        </is>
      </c>
      <c r="E1669" s="6"/>
      <c r="F1669" s="6"/>
      <c r="G1669" s="6">
        <f>IF(AND(E1669="",F1669=""),"",F1669-E1669)</f>
      </c>
      <c r="H1669" s="4"/>
      <c r="I1669" s="5"/>
    </row>
    <row r="1670" ht="21" customHeight="1">
      <c r="A1670" s="3">
        <v>46422</v>
      </c>
      <c r="B1670" t="inlineStr" s="4">
        <is>
          <t>星期四</t>
        </is>
      </c>
      <c r="C1670" t="inlineStr" s="4">
        <is>
          <t>奶茶/咖啡</t>
        </is>
      </c>
      <c r="D1670" t="inlineStr" s="5">
        <is>
          <t>奶茶/咖啡</t>
        </is>
      </c>
      <c r="E1670" s="6"/>
      <c r="F1670" s="6"/>
      <c r="G1670" s="6">
        <f>IF(AND(E1670="",F1670=""),"",F1670-E1670)</f>
      </c>
      <c r="H1670" s="4"/>
      <c r="I1670" s="5"/>
    </row>
    <row r="1671" ht="21" customHeight="1">
      <c r="A1671" s="3">
        <v>46422</v>
      </c>
      <c r="B1671" t="inlineStr" s="4">
        <is>
          <t>星期四</t>
        </is>
      </c>
      <c r="C1671" t="inlineStr" s="4">
        <is>
          <t>其他</t>
        </is>
      </c>
      <c r="D1671" t="inlineStr" s="5">
        <is>
          <t>其他</t>
        </is>
      </c>
      <c r="E1671" s="6"/>
      <c r="F1671" s="6"/>
      <c r="G1671" s="6">
        <f>IF(AND(E1671="",F1671=""),"",F1671-E1671)</f>
      </c>
      <c r="H1671" s="4"/>
      <c r="I1671" s="5"/>
    </row>
    <row r="1672" ht="21" customHeight="1">
      <c r="A1672" s="3">
        <v>46422</v>
      </c>
      <c r="B1672" t="inlineStr" s="4">
        <is>
          <t>星期四</t>
        </is>
      </c>
      <c r="C1672" t="inlineStr" s="4">
        <is>
          <t>其他</t>
        </is>
      </c>
      <c r="D1672" t="inlineStr" s="5">
        <is>
          <t>其他</t>
        </is>
      </c>
      <c r="E1672" s="6"/>
      <c r="F1672" s="6"/>
      <c r="G1672" s="6">
        <f>IF(AND(E1672="",F1672=""),"",F1672-E1672)</f>
      </c>
      <c r="H1672" s="4"/>
      <c r="I1672" s="5"/>
    </row>
    <row r="1673" ht="21" customHeight="1">
      <c r="A1673" s="3">
        <v>46423</v>
      </c>
      <c r="B1673" t="inlineStr" s="4">
        <is>
          <t>星期五</t>
        </is>
      </c>
      <c r="C1673" t="inlineStr" s="4">
        <is>
          <t>餐饮</t>
        </is>
      </c>
      <c r="D1673" t="inlineStr" s="5">
        <is>
          <t>早餐</t>
        </is>
      </c>
      <c r="E1673" s="6"/>
      <c r="F1673" s="6"/>
      <c r="G1673" s="6">
        <f>IF(AND(E1673="",F1673=""),"",F1673-E1673)</f>
      </c>
      <c r="H1673" s="4"/>
      <c r="I1673" s="5"/>
    </row>
    <row r="1674" ht="21" customHeight="1">
      <c r="A1674" s="3">
        <v>46423</v>
      </c>
      <c r="B1674" t="inlineStr" s="4">
        <is>
          <t>星期五</t>
        </is>
      </c>
      <c r="C1674" t="inlineStr" s="4">
        <is>
          <t>餐饮</t>
        </is>
      </c>
      <c r="D1674" t="inlineStr" s="5">
        <is>
          <t>中餐</t>
        </is>
      </c>
      <c r="E1674" s="6"/>
      <c r="F1674" s="6"/>
      <c r="G1674" s="6">
        <f>IF(AND(E1674="",F1674=""),"",F1674-E1674)</f>
      </c>
      <c r="H1674" s="4"/>
      <c r="I1674" s="5"/>
    </row>
    <row r="1675" ht="21" customHeight="1">
      <c r="A1675" s="3">
        <v>46423</v>
      </c>
      <c r="B1675" t="inlineStr" s="4">
        <is>
          <t>星期五</t>
        </is>
      </c>
      <c r="C1675" t="inlineStr" s="4">
        <is>
          <t>餐饮</t>
        </is>
      </c>
      <c r="D1675" t="inlineStr" s="5">
        <is>
          <t>晚餐</t>
        </is>
      </c>
      <c r="E1675" s="6"/>
      <c r="F1675" s="6"/>
      <c r="G1675" s="6">
        <f>IF(AND(E1675="",F1675=""),"",F1675-E1675)</f>
      </c>
      <c r="H1675" s="4"/>
      <c r="I1675" s="5"/>
    </row>
    <row r="1676" ht="21" customHeight="1">
      <c r="A1676" s="3">
        <v>46423</v>
      </c>
      <c r="B1676" t="inlineStr" s="4">
        <is>
          <t>星期五</t>
        </is>
      </c>
      <c r="C1676" t="inlineStr" s="4">
        <is>
          <t>奶茶/咖啡</t>
        </is>
      </c>
      <c r="D1676" t="inlineStr" s="5">
        <is>
          <t>奶茶/咖啡</t>
        </is>
      </c>
      <c r="E1676" s="6"/>
      <c r="F1676" s="6"/>
      <c r="G1676" s="6">
        <f>IF(AND(E1676="",F1676=""),"",F1676-E1676)</f>
      </c>
      <c r="H1676" s="4"/>
      <c r="I1676" s="5"/>
    </row>
    <row r="1677" ht="21" customHeight="1">
      <c r="A1677" s="3">
        <v>46423</v>
      </c>
      <c r="B1677" t="inlineStr" s="4">
        <is>
          <t>星期五</t>
        </is>
      </c>
      <c r="C1677" t="inlineStr" s="4">
        <is>
          <t>其他</t>
        </is>
      </c>
      <c r="D1677" t="inlineStr" s="5">
        <is>
          <t>其他</t>
        </is>
      </c>
      <c r="E1677" s="6"/>
      <c r="F1677" s="6"/>
      <c r="G1677" s="6">
        <f>IF(AND(E1677="",F1677=""),"",F1677-E1677)</f>
      </c>
      <c r="H1677" s="4"/>
      <c r="I1677" s="5"/>
    </row>
    <row r="1678" ht="21" customHeight="1">
      <c r="A1678" s="3">
        <v>46423</v>
      </c>
      <c r="B1678" t="inlineStr" s="4">
        <is>
          <t>星期五</t>
        </is>
      </c>
      <c r="C1678" t="inlineStr" s="4">
        <is>
          <t>其他</t>
        </is>
      </c>
      <c r="D1678" t="inlineStr" s="5">
        <is>
          <t>其他</t>
        </is>
      </c>
      <c r="E1678" s="6"/>
      <c r="F1678" s="6"/>
      <c r="G1678" s="6">
        <f>IF(AND(E1678="",F1678=""),"",F1678-E1678)</f>
      </c>
      <c r="H1678" s="4"/>
      <c r="I1678" s="5"/>
    </row>
    <row r="1679" ht="21" customHeight="1">
      <c r="A1679" s="3">
        <v>46424</v>
      </c>
      <c r="B1679" t="inlineStr" s="4">
        <is>
          <t>星期六</t>
        </is>
      </c>
      <c r="C1679" t="inlineStr" s="4">
        <is>
          <t>餐饮</t>
        </is>
      </c>
      <c r="D1679" t="inlineStr" s="5">
        <is>
          <t>早餐</t>
        </is>
      </c>
      <c r="E1679" s="6"/>
      <c r="F1679" s="6"/>
      <c r="G1679" s="6">
        <f>IF(AND(E1679="",F1679=""),"",F1679-E1679)</f>
      </c>
      <c r="H1679" s="4"/>
      <c r="I1679" s="5"/>
    </row>
    <row r="1680" ht="21" customHeight="1">
      <c r="A1680" s="3">
        <v>46424</v>
      </c>
      <c r="B1680" t="inlineStr" s="4">
        <is>
          <t>星期六</t>
        </is>
      </c>
      <c r="C1680" t="inlineStr" s="4">
        <is>
          <t>餐饮</t>
        </is>
      </c>
      <c r="D1680" t="inlineStr" s="5">
        <is>
          <t>中餐</t>
        </is>
      </c>
      <c r="E1680" s="6"/>
      <c r="F1680" s="6"/>
      <c r="G1680" s="6">
        <f>IF(AND(E1680="",F1680=""),"",F1680-E1680)</f>
      </c>
      <c r="H1680" s="4"/>
      <c r="I1680" s="5"/>
    </row>
    <row r="1681" ht="21" customHeight="1">
      <c r="A1681" s="3">
        <v>46424</v>
      </c>
      <c r="B1681" t="inlineStr" s="4">
        <is>
          <t>星期六</t>
        </is>
      </c>
      <c r="C1681" t="inlineStr" s="4">
        <is>
          <t>餐饮</t>
        </is>
      </c>
      <c r="D1681" t="inlineStr" s="5">
        <is>
          <t>晚餐</t>
        </is>
      </c>
      <c r="E1681" s="6"/>
      <c r="F1681" s="6"/>
      <c r="G1681" s="6">
        <f>IF(AND(E1681="",F1681=""),"",F1681-E1681)</f>
      </c>
      <c r="H1681" s="4"/>
      <c r="I1681" s="5"/>
    </row>
    <row r="1682" ht="21" customHeight="1">
      <c r="A1682" s="3">
        <v>46424</v>
      </c>
      <c r="B1682" t="inlineStr" s="4">
        <is>
          <t>星期六</t>
        </is>
      </c>
      <c r="C1682" t="inlineStr" s="4">
        <is>
          <t>奶茶/咖啡</t>
        </is>
      </c>
      <c r="D1682" t="inlineStr" s="5">
        <is>
          <t>奶茶/咖啡</t>
        </is>
      </c>
      <c r="E1682" s="6"/>
      <c r="F1682" s="6"/>
      <c r="G1682" s="6">
        <f>IF(AND(E1682="",F1682=""),"",F1682-E1682)</f>
      </c>
      <c r="H1682" s="4"/>
      <c r="I1682" s="5"/>
    </row>
    <row r="1683" ht="21" customHeight="1">
      <c r="A1683" s="3">
        <v>46424</v>
      </c>
      <c r="B1683" t="inlineStr" s="4">
        <is>
          <t>星期六</t>
        </is>
      </c>
      <c r="C1683" t="inlineStr" s="4">
        <is>
          <t>其他</t>
        </is>
      </c>
      <c r="D1683" t="inlineStr" s="5">
        <is>
          <t>其他</t>
        </is>
      </c>
      <c r="E1683" s="6"/>
      <c r="F1683" s="6"/>
      <c r="G1683" s="6">
        <f>IF(AND(E1683="",F1683=""),"",F1683-E1683)</f>
      </c>
      <c r="H1683" s="4"/>
      <c r="I1683" s="5"/>
    </row>
    <row r="1684" ht="21" customHeight="1">
      <c r="A1684" s="3">
        <v>46424</v>
      </c>
      <c r="B1684" t="inlineStr" s="4">
        <is>
          <t>星期六</t>
        </is>
      </c>
      <c r="C1684" t="inlineStr" s="4">
        <is>
          <t>其他</t>
        </is>
      </c>
      <c r="D1684" t="inlineStr" s="5">
        <is>
          <t>其他</t>
        </is>
      </c>
      <c r="E1684" s="6"/>
      <c r="F1684" s="6"/>
      <c r="G1684" s="6">
        <f>IF(AND(E1684="",F1684=""),"",F1684-E1684)</f>
      </c>
      <c r="H1684" s="4"/>
      <c r="I1684" s="5"/>
    </row>
    <row r="1685" ht="21" customHeight="1">
      <c r="A1685" s="3">
        <v>46425</v>
      </c>
      <c r="B1685" t="inlineStr" s="4">
        <is>
          <t>星期日</t>
        </is>
      </c>
      <c r="C1685" t="inlineStr" s="4">
        <is>
          <t>餐饮</t>
        </is>
      </c>
      <c r="D1685" t="inlineStr" s="5">
        <is>
          <t>早餐</t>
        </is>
      </c>
      <c r="E1685" s="6"/>
      <c r="F1685" s="6"/>
      <c r="G1685" s="6">
        <f>IF(AND(E1685="",F1685=""),"",F1685-E1685)</f>
      </c>
      <c r="H1685" s="4"/>
      <c r="I1685" s="5"/>
    </row>
    <row r="1686" ht="21" customHeight="1">
      <c r="A1686" s="3">
        <v>46425</v>
      </c>
      <c r="B1686" t="inlineStr" s="4">
        <is>
          <t>星期日</t>
        </is>
      </c>
      <c r="C1686" t="inlineStr" s="4">
        <is>
          <t>餐饮</t>
        </is>
      </c>
      <c r="D1686" t="inlineStr" s="5">
        <is>
          <t>中餐</t>
        </is>
      </c>
      <c r="E1686" s="6"/>
      <c r="F1686" s="6"/>
      <c r="G1686" s="6">
        <f>IF(AND(E1686="",F1686=""),"",F1686-E1686)</f>
      </c>
      <c r="H1686" s="4"/>
      <c r="I1686" s="5"/>
    </row>
    <row r="1687" ht="21" customHeight="1">
      <c r="A1687" s="3">
        <v>46425</v>
      </c>
      <c r="B1687" t="inlineStr" s="4">
        <is>
          <t>星期日</t>
        </is>
      </c>
      <c r="C1687" t="inlineStr" s="4">
        <is>
          <t>餐饮</t>
        </is>
      </c>
      <c r="D1687" t="inlineStr" s="5">
        <is>
          <t>晚餐</t>
        </is>
      </c>
      <c r="E1687" s="6"/>
      <c r="F1687" s="6"/>
      <c r="G1687" s="6">
        <f>IF(AND(E1687="",F1687=""),"",F1687-E1687)</f>
      </c>
      <c r="H1687" s="4"/>
      <c r="I1687" s="5"/>
    </row>
    <row r="1688" ht="21" customHeight="1">
      <c r="A1688" s="3">
        <v>46425</v>
      </c>
      <c r="B1688" t="inlineStr" s="4">
        <is>
          <t>星期日</t>
        </is>
      </c>
      <c r="C1688" t="inlineStr" s="4">
        <is>
          <t>奶茶/咖啡</t>
        </is>
      </c>
      <c r="D1688" t="inlineStr" s="5">
        <is>
          <t>奶茶/咖啡</t>
        </is>
      </c>
      <c r="E1688" s="6"/>
      <c r="F1688" s="6"/>
      <c r="G1688" s="6">
        <f>IF(AND(E1688="",F1688=""),"",F1688-E1688)</f>
      </c>
      <c r="H1688" s="4"/>
      <c r="I1688" s="5"/>
    </row>
    <row r="1689" ht="21" customHeight="1">
      <c r="A1689" s="3">
        <v>46425</v>
      </c>
      <c r="B1689" t="inlineStr" s="4">
        <is>
          <t>星期日</t>
        </is>
      </c>
      <c r="C1689" t="inlineStr" s="4">
        <is>
          <t>其他</t>
        </is>
      </c>
      <c r="D1689" t="inlineStr" s="5">
        <is>
          <t>其他</t>
        </is>
      </c>
      <c r="E1689" s="6"/>
      <c r="F1689" s="6"/>
      <c r="G1689" s="6">
        <f>IF(AND(E1689="",F1689=""),"",F1689-E1689)</f>
      </c>
      <c r="H1689" s="4"/>
      <c r="I1689" s="5"/>
    </row>
    <row r="1690" ht="21" customHeight="1">
      <c r="A1690" s="3">
        <v>46425</v>
      </c>
      <c r="B1690" t="inlineStr" s="4">
        <is>
          <t>星期日</t>
        </is>
      </c>
      <c r="C1690" t="inlineStr" s="4">
        <is>
          <t>其他</t>
        </is>
      </c>
      <c r="D1690" t="inlineStr" s="5">
        <is>
          <t>其他</t>
        </is>
      </c>
      <c r="E1690" s="6"/>
      <c r="F1690" s="6"/>
      <c r="G1690" s="6">
        <f>IF(AND(E1690="",F1690=""),"",F1690-E1690)</f>
      </c>
      <c r="H1690" s="4"/>
      <c r="I1690" s="5"/>
    </row>
    <row r="1691" ht="23" customHeight="1">
      <c r="A1691" t="inlineStr" s="7">
        <is>
          <t>本周小计</t>
        </is>
      </c>
      <c r="B1691" s="7"/>
      <c r="C1691" s="7"/>
      <c r="D1691" s="7"/>
      <c r="E1691" s="8">
        <f>SUM(E1649:E1690)</f>
      </c>
      <c r="F1691" s="8">
        <f>SUM(F1649:F1690)</f>
      </c>
      <c r="G1691" s="8">
        <f>SUM(G1649:G1690)</f>
      </c>
      <c r="H1691" s="7"/>
      <c r="I1691" s="7"/>
    </row>
    <row r="1692" ht="18" customHeight="1">
      <c r="A1692" s="9"/>
      <c r="B1692" s="9"/>
      <c r="C1692" s="9"/>
      <c r="D1692" s="9"/>
      <c r="E1692" s="9"/>
      <c r="F1692" s="9"/>
      <c r="G1692" s="9"/>
      <c r="H1692" s="9"/>
      <c r="I1692" s="9"/>
    </row>
    <row r="1693" ht="18" customHeight="1">
      <c r="A1693" s="9"/>
      <c r="B1693" s="9"/>
      <c r="C1693" s="9"/>
      <c r="D1693" s="9"/>
      <c r="E1693" s="9"/>
      <c r="F1693" s="9"/>
      <c r="G1693" s="9"/>
      <c r="H1693" s="9"/>
      <c r="I1693" s="9"/>
    </row>
    <row r="1694" ht="26" customHeight="1">
      <c r="A1694" t="inlineStr" s="2">
        <is>
          <t>2027年2月｜第二周（2月8日 - 2月14日）</t>
        </is>
      </c>
      <c r="B1694" s="2"/>
      <c r="C1694" s="2"/>
      <c r="D1694" s="2"/>
      <c r="E1694" s="2"/>
      <c r="F1694" s="2"/>
      <c r="G1694" s="2"/>
      <c r="H1694" s="2"/>
      <c r="I1694" s="2"/>
    </row>
    <row r="1695" ht="22" customHeight="1">
      <c r="A1695" t="inlineStr" s="1">
        <is>
          <t>日期</t>
        </is>
      </c>
      <c r="B1695" t="inlineStr" s="1">
        <is>
          <t>星期</t>
        </is>
      </c>
      <c r="C1695" t="inlineStr" s="1">
        <is>
          <t>分类</t>
        </is>
      </c>
      <c r="D1695" t="inlineStr" s="1">
        <is>
          <t>事项</t>
        </is>
      </c>
      <c r="E1695" t="inlineStr" s="1">
        <is>
          <t>支出金额</t>
        </is>
      </c>
      <c r="F1695" t="inlineStr" s="1">
        <is>
          <t>收入金额</t>
        </is>
      </c>
      <c r="G1695" t="inlineStr" s="1">
        <is>
          <t>当笔净额</t>
        </is>
      </c>
      <c r="H1695" t="inlineStr" s="1">
        <is>
          <t>支付方式</t>
        </is>
      </c>
      <c r="I1695" t="inlineStr" s="1">
        <is>
          <t>备注</t>
        </is>
      </c>
    </row>
    <row r="1696" ht="21" customHeight="1">
      <c r="A1696" s="3">
        <v>46426</v>
      </c>
      <c r="B1696" t="inlineStr" s="4">
        <is>
          <t>星期一</t>
        </is>
      </c>
      <c r="C1696" t="inlineStr" s="4">
        <is>
          <t>餐饮</t>
        </is>
      </c>
      <c r="D1696" t="inlineStr" s="5">
        <is>
          <t>早餐</t>
        </is>
      </c>
      <c r="E1696" s="6"/>
      <c r="F1696" s="6"/>
      <c r="G1696" s="6">
        <f>IF(AND(E1696="",F1696=""),"",F1696-E1696)</f>
      </c>
      <c r="H1696" s="4"/>
      <c r="I1696" s="5"/>
    </row>
    <row r="1697" ht="21" customHeight="1">
      <c r="A1697" s="3">
        <v>46426</v>
      </c>
      <c r="B1697" t="inlineStr" s="4">
        <is>
          <t>星期一</t>
        </is>
      </c>
      <c r="C1697" t="inlineStr" s="4">
        <is>
          <t>餐饮</t>
        </is>
      </c>
      <c r="D1697" t="inlineStr" s="5">
        <is>
          <t>中餐</t>
        </is>
      </c>
      <c r="E1697" s="6"/>
      <c r="F1697" s="6"/>
      <c r="G1697" s="6">
        <f>IF(AND(E1697="",F1697=""),"",F1697-E1697)</f>
      </c>
      <c r="H1697" s="4"/>
      <c r="I1697" s="5"/>
    </row>
    <row r="1698" ht="21" customHeight="1">
      <c r="A1698" s="3">
        <v>46426</v>
      </c>
      <c r="B1698" t="inlineStr" s="4">
        <is>
          <t>星期一</t>
        </is>
      </c>
      <c r="C1698" t="inlineStr" s="4">
        <is>
          <t>餐饮</t>
        </is>
      </c>
      <c r="D1698" t="inlineStr" s="5">
        <is>
          <t>晚餐</t>
        </is>
      </c>
      <c r="E1698" s="6"/>
      <c r="F1698" s="6"/>
      <c r="G1698" s="6">
        <f>IF(AND(E1698="",F1698=""),"",F1698-E1698)</f>
      </c>
      <c r="H1698" s="4"/>
      <c r="I1698" s="5"/>
    </row>
    <row r="1699" ht="21" customHeight="1">
      <c r="A1699" s="3">
        <v>46426</v>
      </c>
      <c r="B1699" t="inlineStr" s="4">
        <is>
          <t>星期一</t>
        </is>
      </c>
      <c r="C1699" t="inlineStr" s="4">
        <is>
          <t>奶茶/咖啡</t>
        </is>
      </c>
      <c r="D1699" t="inlineStr" s="5">
        <is>
          <t>奶茶/咖啡</t>
        </is>
      </c>
      <c r="E1699" s="6"/>
      <c r="F1699" s="6"/>
      <c r="G1699" s="6">
        <f>IF(AND(E1699="",F1699=""),"",F1699-E1699)</f>
      </c>
      <c r="H1699" s="4"/>
      <c r="I1699" s="5"/>
    </row>
    <row r="1700" ht="21" customHeight="1">
      <c r="A1700" s="3">
        <v>46426</v>
      </c>
      <c r="B1700" t="inlineStr" s="4">
        <is>
          <t>星期一</t>
        </is>
      </c>
      <c r="C1700" t="inlineStr" s="4">
        <is>
          <t>其他</t>
        </is>
      </c>
      <c r="D1700" t="inlineStr" s="5">
        <is>
          <t>其他</t>
        </is>
      </c>
      <c r="E1700" s="6"/>
      <c r="F1700" s="6"/>
      <c r="G1700" s="6">
        <f>IF(AND(E1700="",F1700=""),"",F1700-E1700)</f>
      </c>
      <c r="H1700" s="4"/>
      <c r="I1700" s="5"/>
    </row>
    <row r="1701" ht="21" customHeight="1">
      <c r="A1701" s="3">
        <v>46426</v>
      </c>
      <c r="B1701" t="inlineStr" s="4">
        <is>
          <t>星期一</t>
        </is>
      </c>
      <c r="C1701" t="inlineStr" s="4">
        <is>
          <t>其他</t>
        </is>
      </c>
      <c r="D1701" t="inlineStr" s="5">
        <is>
          <t>其他</t>
        </is>
      </c>
      <c r="E1701" s="6"/>
      <c r="F1701" s="6"/>
      <c r="G1701" s="6">
        <f>IF(AND(E1701="",F1701=""),"",F1701-E1701)</f>
      </c>
      <c r="H1701" s="4"/>
      <c r="I1701" s="5"/>
    </row>
    <row r="1702" ht="21" customHeight="1">
      <c r="A1702" s="3">
        <v>46427</v>
      </c>
      <c r="B1702" t="inlineStr" s="4">
        <is>
          <t>星期二</t>
        </is>
      </c>
      <c r="C1702" t="inlineStr" s="4">
        <is>
          <t>餐饮</t>
        </is>
      </c>
      <c r="D1702" t="inlineStr" s="5">
        <is>
          <t>早餐</t>
        </is>
      </c>
      <c r="E1702" s="6"/>
      <c r="F1702" s="6"/>
      <c r="G1702" s="6">
        <f>IF(AND(E1702="",F1702=""),"",F1702-E1702)</f>
      </c>
      <c r="H1702" s="4"/>
      <c r="I1702" s="5"/>
    </row>
    <row r="1703" ht="21" customHeight="1">
      <c r="A1703" s="3">
        <v>46427</v>
      </c>
      <c r="B1703" t="inlineStr" s="4">
        <is>
          <t>星期二</t>
        </is>
      </c>
      <c r="C1703" t="inlineStr" s="4">
        <is>
          <t>餐饮</t>
        </is>
      </c>
      <c r="D1703" t="inlineStr" s="5">
        <is>
          <t>中餐</t>
        </is>
      </c>
      <c r="E1703" s="6"/>
      <c r="F1703" s="6"/>
      <c r="G1703" s="6">
        <f>IF(AND(E1703="",F1703=""),"",F1703-E1703)</f>
      </c>
      <c r="H1703" s="4"/>
      <c r="I1703" s="5"/>
    </row>
    <row r="1704" ht="21" customHeight="1">
      <c r="A1704" s="3">
        <v>46427</v>
      </c>
      <c r="B1704" t="inlineStr" s="4">
        <is>
          <t>星期二</t>
        </is>
      </c>
      <c r="C1704" t="inlineStr" s="4">
        <is>
          <t>餐饮</t>
        </is>
      </c>
      <c r="D1704" t="inlineStr" s="5">
        <is>
          <t>晚餐</t>
        </is>
      </c>
      <c r="E1704" s="6"/>
      <c r="F1704" s="6"/>
      <c r="G1704" s="6">
        <f>IF(AND(E1704="",F1704=""),"",F1704-E1704)</f>
      </c>
      <c r="H1704" s="4"/>
      <c r="I1704" s="5"/>
    </row>
    <row r="1705" ht="21" customHeight="1">
      <c r="A1705" s="3">
        <v>46427</v>
      </c>
      <c r="B1705" t="inlineStr" s="4">
        <is>
          <t>星期二</t>
        </is>
      </c>
      <c r="C1705" t="inlineStr" s="4">
        <is>
          <t>奶茶/咖啡</t>
        </is>
      </c>
      <c r="D1705" t="inlineStr" s="5">
        <is>
          <t>奶茶/咖啡</t>
        </is>
      </c>
      <c r="E1705" s="6"/>
      <c r="F1705" s="6"/>
      <c r="G1705" s="6">
        <f>IF(AND(E1705="",F1705=""),"",F1705-E1705)</f>
      </c>
      <c r="H1705" s="4"/>
      <c r="I1705" s="5"/>
    </row>
    <row r="1706" ht="21" customHeight="1">
      <c r="A1706" s="3">
        <v>46427</v>
      </c>
      <c r="B1706" t="inlineStr" s="4">
        <is>
          <t>星期二</t>
        </is>
      </c>
      <c r="C1706" t="inlineStr" s="4">
        <is>
          <t>其他</t>
        </is>
      </c>
      <c r="D1706" t="inlineStr" s="5">
        <is>
          <t>其他</t>
        </is>
      </c>
      <c r="E1706" s="6"/>
      <c r="F1706" s="6"/>
      <c r="G1706" s="6">
        <f>IF(AND(E1706="",F1706=""),"",F1706-E1706)</f>
      </c>
      <c r="H1706" s="4"/>
      <c r="I1706" s="5"/>
    </row>
    <row r="1707" ht="21" customHeight="1">
      <c r="A1707" s="3">
        <v>46427</v>
      </c>
      <c r="B1707" t="inlineStr" s="4">
        <is>
          <t>星期二</t>
        </is>
      </c>
      <c r="C1707" t="inlineStr" s="4">
        <is>
          <t>其他</t>
        </is>
      </c>
      <c r="D1707" t="inlineStr" s="5">
        <is>
          <t>其他</t>
        </is>
      </c>
      <c r="E1707" s="6"/>
      <c r="F1707" s="6"/>
      <c r="G1707" s="6">
        <f>IF(AND(E1707="",F1707=""),"",F1707-E1707)</f>
      </c>
      <c r="H1707" s="4"/>
      <c r="I1707" s="5"/>
    </row>
    <row r="1708" ht="21" customHeight="1">
      <c r="A1708" s="3">
        <v>46428</v>
      </c>
      <c r="B1708" t="inlineStr" s="4">
        <is>
          <t>星期三</t>
        </is>
      </c>
      <c r="C1708" t="inlineStr" s="4">
        <is>
          <t>餐饮</t>
        </is>
      </c>
      <c r="D1708" t="inlineStr" s="5">
        <is>
          <t>早餐</t>
        </is>
      </c>
      <c r="E1708" s="6"/>
      <c r="F1708" s="6"/>
      <c r="G1708" s="6">
        <f>IF(AND(E1708="",F1708=""),"",F1708-E1708)</f>
      </c>
      <c r="H1708" s="4"/>
      <c r="I1708" s="5"/>
    </row>
    <row r="1709" ht="21" customHeight="1">
      <c r="A1709" s="3">
        <v>46428</v>
      </c>
      <c r="B1709" t="inlineStr" s="4">
        <is>
          <t>星期三</t>
        </is>
      </c>
      <c r="C1709" t="inlineStr" s="4">
        <is>
          <t>餐饮</t>
        </is>
      </c>
      <c r="D1709" t="inlineStr" s="5">
        <is>
          <t>中餐</t>
        </is>
      </c>
      <c r="E1709" s="6"/>
      <c r="F1709" s="6"/>
      <c r="G1709" s="6">
        <f>IF(AND(E1709="",F1709=""),"",F1709-E1709)</f>
      </c>
      <c r="H1709" s="4"/>
      <c r="I1709" s="5"/>
    </row>
    <row r="1710" ht="21" customHeight="1">
      <c r="A1710" s="3">
        <v>46428</v>
      </c>
      <c r="B1710" t="inlineStr" s="4">
        <is>
          <t>星期三</t>
        </is>
      </c>
      <c r="C1710" t="inlineStr" s="4">
        <is>
          <t>餐饮</t>
        </is>
      </c>
      <c r="D1710" t="inlineStr" s="5">
        <is>
          <t>晚餐</t>
        </is>
      </c>
      <c r="E1710" s="6"/>
      <c r="F1710" s="6"/>
      <c r="G1710" s="6">
        <f>IF(AND(E1710="",F1710=""),"",F1710-E1710)</f>
      </c>
      <c r="H1710" s="4"/>
      <c r="I1710" s="5"/>
    </row>
    <row r="1711" ht="21" customHeight="1">
      <c r="A1711" s="3">
        <v>46428</v>
      </c>
      <c r="B1711" t="inlineStr" s="4">
        <is>
          <t>星期三</t>
        </is>
      </c>
      <c r="C1711" t="inlineStr" s="4">
        <is>
          <t>奶茶/咖啡</t>
        </is>
      </c>
      <c r="D1711" t="inlineStr" s="5">
        <is>
          <t>奶茶/咖啡</t>
        </is>
      </c>
      <c r="E1711" s="6"/>
      <c r="F1711" s="6"/>
      <c r="G1711" s="6">
        <f>IF(AND(E1711="",F1711=""),"",F1711-E1711)</f>
      </c>
      <c r="H1711" s="4"/>
      <c r="I1711" s="5"/>
    </row>
    <row r="1712" ht="21" customHeight="1">
      <c r="A1712" s="3">
        <v>46428</v>
      </c>
      <c r="B1712" t="inlineStr" s="4">
        <is>
          <t>星期三</t>
        </is>
      </c>
      <c r="C1712" t="inlineStr" s="4">
        <is>
          <t>其他</t>
        </is>
      </c>
      <c r="D1712" t="inlineStr" s="5">
        <is>
          <t>其他</t>
        </is>
      </c>
      <c r="E1712" s="6"/>
      <c r="F1712" s="6"/>
      <c r="G1712" s="6">
        <f>IF(AND(E1712="",F1712=""),"",F1712-E1712)</f>
      </c>
      <c r="H1712" s="4"/>
      <c r="I1712" s="5"/>
    </row>
    <row r="1713" ht="21" customHeight="1">
      <c r="A1713" s="3">
        <v>46428</v>
      </c>
      <c r="B1713" t="inlineStr" s="4">
        <is>
          <t>星期三</t>
        </is>
      </c>
      <c r="C1713" t="inlineStr" s="4">
        <is>
          <t>其他</t>
        </is>
      </c>
      <c r="D1713" t="inlineStr" s="5">
        <is>
          <t>其他</t>
        </is>
      </c>
      <c r="E1713" s="6"/>
      <c r="F1713" s="6"/>
      <c r="G1713" s="6">
        <f>IF(AND(E1713="",F1713=""),"",F1713-E1713)</f>
      </c>
      <c r="H1713" s="4"/>
      <c r="I1713" s="5"/>
    </row>
    <row r="1714" ht="21" customHeight="1">
      <c r="A1714" s="3">
        <v>46429</v>
      </c>
      <c r="B1714" t="inlineStr" s="4">
        <is>
          <t>星期四</t>
        </is>
      </c>
      <c r="C1714" t="inlineStr" s="4">
        <is>
          <t>餐饮</t>
        </is>
      </c>
      <c r="D1714" t="inlineStr" s="5">
        <is>
          <t>早餐</t>
        </is>
      </c>
      <c r="E1714" s="6"/>
      <c r="F1714" s="6"/>
      <c r="G1714" s="6">
        <f>IF(AND(E1714="",F1714=""),"",F1714-E1714)</f>
      </c>
      <c r="H1714" s="4"/>
      <c r="I1714" s="5"/>
    </row>
    <row r="1715" ht="21" customHeight="1">
      <c r="A1715" s="3">
        <v>46429</v>
      </c>
      <c r="B1715" t="inlineStr" s="4">
        <is>
          <t>星期四</t>
        </is>
      </c>
      <c r="C1715" t="inlineStr" s="4">
        <is>
          <t>餐饮</t>
        </is>
      </c>
      <c r="D1715" t="inlineStr" s="5">
        <is>
          <t>中餐</t>
        </is>
      </c>
      <c r="E1715" s="6"/>
      <c r="F1715" s="6"/>
      <c r="G1715" s="6">
        <f>IF(AND(E1715="",F1715=""),"",F1715-E1715)</f>
      </c>
      <c r="H1715" s="4"/>
      <c r="I1715" s="5"/>
    </row>
    <row r="1716" ht="21" customHeight="1">
      <c r="A1716" s="3">
        <v>46429</v>
      </c>
      <c r="B1716" t="inlineStr" s="4">
        <is>
          <t>星期四</t>
        </is>
      </c>
      <c r="C1716" t="inlineStr" s="4">
        <is>
          <t>餐饮</t>
        </is>
      </c>
      <c r="D1716" t="inlineStr" s="5">
        <is>
          <t>晚餐</t>
        </is>
      </c>
      <c r="E1716" s="6"/>
      <c r="F1716" s="6"/>
      <c r="G1716" s="6">
        <f>IF(AND(E1716="",F1716=""),"",F1716-E1716)</f>
      </c>
      <c r="H1716" s="4"/>
      <c r="I1716" s="5"/>
    </row>
    <row r="1717" ht="21" customHeight="1">
      <c r="A1717" s="3">
        <v>46429</v>
      </c>
      <c r="B1717" t="inlineStr" s="4">
        <is>
          <t>星期四</t>
        </is>
      </c>
      <c r="C1717" t="inlineStr" s="4">
        <is>
          <t>奶茶/咖啡</t>
        </is>
      </c>
      <c r="D1717" t="inlineStr" s="5">
        <is>
          <t>奶茶/咖啡</t>
        </is>
      </c>
      <c r="E1717" s="6"/>
      <c r="F1717" s="6"/>
      <c r="G1717" s="6">
        <f>IF(AND(E1717="",F1717=""),"",F1717-E1717)</f>
      </c>
      <c r="H1717" s="4"/>
      <c r="I1717" s="5"/>
    </row>
    <row r="1718" ht="21" customHeight="1">
      <c r="A1718" s="3">
        <v>46429</v>
      </c>
      <c r="B1718" t="inlineStr" s="4">
        <is>
          <t>星期四</t>
        </is>
      </c>
      <c r="C1718" t="inlineStr" s="4">
        <is>
          <t>其他</t>
        </is>
      </c>
      <c r="D1718" t="inlineStr" s="5">
        <is>
          <t>其他</t>
        </is>
      </c>
      <c r="E1718" s="6"/>
      <c r="F1718" s="6"/>
      <c r="G1718" s="6">
        <f>IF(AND(E1718="",F1718=""),"",F1718-E1718)</f>
      </c>
      <c r="H1718" s="4"/>
      <c r="I1718" s="5"/>
    </row>
    <row r="1719" ht="21" customHeight="1">
      <c r="A1719" s="3">
        <v>46429</v>
      </c>
      <c r="B1719" t="inlineStr" s="4">
        <is>
          <t>星期四</t>
        </is>
      </c>
      <c r="C1719" t="inlineStr" s="4">
        <is>
          <t>其他</t>
        </is>
      </c>
      <c r="D1719" t="inlineStr" s="5">
        <is>
          <t>其他</t>
        </is>
      </c>
      <c r="E1719" s="6"/>
      <c r="F1719" s="6"/>
      <c r="G1719" s="6">
        <f>IF(AND(E1719="",F1719=""),"",F1719-E1719)</f>
      </c>
      <c r="H1719" s="4"/>
      <c r="I1719" s="5"/>
    </row>
    <row r="1720" ht="21" customHeight="1">
      <c r="A1720" s="3">
        <v>46430</v>
      </c>
      <c r="B1720" t="inlineStr" s="4">
        <is>
          <t>星期五</t>
        </is>
      </c>
      <c r="C1720" t="inlineStr" s="4">
        <is>
          <t>餐饮</t>
        </is>
      </c>
      <c r="D1720" t="inlineStr" s="5">
        <is>
          <t>早餐</t>
        </is>
      </c>
      <c r="E1720" s="6"/>
      <c r="F1720" s="6"/>
      <c r="G1720" s="6">
        <f>IF(AND(E1720="",F1720=""),"",F1720-E1720)</f>
      </c>
      <c r="H1720" s="4"/>
      <c r="I1720" s="5"/>
    </row>
    <row r="1721" ht="21" customHeight="1">
      <c r="A1721" s="3">
        <v>46430</v>
      </c>
      <c r="B1721" t="inlineStr" s="4">
        <is>
          <t>星期五</t>
        </is>
      </c>
      <c r="C1721" t="inlineStr" s="4">
        <is>
          <t>餐饮</t>
        </is>
      </c>
      <c r="D1721" t="inlineStr" s="5">
        <is>
          <t>中餐</t>
        </is>
      </c>
      <c r="E1721" s="6"/>
      <c r="F1721" s="6"/>
      <c r="G1721" s="6">
        <f>IF(AND(E1721="",F1721=""),"",F1721-E1721)</f>
      </c>
      <c r="H1721" s="4"/>
      <c r="I1721" s="5"/>
    </row>
    <row r="1722" ht="21" customHeight="1">
      <c r="A1722" s="3">
        <v>46430</v>
      </c>
      <c r="B1722" t="inlineStr" s="4">
        <is>
          <t>星期五</t>
        </is>
      </c>
      <c r="C1722" t="inlineStr" s="4">
        <is>
          <t>餐饮</t>
        </is>
      </c>
      <c r="D1722" t="inlineStr" s="5">
        <is>
          <t>晚餐</t>
        </is>
      </c>
      <c r="E1722" s="6"/>
      <c r="F1722" s="6"/>
      <c r="G1722" s="6">
        <f>IF(AND(E1722="",F1722=""),"",F1722-E1722)</f>
      </c>
      <c r="H1722" s="4"/>
      <c r="I1722" s="5"/>
    </row>
    <row r="1723" ht="21" customHeight="1">
      <c r="A1723" s="3">
        <v>46430</v>
      </c>
      <c r="B1723" t="inlineStr" s="4">
        <is>
          <t>星期五</t>
        </is>
      </c>
      <c r="C1723" t="inlineStr" s="4">
        <is>
          <t>奶茶/咖啡</t>
        </is>
      </c>
      <c r="D1723" t="inlineStr" s="5">
        <is>
          <t>奶茶/咖啡</t>
        </is>
      </c>
      <c r="E1723" s="6"/>
      <c r="F1723" s="6"/>
      <c r="G1723" s="6">
        <f>IF(AND(E1723="",F1723=""),"",F1723-E1723)</f>
      </c>
      <c r="H1723" s="4"/>
      <c r="I1723" s="5"/>
    </row>
    <row r="1724" ht="21" customHeight="1">
      <c r="A1724" s="3">
        <v>46430</v>
      </c>
      <c r="B1724" t="inlineStr" s="4">
        <is>
          <t>星期五</t>
        </is>
      </c>
      <c r="C1724" t="inlineStr" s="4">
        <is>
          <t>其他</t>
        </is>
      </c>
      <c r="D1724" t="inlineStr" s="5">
        <is>
          <t>其他</t>
        </is>
      </c>
      <c r="E1724" s="6"/>
      <c r="F1724" s="6"/>
      <c r="G1724" s="6">
        <f>IF(AND(E1724="",F1724=""),"",F1724-E1724)</f>
      </c>
      <c r="H1724" s="4"/>
      <c r="I1724" s="5"/>
    </row>
    <row r="1725" ht="21" customHeight="1">
      <c r="A1725" s="3">
        <v>46430</v>
      </c>
      <c r="B1725" t="inlineStr" s="4">
        <is>
          <t>星期五</t>
        </is>
      </c>
      <c r="C1725" t="inlineStr" s="4">
        <is>
          <t>其他</t>
        </is>
      </c>
      <c r="D1725" t="inlineStr" s="5">
        <is>
          <t>其他</t>
        </is>
      </c>
      <c r="E1725" s="6"/>
      <c r="F1725" s="6"/>
      <c r="G1725" s="6">
        <f>IF(AND(E1725="",F1725=""),"",F1725-E1725)</f>
      </c>
      <c r="H1725" s="4"/>
      <c r="I1725" s="5"/>
    </row>
    <row r="1726" ht="21" customHeight="1">
      <c r="A1726" s="3">
        <v>46431</v>
      </c>
      <c r="B1726" t="inlineStr" s="4">
        <is>
          <t>星期六</t>
        </is>
      </c>
      <c r="C1726" t="inlineStr" s="4">
        <is>
          <t>餐饮</t>
        </is>
      </c>
      <c r="D1726" t="inlineStr" s="5">
        <is>
          <t>早餐</t>
        </is>
      </c>
      <c r="E1726" s="6"/>
      <c r="F1726" s="6"/>
      <c r="G1726" s="6">
        <f>IF(AND(E1726="",F1726=""),"",F1726-E1726)</f>
      </c>
      <c r="H1726" s="4"/>
      <c r="I1726" s="5"/>
    </row>
    <row r="1727" ht="21" customHeight="1">
      <c r="A1727" s="3">
        <v>46431</v>
      </c>
      <c r="B1727" t="inlineStr" s="4">
        <is>
          <t>星期六</t>
        </is>
      </c>
      <c r="C1727" t="inlineStr" s="4">
        <is>
          <t>餐饮</t>
        </is>
      </c>
      <c r="D1727" t="inlineStr" s="5">
        <is>
          <t>中餐</t>
        </is>
      </c>
      <c r="E1727" s="6"/>
      <c r="F1727" s="6"/>
      <c r="G1727" s="6">
        <f>IF(AND(E1727="",F1727=""),"",F1727-E1727)</f>
      </c>
      <c r="H1727" s="4"/>
      <c r="I1727" s="5"/>
    </row>
    <row r="1728" ht="21" customHeight="1">
      <c r="A1728" s="3">
        <v>46431</v>
      </c>
      <c r="B1728" t="inlineStr" s="4">
        <is>
          <t>星期六</t>
        </is>
      </c>
      <c r="C1728" t="inlineStr" s="4">
        <is>
          <t>餐饮</t>
        </is>
      </c>
      <c r="D1728" t="inlineStr" s="5">
        <is>
          <t>晚餐</t>
        </is>
      </c>
      <c r="E1728" s="6"/>
      <c r="F1728" s="6"/>
      <c r="G1728" s="6">
        <f>IF(AND(E1728="",F1728=""),"",F1728-E1728)</f>
      </c>
      <c r="H1728" s="4"/>
      <c r="I1728" s="5"/>
    </row>
    <row r="1729" ht="21" customHeight="1">
      <c r="A1729" s="3">
        <v>46431</v>
      </c>
      <c r="B1729" t="inlineStr" s="4">
        <is>
          <t>星期六</t>
        </is>
      </c>
      <c r="C1729" t="inlineStr" s="4">
        <is>
          <t>奶茶/咖啡</t>
        </is>
      </c>
      <c r="D1729" t="inlineStr" s="5">
        <is>
          <t>奶茶/咖啡</t>
        </is>
      </c>
      <c r="E1729" s="6"/>
      <c r="F1729" s="6"/>
      <c r="G1729" s="6">
        <f>IF(AND(E1729="",F1729=""),"",F1729-E1729)</f>
      </c>
      <c r="H1729" s="4"/>
      <c r="I1729" s="5"/>
    </row>
    <row r="1730" ht="21" customHeight="1">
      <c r="A1730" s="3">
        <v>46431</v>
      </c>
      <c r="B1730" t="inlineStr" s="4">
        <is>
          <t>星期六</t>
        </is>
      </c>
      <c r="C1730" t="inlineStr" s="4">
        <is>
          <t>其他</t>
        </is>
      </c>
      <c r="D1730" t="inlineStr" s="5">
        <is>
          <t>其他</t>
        </is>
      </c>
      <c r="E1730" s="6"/>
      <c r="F1730" s="6"/>
      <c r="G1730" s="6">
        <f>IF(AND(E1730="",F1730=""),"",F1730-E1730)</f>
      </c>
      <c r="H1730" s="4"/>
      <c r="I1730" s="5"/>
    </row>
    <row r="1731" ht="21" customHeight="1">
      <c r="A1731" s="3">
        <v>46431</v>
      </c>
      <c r="B1731" t="inlineStr" s="4">
        <is>
          <t>星期六</t>
        </is>
      </c>
      <c r="C1731" t="inlineStr" s="4">
        <is>
          <t>其他</t>
        </is>
      </c>
      <c r="D1731" t="inlineStr" s="5">
        <is>
          <t>其他</t>
        </is>
      </c>
      <c r="E1731" s="6"/>
      <c r="F1731" s="6"/>
      <c r="G1731" s="6">
        <f>IF(AND(E1731="",F1731=""),"",F1731-E1731)</f>
      </c>
      <c r="H1731" s="4"/>
      <c r="I1731" s="5"/>
    </row>
    <row r="1732" ht="21" customHeight="1">
      <c r="A1732" s="3">
        <v>46432</v>
      </c>
      <c r="B1732" t="inlineStr" s="4">
        <is>
          <t>星期日</t>
        </is>
      </c>
      <c r="C1732" t="inlineStr" s="4">
        <is>
          <t>餐饮</t>
        </is>
      </c>
      <c r="D1732" t="inlineStr" s="5">
        <is>
          <t>早餐</t>
        </is>
      </c>
      <c r="E1732" s="6"/>
      <c r="F1732" s="6"/>
      <c r="G1732" s="6">
        <f>IF(AND(E1732="",F1732=""),"",F1732-E1732)</f>
      </c>
      <c r="H1732" s="4"/>
      <c r="I1732" s="5"/>
    </row>
    <row r="1733" ht="21" customHeight="1">
      <c r="A1733" s="3">
        <v>46432</v>
      </c>
      <c r="B1733" t="inlineStr" s="4">
        <is>
          <t>星期日</t>
        </is>
      </c>
      <c r="C1733" t="inlineStr" s="4">
        <is>
          <t>餐饮</t>
        </is>
      </c>
      <c r="D1733" t="inlineStr" s="5">
        <is>
          <t>中餐</t>
        </is>
      </c>
      <c r="E1733" s="6"/>
      <c r="F1733" s="6"/>
      <c r="G1733" s="6">
        <f>IF(AND(E1733="",F1733=""),"",F1733-E1733)</f>
      </c>
      <c r="H1733" s="4"/>
      <c r="I1733" s="5"/>
    </row>
    <row r="1734" ht="21" customHeight="1">
      <c r="A1734" s="3">
        <v>46432</v>
      </c>
      <c r="B1734" t="inlineStr" s="4">
        <is>
          <t>星期日</t>
        </is>
      </c>
      <c r="C1734" t="inlineStr" s="4">
        <is>
          <t>餐饮</t>
        </is>
      </c>
      <c r="D1734" t="inlineStr" s="5">
        <is>
          <t>晚餐</t>
        </is>
      </c>
      <c r="E1734" s="6"/>
      <c r="F1734" s="6"/>
      <c r="G1734" s="6">
        <f>IF(AND(E1734="",F1734=""),"",F1734-E1734)</f>
      </c>
      <c r="H1734" s="4"/>
      <c r="I1734" s="5"/>
    </row>
    <row r="1735" ht="21" customHeight="1">
      <c r="A1735" s="3">
        <v>46432</v>
      </c>
      <c r="B1735" t="inlineStr" s="4">
        <is>
          <t>星期日</t>
        </is>
      </c>
      <c r="C1735" t="inlineStr" s="4">
        <is>
          <t>奶茶/咖啡</t>
        </is>
      </c>
      <c r="D1735" t="inlineStr" s="5">
        <is>
          <t>奶茶/咖啡</t>
        </is>
      </c>
      <c r="E1735" s="6"/>
      <c r="F1735" s="6"/>
      <c r="G1735" s="6">
        <f>IF(AND(E1735="",F1735=""),"",F1735-E1735)</f>
      </c>
      <c r="H1735" s="4"/>
      <c r="I1735" s="5"/>
    </row>
    <row r="1736" ht="21" customHeight="1">
      <c r="A1736" s="3">
        <v>46432</v>
      </c>
      <c r="B1736" t="inlineStr" s="4">
        <is>
          <t>星期日</t>
        </is>
      </c>
      <c r="C1736" t="inlineStr" s="4">
        <is>
          <t>其他</t>
        </is>
      </c>
      <c r="D1736" t="inlineStr" s="5">
        <is>
          <t>其他</t>
        </is>
      </c>
      <c r="E1736" s="6"/>
      <c r="F1736" s="6"/>
      <c r="G1736" s="6">
        <f>IF(AND(E1736="",F1736=""),"",F1736-E1736)</f>
      </c>
      <c r="H1736" s="4"/>
      <c r="I1736" s="5"/>
    </row>
    <row r="1737" ht="21" customHeight="1">
      <c r="A1737" s="3">
        <v>46432</v>
      </c>
      <c r="B1737" t="inlineStr" s="4">
        <is>
          <t>星期日</t>
        </is>
      </c>
      <c r="C1737" t="inlineStr" s="4">
        <is>
          <t>其他</t>
        </is>
      </c>
      <c r="D1737" t="inlineStr" s="5">
        <is>
          <t>其他</t>
        </is>
      </c>
      <c r="E1737" s="6"/>
      <c r="F1737" s="6"/>
      <c r="G1737" s="6">
        <f>IF(AND(E1737="",F1737=""),"",F1737-E1737)</f>
      </c>
      <c r="H1737" s="4"/>
      <c r="I1737" s="5"/>
    </row>
    <row r="1738" ht="23" customHeight="1">
      <c r="A1738" t="inlineStr" s="7">
        <is>
          <t>本周小计</t>
        </is>
      </c>
      <c r="B1738" s="7"/>
      <c r="C1738" s="7"/>
      <c r="D1738" s="7"/>
      <c r="E1738" s="8">
        <f>SUM(E1696:E1737)</f>
      </c>
      <c r="F1738" s="8">
        <f>SUM(F1696:F1737)</f>
      </c>
      <c r="G1738" s="8">
        <f>SUM(G1696:G1737)</f>
      </c>
      <c r="H1738" s="7"/>
      <c r="I1738" s="7"/>
    </row>
    <row r="1739" ht="18" customHeight="1">
      <c r="A1739" s="9"/>
      <c r="B1739" s="9"/>
      <c r="C1739" s="9"/>
      <c r="D1739" s="9"/>
      <c r="E1739" s="9"/>
      <c r="F1739" s="9"/>
      <c r="G1739" s="9"/>
      <c r="H1739" s="9"/>
      <c r="I1739" s="9"/>
    </row>
    <row r="1740" ht="18" customHeight="1">
      <c r="A1740" s="9"/>
      <c r="B1740" s="9"/>
      <c r="C1740" s="9"/>
      <c r="D1740" s="9"/>
      <c r="E1740" s="9"/>
      <c r="F1740" s="9"/>
      <c r="G1740" s="9"/>
      <c r="H1740" s="9"/>
      <c r="I1740" s="9"/>
    </row>
    <row r="1741" ht="26" customHeight="1">
      <c r="A1741" t="inlineStr" s="2">
        <is>
          <t>2027年2月｜第三周（2月15日 - 2月21日）</t>
        </is>
      </c>
      <c r="B1741" s="2"/>
      <c r="C1741" s="2"/>
      <c r="D1741" s="2"/>
      <c r="E1741" s="2"/>
      <c r="F1741" s="2"/>
      <c r="G1741" s="2"/>
      <c r="H1741" s="2"/>
      <c r="I1741" s="2"/>
    </row>
    <row r="1742" ht="22" customHeight="1">
      <c r="A1742" t="inlineStr" s="1">
        <is>
          <t>日期</t>
        </is>
      </c>
      <c r="B1742" t="inlineStr" s="1">
        <is>
          <t>星期</t>
        </is>
      </c>
      <c r="C1742" t="inlineStr" s="1">
        <is>
          <t>分类</t>
        </is>
      </c>
      <c r="D1742" t="inlineStr" s="1">
        <is>
          <t>事项</t>
        </is>
      </c>
      <c r="E1742" t="inlineStr" s="1">
        <is>
          <t>支出金额</t>
        </is>
      </c>
      <c r="F1742" t="inlineStr" s="1">
        <is>
          <t>收入金额</t>
        </is>
      </c>
      <c r="G1742" t="inlineStr" s="1">
        <is>
          <t>当笔净额</t>
        </is>
      </c>
      <c r="H1742" t="inlineStr" s="1">
        <is>
          <t>支付方式</t>
        </is>
      </c>
      <c r="I1742" t="inlineStr" s="1">
        <is>
          <t>备注</t>
        </is>
      </c>
    </row>
    <row r="1743" ht="21" customHeight="1">
      <c r="A1743" s="3">
        <v>46433</v>
      </c>
      <c r="B1743" t="inlineStr" s="4">
        <is>
          <t>星期一</t>
        </is>
      </c>
      <c r="C1743" t="inlineStr" s="4">
        <is>
          <t>餐饮</t>
        </is>
      </c>
      <c r="D1743" t="inlineStr" s="5">
        <is>
          <t>早餐</t>
        </is>
      </c>
      <c r="E1743" s="6"/>
      <c r="F1743" s="6"/>
      <c r="G1743" s="6">
        <f>IF(AND(E1743="",F1743=""),"",F1743-E1743)</f>
      </c>
      <c r="H1743" s="4"/>
      <c r="I1743" s="5"/>
    </row>
    <row r="1744" ht="21" customHeight="1">
      <c r="A1744" s="3">
        <v>46433</v>
      </c>
      <c r="B1744" t="inlineStr" s="4">
        <is>
          <t>星期一</t>
        </is>
      </c>
      <c r="C1744" t="inlineStr" s="4">
        <is>
          <t>餐饮</t>
        </is>
      </c>
      <c r="D1744" t="inlineStr" s="5">
        <is>
          <t>中餐</t>
        </is>
      </c>
      <c r="E1744" s="6"/>
      <c r="F1744" s="6"/>
      <c r="G1744" s="6">
        <f>IF(AND(E1744="",F1744=""),"",F1744-E1744)</f>
      </c>
      <c r="H1744" s="4"/>
      <c r="I1744" s="5"/>
    </row>
    <row r="1745" ht="21" customHeight="1">
      <c r="A1745" s="3">
        <v>46433</v>
      </c>
      <c r="B1745" t="inlineStr" s="4">
        <is>
          <t>星期一</t>
        </is>
      </c>
      <c r="C1745" t="inlineStr" s="4">
        <is>
          <t>餐饮</t>
        </is>
      </c>
      <c r="D1745" t="inlineStr" s="5">
        <is>
          <t>晚餐</t>
        </is>
      </c>
      <c r="E1745" s="6"/>
      <c r="F1745" s="6"/>
      <c r="G1745" s="6">
        <f>IF(AND(E1745="",F1745=""),"",F1745-E1745)</f>
      </c>
      <c r="H1745" s="4"/>
      <c r="I1745" s="5"/>
    </row>
    <row r="1746" ht="21" customHeight="1">
      <c r="A1746" s="3">
        <v>46433</v>
      </c>
      <c r="B1746" t="inlineStr" s="4">
        <is>
          <t>星期一</t>
        </is>
      </c>
      <c r="C1746" t="inlineStr" s="4">
        <is>
          <t>奶茶/咖啡</t>
        </is>
      </c>
      <c r="D1746" t="inlineStr" s="5">
        <is>
          <t>奶茶/咖啡</t>
        </is>
      </c>
      <c r="E1746" s="6"/>
      <c r="F1746" s="6"/>
      <c r="G1746" s="6">
        <f>IF(AND(E1746="",F1746=""),"",F1746-E1746)</f>
      </c>
      <c r="H1746" s="4"/>
      <c r="I1746" s="5"/>
    </row>
    <row r="1747" ht="21" customHeight="1">
      <c r="A1747" s="3">
        <v>46433</v>
      </c>
      <c r="B1747" t="inlineStr" s="4">
        <is>
          <t>星期一</t>
        </is>
      </c>
      <c r="C1747" t="inlineStr" s="4">
        <is>
          <t>其他</t>
        </is>
      </c>
      <c r="D1747" t="inlineStr" s="5">
        <is>
          <t>其他</t>
        </is>
      </c>
      <c r="E1747" s="6"/>
      <c r="F1747" s="6"/>
      <c r="G1747" s="6">
        <f>IF(AND(E1747="",F1747=""),"",F1747-E1747)</f>
      </c>
      <c r="H1747" s="4"/>
      <c r="I1747" s="5"/>
    </row>
    <row r="1748" ht="21" customHeight="1">
      <c r="A1748" s="3">
        <v>46433</v>
      </c>
      <c r="B1748" t="inlineStr" s="4">
        <is>
          <t>星期一</t>
        </is>
      </c>
      <c r="C1748" t="inlineStr" s="4">
        <is>
          <t>其他</t>
        </is>
      </c>
      <c r="D1748" t="inlineStr" s="5">
        <is>
          <t>其他</t>
        </is>
      </c>
      <c r="E1748" s="6"/>
      <c r="F1748" s="6"/>
      <c r="G1748" s="6">
        <f>IF(AND(E1748="",F1748=""),"",F1748-E1748)</f>
      </c>
      <c r="H1748" s="4"/>
      <c r="I1748" s="5"/>
    </row>
    <row r="1749" ht="21" customHeight="1">
      <c r="A1749" s="3">
        <v>46434</v>
      </c>
      <c r="B1749" t="inlineStr" s="4">
        <is>
          <t>星期二</t>
        </is>
      </c>
      <c r="C1749" t="inlineStr" s="4">
        <is>
          <t>餐饮</t>
        </is>
      </c>
      <c r="D1749" t="inlineStr" s="5">
        <is>
          <t>早餐</t>
        </is>
      </c>
      <c r="E1749" s="6"/>
      <c r="F1749" s="6"/>
      <c r="G1749" s="6">
        <f>IF(AND(E1749="",F1749=""),"",F1749-E1749)</f>
      </c>
      <c r="H1749" s="4"/>
      <c r="I1749" s="5"/>
    </row>
    <row r="1750" ht="21" customHeight="1">
      <c r="A1750" s="3">
        <v>46434</v>
      </c>
      <c r="B1750" t="inlineStr" s="4">
        <is>
          <t>星期二</t>
        </is>
      </c>
      <c r="C1750" t="inlineStr" s="4">
        <is>
          <t>餐饮</t>
        </is>
      </c>
      <c r="D1750" t="inlineStr" s="5">
        <is>
          <t>中餐</t>
        </is>
      </c>
      <c r="E1750" s="6"/>
      <c r="F1750" s="6"/>
      <c r="G1750" s="6">
        <f>IF(AND(E1750="",F1750=""),"",F1750-E1750)</f>
      </c>
      <c r="H1750" s="4"/>
      <c r="I1750" s="5"/>
    </row>
    <row r="1751" ht="21" customHeight="1">
      <c r="A1751" s="3">
        <v>46434</v>
      </c>
      <c r="B1751" t="inlineStr" s="4">
        <is>
          <t>星期二</t>
        </is>
      </c>
      <c r="C1751" t="inlineStr" s="4">
        <is>
          <t>餐饮</t>
        </is>
      </c>
      <c r="D1751" t="inlineStr" s="5">
        <is>
          <t>晚餐</t>
        </is>
      </c>
      <c r="E1751" s="6"/>
      <c r="F1751" s="6"/>
      <c r="G1751" s="6">
        <f>IF(AND(E1751="",F1751=""),"",F1751-E1751)</f>
      </c>
      <c r="H1751" s="4"/>
      <c r="I1751" s="5"/>
    </row>
    <row r="1752" ht="21" customHeight="1">
      <c r="A1752" s="3">
        <v>46434</v>
      </c>
      <c r="B1752" t="inlineStr" s="4">
        <is>
          <t>星期二</t>
        </is>
      </c>
      <c r="C1752" t="inlineStr" s="4">
        <is>
          <t>奶茶/咖啡</t>
        </is>
      </c>
      <c r="D1752" t="inlineStr" s="5">
        <is>
          <t>奶茶/咖啡</t>
        </is>
      </c>
      <c r="E1752" s="6"/>
      <c r="F1752" s="6"/>
      <c r="G1752" s="6">
        <f>IF(AND(E1752="",F1752=""),"",F1752-E1752)</f>
      </c>
      <c r="H1752" s="4"/>
      <c r="I1752" s="5"/>
    </row>
    <row r="1753" ht="21" customHeight="1">
      <c r="A1753" s="3">
        <v>46434</v>
      </c>
      <c r="B1753" t="inlineStr" s="4">
        <is>
          <t>星期二</t>
        </is>
      </c>
      <c r="C1753" t="inlineStr" s="4">
        <is>
          <t>其他</t>
        </is>
      </c>
      <c r="D1753" t="inlineStr" s="5">
        <is>
          <t>其他</t>
        </is>
      </c>
      <c r="E1753" s="6"/>
      <c r="F1753" s="6"/>
      <c r="G1753" s="6">
        <f>IF(AND(E1753="",F1753=""),"",F1753-E1753)</f>
      </c>
      <c r="H1753" s="4"/>
      <c r="I1753" s="5"/>
    </row>
    <row r="1754" ht="21" customHeight="1">
      <c r="A1754" s="3">
        <v>46434</v>
      </c>
      <c r="B1754" t="inlineStr" s="4">
        <is>
          <t>星期二</t>
        </is>
      </c>
      <c r="C1754" t="inlineStr" s="4">
        <is>
          <t>其他</t>
        </is>
      </c>
      <c r="D1754" t="inlineStr" s="5">
        <is>
          <t>其他</t>
        </is>
      </c>
      <c r="E1754" s="6"/>
      <c r="F1754" s="6"/>
      <c r="G1754" s="6">
        <f>IF(AND(E1754="",F1754=""),"",F1754-E1754)</f>
      </c>
      <c r="H1754" s="4"/>
      <c r="I1754" s="5"/>
    </row>
    <row r="1755" ht="21" customHeight="1">
      <c r="A1755" s="3">
        <v>46435</v>
      </c>
      <c r="B1755" t="inlineStr" s="4">
        <is>
          <t>星期三</t>
        </is>
      </c>
      <c r="C1755" t="inlineStr" s="4">
        <is>
          <t>餐饮</t>
        </is>
      </c>
      <c r="D1755" t="inlineStr" s="5">
        <is>
          <t>早餐</t>
        </is>
      </c>
      <c r="E1755" s="6"/>
      <c r="F1755" s="6"/>
      <c r="G1755" s="6">
        <f>IF(AND(E1755="",F1755=""),"",F1755-E1755)</f>
      </c>
      <c r="H1755" s="4"/>
      <c r="I1755" s="5"/>
    </row>
    <row r="1756" ht="21" customHeight="1">
      <c r="A1756" s="3">
        <v>46435</v>
      </c>
      <c r="B1756" t="inlineStr" s="4">
        <is>
          <t>星期三</t>
        </is>
      </c>
      <c r="C1756" t="inlineStr" s="4">
        <is>
          <t>餐饮</t>
        </is>
      </c>
      <c r="D1756" t="inlineStr" s="5">
        <is>
          <t>中餐</t>
        </is>
      </c>
      <c r="E1756" s="6"/>
      <c r="F1756" s="6"/>
      <c r="G1756" s="6">
        <f>IF(AND(E1756="",F1756=""),"",F1756-E1756)</f>
      </c>
      <c r="H1756" s="4"/>
      <c r="I1756" s="5"/>
    </row>
    <row r="1757" ht="21" customHeight="1">
      <c r="A1757" s="3">
        <v>46435</v>
      </c>
      <c r="B1757" t="inlineStr" s="4">
        <is>
          <t>星期三</t>
        </is>
      </c>
      <c r="C1757" t="inlineStr" s="4">
        <is>
          <t>餐饮</t>
        </is>
      </c>
      <c r="D1757" t="inlineStr" s="5">
        <is>
          <t>晚餐</t>
        </is>
      </c>
      <c r="E1757" s="6"/>
      <c r="F1757" s="6"/>
      <c r="G1757" s="6">
        <f>IF(AND(E1757="",F1757=""),"",F1757-E1757)</f>
      </c>
      <c r="H1757" s="4"/>
      <c r="I1757" s="5"/>
    </row>
    <row r="1758" ht="21" customHeight="1">
      <c r="A1758" s="3">
        <v>46435</v>
      </c>
      <c r="B1758" t="inlineStr" s="4">
        <is>
          <t>星期三</t>
        </is>
      </c>
      <c r="C1758" t="inlineStr" s="4">
        <is>
          <t>奶茶/咖啡</t>
        </is>
      </c>
      <c r="D1758" t="inlineStr" s="5">
        <is>
          <t>奶茶/咖啡</t>
        </is>
      </c>
      <c r="E1758" s="6"/>
      <c r="F1758" s="6"/>
      <c r="G1758" s="6">
        <f>IF(AND(E1758="",F1758=""),"",F1758-E1758)</f>
      </c>
      <c r="H1758" s="4"/>
      <c r="I1758" s="5"/>
    </row>
    <row r="1759" ht="21" customHeight="1">
      <c r="A1759" s="3">
        <v>46435</v>
      </c>
      <c r="B1759" t="inlineStr" s="4">
        <is>
          <t>星期三</t>
        </is>
      </c>
      <c r="C1759" t="inlineStr" s="4">
        <is>
          <t>其他</t>
        </is>
      </c>
      <c r="D1759" t="inlineStr" s="5">
        <is>
          <t>其他</t>
        </is>
      </c>
      <c r="E1759" s="6"/>
      <c r="F1759" s="6"/>
      <c r="G1759" s="6">
        <f>IF(AND(E1759="",F1759=""),"",F1759-E1759)</f>
      </c>
      <c r="H1759" s="4"/>
      <c r="I1759" s="5"/>
    </row>
    <row r="1760" ht="21" customHeight="1">
      <c r="A1760" s="3">
        <v>46435</v>
      </c>
      <c r="B1760" t="inlineStr" s="4">
        <is>
          <t>星期三</t>
        </is>
      </c>
      <c r="C1760" t="inlineStr" s="4">
        <is>
          <t>其他</t>
        </is>
      </c>
      <c r="D1760" t="inlineStr" s="5">
        <is>
          <t>其他</t>
        </is>
      </c>
      <c r="E1760" s="6"/>
      <c r="F1760" s="6"/>
      <c r="G1760" s="6">
        <f>IF(AND(E1760="",F1760=""),"",F1760-E1760)</f>
      </c>
      <c r="H1760" s="4"/>
      <c r="I1760" s="5"/>
    </row>
    <row r="1761" ht="21" customHeight="1">
      <c r="A1761" s="3">
        <v>46436</v>
      </c>
      <c r="B1761" t="inlineStr" s="4">
        <is>
          <t>星期四</t>
        </is>
      </c>
      <c r="C1761" t="inlineStr" s="4">
        <is>
          <t>餐饮</t>
        </is>
      </c>
      <c r="D1761" t="inlineStr" s="5">
        <is>
          <t>早餐</t>
        </is>
      </c>
      <c r="E1761" s="6"/>
      <c r="F1761" s="6"/>
      <c r="G1761" s="6">
        <f>IF(AND(E1761="",F1761=""),"",F1761-E1761)</f>
      </c>
      <c r="H1761" s="4"/>
      <c r="I1761" s="5"/>
    </row>
    <row r="1762" ht="21" customHeight="1">
      <c r="A1762" s="3">
        <v>46436</v>
      </c>
      <c r="B1762" t="inlineStr" s="4">
        <is>
          <t>星期四</t>
        </is>
      </c>
      <c r="C1762" t="inlineStr" s="4">
        <is>
          <t>餐饮</t>
        </is>
      </c>
      <c r="D1762" t="inlineStr" s="5">
        <is>
          <t>中餐</t>
        </is>
      </c>
      <c r="E1762" s="6"/>
      <c r="F1762" s="6"/>
      <c r="G1762" s="6">
        <f>IF(AND(E1762="",F1762=""),"",F1762-E1762)</f>
      </c>
      <c r="H1762" s="4"/>
      <c r="I1762" s="5"/>
    </row>
    <row r="1763" ht="21" customHeight="1">
      <c r="A1763" s="3">
        <v>46436</v>
      </c>
      <c r="B1763" t="inlineStr" s="4">
        <is>
          <t>星期四</t>
        </is>
      </c>
      <c r="C1763" t="inlineStr" s="4">
        <is>
          <t>餐饮</t>
        </is>
      </c>
      <c r="D1763" t="inlineStr" s="5">
        <is>
          <t>晚餐</t>
        </is>
      </c>
      <c r="E1763" s="6"/>
      <c r="F1763" s="6"/>
      <c r="G1763" s="6">
        <f>IF(AND(E1763="",F1763=""),"",F1763-E1763)</f>
      </c>
      <c r="H1763" s="4"/>
      <c r="I1763" s="5"/>
    </row>
    <row r="1764" ht="21" customHeight="1">
      <c r="A1764" s="3">
        <v>46436</v>
      </c>
      <c r="B1764" t="inlineStr" s="4">
        <is>
          <t>星期四</t>
        </is>
      </c>
      <c r="C1764" t="inlineStr" s="4">
        <is>
          <t>奶茶/咖啡</t>
        </is>
      </c>
      <c r="D1764" t="inlineStr" s="5">
        <is>
          <t>奶茶/咖啡</t>
        </is>
      </c>
      <c r="E1764" s="6"/>
      <c r="F1764" s="6"/>
      <c r="G1764" s="6">
        <f>IF(AND(E1764="",F1764=""),"",F1764-E1764)</f>
      </c>
      <c r="H1764" s="4"/>
      <c r="I1764" s="5"/>
    </row>
    <row r="1765" ht="21" customHeight="1">
      <c r="A1765" s="3">
        <v>46436</v>
      </c>
      <c r="B1765" t="inlineStr" s="4">
        <is>
          <t>星期四</t>
        </is>
      </c>
      <c r="C1765" t="inlineStr" s="4">
        <is>
          <t>其他</t>
        </is>
      </c>
      <c r="D1765" t="inlineStr" s="5">
        <is>
          <t>其他</t>
        </is>
      </c>
      <c r="E1765" s="6"/>
      <c r="F1765" s="6"/>
      <c r="G1765" s="6">
        <f>IF(AND(E1765="",F1765=""),"",F1765-E1765)</f>
      </c>
      <c r="H1765" s="4"/>
      <c r="I1765" s="5"/>
    </row>
    <row r="1766" ht="21" customHeight="1">
      <c r="A1766" s="3">
        <v>46436</v>
      </c>
      <c r="B1766" t="inlineStr" s="4">
        <is>
          <t>星期四</t>
        </is>
      </c>
      <c r="C1766" t="inlineStr" s="4">
        <is>
          <t>其他</t>
        </is>
      </c>
      <c r="D1766" t="inlineStr" s="5">
        <is>
          <t>其他</t>
        </is>
      </c>
      <c r="E1766" s="6"/>
      <c r="F1766" s="6"/>
      <c r="G1766" s="6">
        <f>IF(AND(E1766="",F1766=""),"",F1766-E1766)</f>
      </c>
      <c r="H1766" s="4"/>
      <c r="I1766" s="5"/>
    </row>
    <row r="1767" ht="21" customHeight="1">
      <c r="A1767" s="3">
        <v>46437</v>
      </c>
      <c r="B1767" t="inlineStr" s="4">
        <is>
          <t>星期五</t>
        </is>
      </c>
      <c r="C1767" t="inlineStr" s="4">
        <is>
          <t>餐饮</t>
        </is>
      </c>
      <c r="D1767" t="inlineStr" s="5">
        <is>
          <t>早餐</t>
        </is>
      </c>
      <c r="E1767" s="6"/>
      <c r="F1767" s="6"/>
      <c r="G1767" s="6">
        <f>IF(AND(E1767="",F1767=""),"",F1767-E1767)</f>
      </c>
      <c r="H1767" s="4"/>
      <c r="I1767" s="5"/>
    </row>
    <row r="1768" ht="21" customHeight="1">
      <c r="A1768" s="3">
        <v>46437</v>
      </c>
      <c r="B1768" t="inlineStr" s="4">
        <is>
          <t>星期五</t>
        </is>
      </c>
      <c r="C1768" t="inlineStr" s="4">
        <is>
          <t>餐饮</t>
        </is>
      </c>
      <c r="D1768" t="inlineStr" s="5">
        <is>
          <t>中餐</t>
        </is>
      </c>
      <c r="E1768" s="6"/>
      <c r="F1768" s="6"/>
      <c r="G1768" s="6">
        <f>IF(AND(E1768="",F1768=""),"",F1768-E1768)</f>
      </c>
      <c r="H1768" s="4"/>
      <c r="I1768" s="5"/>
    </row>
    <row r="1769" ht="21" customHeight="1">
      <c r="A1769" s="3">
        <v>46437</v>
      </c>
      <c r="B1769" t="inlineStr" s="4">
        <is>
          <t>星期五</t>
        </is>
      </c>
      <c r="C1769" t="inlineStr" s="4">
        <is>
          <t>餐饮</t>
        </is>
      </c>
      <c r="D1769" t="inlineStr" s="5">
        <is>
          <t>晚餐</t>
        </is>
      </c>
      <c r="E1769" s="6"/>
      <c r="F1769" s="6"/>
      <c r="G1769" s="6">
        <f>IF(AND(E1769="",F1769=""),"",F1769-E1769)</f>
      </c>
      <c r="H1769" s="4"/>
      <c r="I1769" s="5"/>
    </row>
    <row r="1770" ht="21" customHeight="1">
      <c r="A1770" s="3">
        <v>46437</v>
      </c>
      <c r="B1770" t="inlineStr" s="4">
        <is>
          <t>星期五</t>
        </is>
      </c>
      <c r="C1770" t="inlineStr" s="4">
        <is>
          <t>奶茶/咖啡</t>
        </is>
      </c>
      <c r="D1770" t="inlineStr" s="5">
        <is>
          <t>奶茶/咖啡</t>
        </is>
      </c>
      <c r="E1770" s="6"/>
      <c r="F1770" s="6"/>
      <c r="G1770" s="6">
        <f>IF(AND(E1770="",F1770=""),"",F1770-E1770)</f>
      </c>
      <c r="H1770" s="4"/>
      <c r="I1770" s="5"/>
    </row>
    <row r="1771" ht="21" customHeight="1">
      <c r="A1771" s="3">
        <v>46437</v>
      </c>
      <c r="B1771" t="inlineStr" s="4">
        <is>
          <t>星期五</t>
        </is>
      </c>
      <c r="C1771" t="inlineStr" s="4">
        <is>
          <t>其他</t>
        </is>
      </c>
      <c r="D1771" t="inlineStr" s="5">
        <is>
          <t>其他</t>
        </is>
      </c>
      <c r="E1771" s="6"/>
      <c r="F1771" s="6"/>
      <c r="G1771" s="6">
        <f>IF(AND(E1771="",F1771=""),"",F1771-E1771)</f>
      </c>
      <c r="H1771" s="4"/>
      <c r="I1771" s="5"/>
    </row>
    <row r="1772" ht="21" customHeight="1">
      <c r="A1772" s="3">
        <v>46437</v>
      </c>
      <c r="B1772" t="inlineStr" s="4">
        <is>
          <t>星期五</t>
        </is>
      </c>
      <c r="C1772" t="inlineStr" s="4">
        <is>
          <t>其他</t>
        </is>
      </c>
      <c r="D1772" t="inlineStr" s="5">
        <is>
          <t>其他</t>
        </is>
      </c>
      <c r="E1772" s="6"/>
      <c r="F1772" s="6"/>
      <c r="G1772" s="6">
        <f>IF(AND(E1772="",F1772=""),"",F1772-E1772)</f>
      </c>
      <c r="H1772" s="4"/>
      <c r="I1772" s="5"/>
    </row>
    <row r="1773" ht="21" customHeight="1">
      <c r="A1773" s="3">
        <v>46438</v>
      </c>
      <c r="B1773" t="inlineStr" s="4">
        <is>
          <t>星期六</t>
        </is>
      </c>
      <c r="C1773" t="inlineStr" s="4">
        <is>
          <t>餐饮</t>
        </is>
      </c>
      <c r="D1773" t="inlineStr" s="5">
        <is>
          <t>早餐</t>
        </is>
      </c>
      <c r="E1773" s="6"/>
      <c r="F1773" s="6"/>
      <c r="G1773" s="6">
        <f>IF(AND(E1773="",F1773=""),"",F1773-E1773)</f>
      </c>
      <c r="H1773" s="4"/>
      <c r="I1773" s="5"/>
    </row>
    <row r="1774" ht="21" customHeight="1">
      <c r="A1774" s="3">
        <v>46438</v>
      </c>
      <c r="B1774" t="inlineStr" s="4">
        <is>
          <t>星期六</t>
        </is>
      </c>
      <c r="C1774" t="inlineStr" s="4">
        <is>
          <t>餐饮</t>
        </is>
      </c>
      <c r="D1774" t="inlineStr" s="5">
        <is>
          <t>中餐</t>
        </is>
      </c>
      <c r="E1774" s="6"/>
      <c r="F1774" s="6"/>
      <c r="G1774" s="6">
        <f>IF(AND(E1774="",F1774=""),"",F1774-E1774)</f>
      </c>
      <c r="H1774" s="4"/>
      <c r="I1774" s="5"/>
    </row>
    <row r="1775" ht="21" customHeight="1">
      <c r="A1775" s="3">
        <v>46438</v>
      </c>
      <c r="B1775" t="inlineStr" s="4">
        <is>
          <t>星期六</t>
        </is>
      </c>
      <c r="C1775" t="inlineStr" s="4">
        <is>
          <t>餐饮</t>
        </is>
      </c>
      <c r="D1775" t="inlineStr" s="5">
        <is>
          <t>晚餐</t>
        </is>
      </c>
      <c r="E1775" s="6"/>
      <c r="F1775" s="6"/>
      <c r="G1775" s="6">
        <f>IF(AND(E1775="",F1775=""),"",F1775-E1775)</f>
      </c>
      <c r="H1775" s="4"/>
      <c r="I1775" s="5"/>
    </row>
    <row r="1776" ht="21" customHeight="1">
      <c r="A1776" s="3">
        <v>46438</v>
      </c>
      <c r="B1776" t="inlineStr" s="4">
        <is>
          <t>星期六</t>
        </is>
      </c>
      <c r="C1776" t="inlineStr" s="4">
        <is>
          <t>奶茶/咖啡</t>
        </is>
      </c>
      <c r="D1776" t="inlineStr" s="5">
        <is>
          <t>奶茶/咖啡</t>
        </is>
      </c>
      <c r="E1776" s="6"/>
      <c r="F1776" s="6"/>
      <c r="G1776" s="6">
        <f>IF(AND(E1776="",F1776=""),"",F1776-E1776)</f>
      </c>
      <c r="H1776" s="4"/>
      <c r="I1776" s="5"/>
    </row>
    <row r="1777" ht="21" customHeight="1">
      <c r="A1777" s="3">
        <v>46438</v>
      </c>
      <c r="B1777" t="inlineStr" s="4">
        <is>
          <t>星期六</t>
        </is>
      </c>
      <c r="C1777" t="inlineStr" s="4">
        <is>
          <t>其他</t>
        </is>
      </c>
      <c r="D1777" t="inlineStr" s="5">
        <is>
          <t>其他</t>
        </is>
      </c>
      <c r="E1777" s="6"/>
      <c r="F1777" s="6"/>
      <c r="G1777" s="6">
        <f>IF(AND(E1777="",F1777=""),"",F1777-E1777)</f>
      </c>
      <c r="H1777" s="4"/>
      <c r="I1777" s="5"/>
    </row>
    <row r="1778" ht="21" customHeight="1">
      <c r="A1778" s="3">
        <v>46438</v>
      </c>
      <c r="B1778" t="inlineStr" s="4">
        <is>
          <t>星期六</t>
        </is>
      </c>
      <c r="C1778" t="inlineStr" s="4">
        <is>
          <t>其他</t>
        </is>
      </c>
      <c r="D1778" t="inlineStr" s="5">
        <is>
          <t>其他</t>
        </is>
      </c>
      <c r="E1778" s="6"/>
      <c r="F1778" s="6"/>
      <c r="G1778" s="6">
        <f>IF(AND(E1778="",F1778=""),"",F1778-E1778)</f>
      </c>
      <c r="H1778" s="4"/>
      <c r="I1778" s="5"/>
    </row>
    <row r="1779" ht="21" customHeight="1">
      <c r="A1779" s="3">
        <v>46439</v>
      </c>
      <c r="B1779" t="inlineStr" s="4">
        <is>
          <t>星期日</t>
        </is>
      </c>
      <c r="C1779" t="inlineStr" s="4">
        <is>
          <t>餐饮</t>
        </is>
      </c>
      <c r="D1779" t="inlineStr" s="5">
        <is>
          <t>早餐</t>
        </is>
      </c>
      <c r="E1779" s="6"/>
      <c r="F1779" s="6"/>
      <c r="G1779" s="6">
        <f>IF(AND(E1779="",F1779=""),"",F1779-E1779)</f>
      </c>
      <c r="H1779" s="4"/>
      <c r="I1779" s="5"/>
    </row>
    <row r="1780" ht="21" customHeight="1">
      <c r="A1780" s="3">
        <v>46439</v>
      </c>
      <c r="B1780" t="inlineStr" s="4">
        <is>
          <t>星期日</t>
        </is>
      </c>
      <c r="C1780" t="inlineStr" s="4">
        <is>
          <t>餐饮</t>
        </is>
      </c>
      <c r="D1780" t="inlineStr" s="5">
        <is>
          <t>中餐</t>
        </is>
      </c>
      <c r="E1780" s="6"/>
      <c r="F1780" s="6"/>
      <c r="G1780" s="6">
        <f>IF(AND(E1780="",F1780=""),"",F1780-E1780)</f>
      </c>
      <c r="H1780" s="4"/>
      <c r="I1780" s="5"/>
    </row>
    <row r="1781" ht="21" customHeight="1">
      <c r="A1781" s="3">
        <v>46439</v>
      </c>
      <c r="B1781" t="inlineStr" s="4">
        <is>
          <t>星期日</t>
        </is>
      </c>
      <c r="C1781" t="inlineStr" s="4">
        <is>
          <t>餐饮</t>
        </is>
      </c>
      <c r="D1781" t="inlineStr" s="5">
        <is>
          <t>晚餐</t>
        </is>
      </c>
      <c r="E1781" s="6"/>
      <c r="F1781" s="6"/>
      <c r="G1781" s="6">
        <f>IF(AND(E1781="",F1781=""),"",F1781-E1781)</f>
      </c>
      <c r="H1781" s="4"/>
      <c r="I1781" s="5"/>
    </row>
    <row r="1782" ht="21" customHeight="1">
      <c r="A1782" s="3">
        <v>46439</v>
      </c>
      <c r="B1782" t="inlineStr" s="4">
        <is>
          <t>星期日</t>
        </is>
      </c>
      <c r="C1782" t="inlineStr" s="4">
        <is>
          <t>奶茶/咖啡</t>
        </is>
      </c>
      <c r="D1782" t="inlineStr" s="5">
        <is>
          <t>奶茶/咖啡</t>
        </is>
      </c>
      <c r="E1782" s="6"/>
      <c r="F1782" s="6"/>
      <c r="G1782" s="6">
        <f>IF(AND(E1782="",F1782=""),"",F1782-E1782)</f>
      </c>
      <c r="H1782" s="4"/>
      <c r="I1782" s="5"/>
    </row>
    <row r="1783" ht="21" customHeight="1">
      <c r="A1783" s="3">
        <v>46439</v>
      </c>
      <c r="B1783" t="inlineStr" s="4">
        <is>
          <t>星期日</t>
        </is>
      </c>
      <c r="C1783" t="inlineStr" s="4">
        <is>
          <t>其他</t>
        </is>
      </c>
      <c r="D1783" t="inlineStr" s="5">
        <is>
          <t>其他</t>
        </is>
      </c>
      <c r="E1783" s="6"/>
      <c r="F1783" s="6"/>
      <c r="G1783" s="6">
        <f>IF(AND(E1783="",F1783=""),"",F1783-E1783)</f>
      </c>
      <c r="H1783" s="4"/>
      <c r="I1783" s="5"/>
    </row>
    <row r="1784" ht="21" customHeight="1">
      <c r="A1784" s="3">
        <v>46439</v>
      </c>
      <c r="B1784" t="inlineStr" s="4">
        <is>
          <t>星期日</t>
        </is>
      </c>
      <c r="C1784" t="inlineStr" s="4">
        <is>
          <t>其他</t>
        </is>
      </c>
      <c r="D1784" t="inlineStr" s="5">
        <is>
          <t>其他</t>
        </is>
      </c>
      <c r="E1784" s="6"/>
      <c r="F1784" s="6"/>
      <c r="G1784" s="6">
        <f>IF(AND(E1784="",F1784=""),"",F1784-E1784)</f>
      </c>
      <c r="H1784" s="4"/>
      <c r="I1784" s="5"/>
    </row>
    <row r="1785" ht="23" customHeight="1">
      <c r="A1785" t="inlineStr" s="7">
        <is>
          <t>本周小计</t>
        </is>
      </c>
      <c r="B1785" s="7"/>
      <c r="C1785" s="7"/>
      <c r="D1785" s="7"/>
      <c r="E1785" s="8">
        <f>SUM(E1743:E1784)</f>
      </c>
      <c r="F1785" s="8">
        <f>SUM(F1743:F1784)</f>
      </c>
      <c r="G1785" s="8">
        <f>SUM(G1743:G1784)</f>
      </c>
      <c r="H1785" s="7"/>
      <c r="I1785" s="7"/>
    </row>
    <row r="1786" ht="18" customHeight="1">
      <c r="A1786" s="9"/>
      <c r="B1786" s="9"/>
      <c r="C1786" s="9"/>
      <c r="D1786" s="9"/>
      <c r="E1786" s="9"/>
      <c r="F1786" s="9"/>
      <c r="G1786" s="9"/>
      <c r="H1786" s="9"/>
      <c r="I1786" s="9"/>
    </row>
    <row r="1787" ht="18" customHeight="1">
      <c r="A1787" s="9"/>
      <c r="B1787" s="9"/>
      <c r="C1787" s="9"/>
      <c r="D1787" s="9"/>
      <c r="E1787" s="9"/>
      <c r="F1787" s="9"/>
      <c r="G1787" s="9"/>
      <c r="H1787" s="9"/>
      <c r="I1787" s="9"/>
    </row>
    <row r="1788" ht="26" customHeight="1">
      <c r="A1788" t="inlineStr" s="2">
        <is>
          <t>2027年2月｜第四周（2月22日 - 2月28日）</t>
        </is>
      </c>
      <c r="B1788" s="2"/>
      <c r="C1788" s="2"/>
      <c r="D1788" s="2"/>
      <c r="E1788" s="2"/>
      <c r="F1788" s="2"/>
      <c r="G1788" s="2"/>
      <c r="H1788" s="2"/>
      <c r="I1788" s="2"/>
    </row>
    <row r="1789" ht="22" customHeight="1">
      <c r="A1789" t="inlineStr" s="1">
        <is>
          <t>日期</t>
        </is>
      </c>
      <c r="B1789" t="inlineStr" s="1">
        <is>
          <t>星期</t>
        </is>
      </c>
      <c r="C1789" t="inlineStr" s="1">
        <is>
          <t>分类</t>
        </is>
      </c>
      <c r="D1789" t="inlineStr" s="1">
        <is>
          <t>事项</t>
        </is>
      </c>
      <c r="E1789" t="inlineStr" s="1">
        <is>
          <t>支出金额</t>
        </is>
      </c>
      <c r="F1789" t="inlineStr" s="1">
        <is>
          <t>收入金额</t>
        </is>
      </c>
      <c r="G1789" t="inlineStr" s="1">
        <is>
          <t>当笔净额</t>
        </is>
      </c>
      <c r="H1789" t="inlineStr" s="1">
        <is>
          <t>支付方式</t>
        </is>
      </c>
      <c r="I1789" t="inlineStr" s="1">
        <is>
          <t>备注</t>
        </is>
      </c>
    </row>
    <row r="1790" ht="21" customHeight="1">
      <c r="A1790" s="3">
        <v>46440</v>
      </c>
      <c r="B1790" t="inlineStr" s="4">
        <is>
          <t>星期一</t>
        </is>
      </c>
      <c r="C1790" t="inlineStr" s="4">
        <is>
          <t>餐饮</t>
        </is>
      </c>
      <c r="D1790" t="inlineStr" s="5">
        <is>
          <t>早餐</t>
        </is>
      </c>
      <c r="E1790" s="6"/>
      <c r="F1790" s="6"/>
      <c r="G1790" s="6">
        <f>IF(AND(E1790="",F1790=""),"",F1790-E1790)</f>
      </c>
      <c r="H1790" s="4"/>
      <c r="I1790" s="5"/>
    </row>
    <row r="1791" ht="21" customHeight="1">
      <c r="A1791" s="3">
        <v>46440</v>
      </c>
      <c r="B1791" t="inlineStr" s="4">
        <is>
          <t>星期一</t>
        </is>
      </c>
      <c r="C1791" t="inlineStr" s="4">
        <is>
          <t>餐饮</t>
        </is>
      </c>
      <c r="D1791" t="inlineStr" s="5">
        <is>
          <t>中餐</t>
        </is>
      </c>
      <c r="E1791" s="6"/>
      <c r="F1791" s="6"/>
      <c r="G1791" s="6">
        <f>IF(AND(E1791="",F1791=""),"",F1791-E1791)</f>
      </c>
      <c r="H1791" s="4"/>
      <c r="I1791" s="5"/>
    </row>
    <row r="1792" ht="21" customHeight="1">
      <c r="A1792" s="3">
        <v>46440</v>
      </c>
      <c r="B1792" t="inlineStr" s="4">
        <is>
          <t>星期一</t>
        </is>
      </c>
      <c r="C1792" t="inlineStr" s="4">
        <is>
          <t>餐饮</t>
        </is>
      </c>
      <c r="D1792" t="inlineStr" s="5">
        <is>
          <t>晚餐</t>
        </is>
      </c>
      <c r="E1792" s="6"/>
      <c r="F1792" s="6"/>
      <c r="G1792" s="6">
        <f>IF(AND(E1792="",F1792=""),"",F1792-E1792)</f>
      </c>
      <c r="H1792" s="4"/>
      <c r="I1792" s="5"/>
    </row>
    <row r="1793" ht="21" customHeight="1">
      <c r="A1793" s="3">
        <v>46440</v>
      </c>
      <c r="B1793" t="inlineStr" s="4">
        <is>
          <t>星期一</t>
        </is>
      </c>
      <c r="C1793" t="inlineStr" s="4">
        <is>
          <t>奶茶/咖啡</t>
        </is>
      </c>
      <c r="D1793" t="inlineStr" s="5">
        <is>
          <t>奶茶/咖啡</t>
        </is>
      </c>
      <c r="E1793" s="6"/>
      <c r="F1793" s="6"/>
      <c r="G1793" s="6">
        <f>IF(AND(E1793="",F1793=""),"",F1793-E1793)</f>
      </c>
      <c r="H1793" s="4"/>
      <c r="I1793" s="5"/>
    </row>
    <row r="1794" ht="21" customHeight="1">
      <c r="A1794" s="3">
        <v>46440</v>
      </c>
      <c r="B1794" t="inlineStr" s="4">
        <is>
          <t>星期一</t>
        </is>
      </c>
      <c r="C1794" t="inlineStr" s="4">
        <is>
          <t>其他</t>
        </is>
      </c>
      <c r="D1794" t="inlineStr" s="5">
        <is>
          <t>其他</t>
        </is>
      </c>
      <c r="E1794" s="6"/>
      <c r="F1794" s="6"/>
      <c r="G1794" s="6">
        <f>IF(AND(E1794="",F1794=""),"",F1794-E1794)</f>
      </c>
      <c r="H1794" s="4"/>
      <c r="I1794" s="5"/>
    </row>
    <row r="1795" ht="21" customHeight="1">
      <c r="A1795" s="3">
        <v>46440</v>
      </c>
      <c r="B1795" t="inlineStr" s="4">
        <is>
          <t>星期一</t>
        </is>
      </c>
      <c r="C1795" t="inlineStr" s="4">
        <is>
          <t>其他</t>
        </is>
      </c>
      <c r="D1795" t="inlineStr" s="5">
        <is>
          <t>其他</t>
        </is>
      </c>
      <c r="E1795" s="6"/>
      <c r="F1795" s="6"/>
      <c r="G1795" s="6">
        <f>IF(AND(E1795="",F1795=""),"",F1795-E1795)</f>
      </c>
      <c r="H1795" s="4"/>
      <c r="I1795" s="5"/>
    </row>
    <row r="1796" ht="21" customHeight="1">
      <c r="A1796" s="3">
        <v>46441</v>
      </c>
      <c r="B1796" t="inlineStr" s="4">
        <is>
          <t>星期二</t>
        </is>
      </c>
      <c r="C1796" t="inlineStr" s="4">
        <is>
          <t>餐饮</t>
        </is>
      </c>
      <c r="D1796" t="inlineStr" s="5">
        <is>
          <t>早餐</t>
        </is>
      </c>
      <c r="E1796" s="6"/>
      <c r="F1796" s="6"/>
      <c r="G1796" s="6">
        <f>IF(AND(E1796="",F1796=""),"",F1796-E1796)</f>
      </c>
      <c r="H1796" s="4"/>
      <c r="I1796" s="5"/>
    </row>
    <row r="1797" ht="21" customHeight="1">
      <c r="A1797" s="3">
        <v>46441</v>
      </c>
      <c r="B1797" t="inlineStr" s="4">
        <is>
          <t>星期二</t>
        </is>
      </c>
      <c r="C1797" t="inlineStr" s="4">
        <is>
          <t>餐饮</t>
        </is>
      </c>
      <c r="D1797" t="inlineStr" s="5">
        <is>
          <t>中餐</t>
        </is>
      </c>
      <c r="E1797" s="6"/>
      <c r="F1797" s="6"/>
      <c r="G1797" s="6">
        <f>IF(AND(E1797="",F1797=""),"",F1797-E1797)</f>
      </c>
      <c r="H1797" s="4"/>
      <c r="I1797" s="5"/>
    </row>
    <row r="1798" ht="21" customHeight="1">
      <c r="A1798" s="3">
        <v>46441</v>
      </c>
      <c r="B1798" t="inlineStr" s="4">
        <is>
          <t>星期二</t>
        </is>
      </c>
      <c r="C1798" t="inlineStr" s="4">
        <is>
          <t>餐饮</t>
        </is>
      </c>
      <c r="D1798" t="inlineStr" s="5">
        <is>
          <t>晚餐</t>
        </is>
      </c>
      <c r="E1798" s="6"/>
      <c r="F1798" s="6"/>
      <c r="G1798" s="6">
        <f>IF(AND(E1798="",F1798=""),"",F1798-E1798)</f>
      </c>
      <c r="H1798" s="4"/>
      <c r="I1798" s="5"/>
    </row>
    <row r="1799" ht="21" customHeight="1">
      <c r="A1799" s="3">
        <v>46441</v>
      </c>
      <c r="B1799" t="inlineStr" s="4">
        <is>
          <t>星期二</t>
        </is>
      </c>
      <c r="C1799" t="inlineStr" s="4">
        <is>
          <t>奶茶/咖啡</t>
        </is>
      </c>
      <c r="D1799" t="inlineStr" s="5">
        <is>
          <t>奶茶/咖啡</t>
        </is>
      </c>
      <c r="E1799" s="6"/>
      <c r="F1799" s="6"/>
      <c r="G1799" s="6">
        <f>IF(AND(E1799="",F1799=""),"",F1799-E1799)</f>
      </c>
      <c r="H1799" s="4"/>
      <c r="I1799" s="5"/>
    </row>
    <row r="1800" ht="21" customHeight="1">
      <c r="A1800" s="3">
        <v>46441</v>
      </c>
      <c r="B1800" t="inlineStr" s="4">
        <is>
          <t>星期二</t>
        </is>
      </c>
      <c r="C1800" t="inlineStr" s="4">
        <is>
          <t>其他</t>
        </is>
      </c>
      <c r="D1800" t="inlineStr" s="5">
        <is>
          <t>其他</t>
        </is>
      </c>
      <c r="E1800" s="6"/>
      <c r="F1800" s="6"/>
      <c r="G1800" s="6">
        <f>IF(AND(E1800="",F1800=""),"",F1800-E1800)</f>
      </c>
      <c r="H1800" s="4"/>
      <c r="I1800" s="5"/>
    </row>
    <row r="1801" ht="21" customHeight="1">
      <c r="A1801" s="3">
        <v>46441</v>
      </c>
      <c r="B1801" t="inlineStr" s="4">
        <is>
          <t>星期二</t>
        </is>
      </c>
      <c r="C1801" t="inlineStr" s="4">
        <is>
          <t>其他</t>
        </is>
      </c>
      <c r="D1801" t="inlineStr" s="5">
        <is>
          <t>其他</t>
        </is>
      </c>
      <c r="E1801" s="6"/>
      <c r="F1801" s="6"/>
      <c r="G1801" s="6">
        <f>IF(AND(E1801="",F1801=""),"",F1801-E1801)</f>
      </c>
      <c r="H1801" s="4"/>
      <c r="I1801" s="5"/>
    </row>
    <row r="1802" ht="21" customHeight="1">
      <c r="A1802" s="3">
        <v>46442</v>
      </c>
      <c r="B1802" t="inlineStr" s="4">
        <is>
          <t>星期三</t>
        </is>
      </c>
      <c r="C1802" t="inlineStr" s="4">
        <is>
          <t>餐饮</t>
        </is>
      </c>
      <c r="D1802" t="inlineStr" s="5">
        <is>
          <t>早餐</t>
        </is>
      </c>
      <c r="E1802" s="6"/>
      <c r="F1802" s="6"/>
      <c r="G1802" s="6">
        <f>IF(AND(E1802="",F1802=""),"",F1802-E1802)</f>
      </c>
      <c r="H1802" s="4"/>
      <c r="I1802" s="5"/>
    </row>
    <row r="1803" ht="21" customHeight="1">
      <c r="A1803" s="3">
        <v>46442</v>
      </c>
      <c r="B1803" t="inlineStr" s="4">
        <is>
          <t>星期三</t>
        </is>
      </c>
      <c r="C1803" t="inlineStr" s="4">
        <is>
          <t>餐饮</t>
        </is>
      </c>
      <c r="D1803" t="inlineStr" s="5">
        <is>
          <t>中餐</t>
        </is>
      </c>
      <c r="E1803" s="6"/>
      <c r="F1803" s="6"/>
      <c r="G1803" s="6">
        <f>IF(AND(E1803="",F1803=""),"",F1803-E1803)</f>
      </c>
      <c r="H1803" s="4"/>
      <c r="I1803" s="5"/>
    </row>
    <row r="1804" ht="21" customHeight="1">
      <c r="A1804" s="3">
        <v>46442</v>
      </c>
      <c r="B1804" t="inlineStr" s="4">
        <is>
          <t>星期三</t>
        </is>
      </c>
      <c r="C1804" t="inlineStr" s="4">
        <is>
          <t>餐饮</t>
        </is>
      </c>
      <c r="D1804" t="inlineStr" s="5">
        <is>
          <t>晚餐</t>
        </is>
      </c>
      <c r="E1804" s="6"/>
      <c r="F1804" s="6"/>
      <c r="G1804" s="6">
        <f>IF(AND(E1804="",F1804=""),"",F1804-E1804)</f>
      </c>
      <c r="H1804" s="4"/>
      <c r="I1804" s="5"/>
    </row>
    <row r="1805" ht="21" customHeight="1">
      <c r="A1805" s="3">
        <v>46442</v>
      </c>
      <c r="B1805" t="inlineStr" s="4">
        <is>
          <t>星期三</t>
        </is>
      </c>
      <c r="C1805" t="inlineStr" s="4">
        <is>
          <t>奶茶/咖啡</t>
        </is>
      </c>
      <c r="D1805" t="inlineStr" s="5">
        <is>
          <t>奶茶/咖啡</t>
        </is>
      </c>
      <c r="E1805" s="6"/>
      <c r="F1805" s="6"/>
      <c r="G1805" s="6">
        <f>IF(AND(E1805="",F1805=""),"",F1805-E1805)</f>
      </c>
      <c r="H1805" s="4"/>
      <c r="I1805" s="5"/>
    </row>
    <row r="1806" ht="21" customHeight="1">
      <c r="A1806" s="3">
        <v>46442</v>
      </c>
      <c r="B1806" t="inlineStr" s="4">
        <is>
          <t>星期三</t>
        </is>
      </c>
      <c r="C1806" t="inlineStr" s="4">
        <is>
          <t>其他</t>
        </is>
      </c>
      <c r="D1806" t="inlineStr" s="5">
        <is>
          <t>其他</t>
        </is>
      </c>
      <c r="E1806" s="6"/>
      <c r="F1806" s="6"/>
      <c r="G1806" s="6">
        <f>IF(AND(E1806="",F1806=""),"",F1806-E1806)</f>
      </c>
      <c r="H1806" s="4"/>
      <c r="I1806" s="5"/>
    </row>
    <row r="1807" ht="21" customHeight="1">
      <c r="A1807" s="3">
        <v>46442</v>
      </c>
      <c r="B1807" t="inlineStr" s="4">
        <is>
          <t>星期三</t>
        </is>
      </c>
      <c r="C1807" t="inlineStr" s="4">
        <is>
          <t>其他</t>
        </is>
      </c>
      <c r="D1807" t="inlineStr" s="5">
        <is>
          <t>其他</t>
        </is>
      </c>
      <c r="E1807" s="6"/>
      <c r="F1807" s="6"/>
      <c r="G1807" s="6">
        <f>IF(AND(E1807="",F1807=""),"",F1807-E1807)</f>
      </c>
      <c r="H1807" s="4"/>
      <c r="I1807" s="5"/>
    </row>
    <row r="1808" ht="21" customHeight="1">
      <c r="A1808" s="3">
        <v>46443</v>
      </c>
      <c r="B1808" t="inlineStr" s="4">
        <is>
          <t>星期四</t>
        </is>
      </c>
      <c r="C1808" t="inlineStr" s="4">
        <is>
          <t>餐饮</t>
        </is>
      </c>
      <c r="D1808" t="inlineStr" s="5">
        <is>
          <t>早餐</t>
        </is>
      </c>
      <c r="E1808" s="6"/>
      <c r="F1808" s="6"/>
      <c r="G1808" s="6">
        <f>IF(AND(E1808="",F1808=""),"",F1808-E1808)</f>
      </c>
      <c r="H1808" s="4"/>
      <c r="I1808" s="5"/>
    </row>
    <row r="1809" ht="21" customHeight="1">
      <c r="A1809" s="3">
        <v>46443</v>
      </c>
      <c r="B1809" t="inlineStr" s="4">
        <is>
          <t>星期四</t>
        </is>
      </c>
      <c r="C1809" t="inlineStr" s="4">
        <is>
          <t>餐饮</t>
        </is>
      </c>
      <c r="D1809" t="inlineStr" s="5">
        <is>
          <t>中餐</t>
        </is>
      </c>
      <c r="E1809" s="6"/>
      <c r="F1809" s="6"/>
      <c r="G1809" s="6">
        <f>IF(AND(E1809="",F1809=""),"",F1809-E1809)</f>
      </c>
      <c r="H1809" s="4"/>
      <c r="I1809" s="5"/>
    </row>
    <row r="1810" ht="21" customHeight="1">
      <c r="A1810" s="3">
        <v>46443</v>
      </c>
      <c r="B1810" t="inlineStr" s="4">
        <is>
          <t>星期四</t>
        </is>
      </c>
      <c r="C1810" t="inlineStr" s="4">
        <is>
          <t>餐饮</t>
        </is>
      </c>
      <c r="D1810" t="inlineStr" s="5">
        <is>
          <t>晚餐</t>
        </is>
      </c>
      <c r="E1810" s="6"/>
      <c r="F1810" s="6"/>
      <c r="G1810" s="6">
        <f>IF(AND(E1810="",F1810=""),"",F1810-E1810)</f>
      </c>
      <c r="H1810" s="4"/>
      <c r="I1810" s="5"/>
    </row>
    <row r="1811" ht="21" customHeight="1">
      <c r="A1811" s="3">
        <v>46443</v>
      </c>
      <c r="B1811" t="inlineStr" s="4">
        <is>
          <t>星期四</t>
        </is>
      </c>
      <c r="C1811" t="inlineStr" s="4">
        <is>
          <t>奶茶/咖啡</t>
        </is>
      </c>
      <c r="D1811" t="inlineStr" s="5">
        <is>
          <t>奶茶/咖啡</t>
        </is>
      </c>
      <c r="E1811" s="6"/>
      <c r="F1811" s="6"/>
      <c r="G1811" s="6">
        <f>IF(AND(E1811="",F1811=""),"",F1811-E1811)</f>
      </c>
      <c r="H1811" s="4"/>
      <c r="I1811" s="5"/>
    </row>
    <row r="1812" ht="21" customHeight="1">
      <c r="A1812" s="3">
        <v>46443</v>
      </c>
      <c r="B1812" t="inlineStr" s="4">
        <is>
          <t>星期四</t>
        </is>
      </c>
      <c r="C1812" t="inlineStr" s="4">
        <is>
          <t>其他</t>
        </is>
      </c>
      <c r="D1812" t="inlineStr" s="5">
        <is>
          <t>其他</t>
        </is>
      </c>
      <c r="E1812" s="6"/>
      <c r="F1812" s="6"/>
      <c r="G1812" s="6">
        <f>IF(AND(E1812="",F1812=""),"",F1812-E1812)</f>
      </c>
      <c r="H1812" s="4"/>
      <c r="I1812" s="5"/>
    </row>
    <row r="1813" ht="21" customHeight="1">
      <c r="A1813" s="3">
        <v>46443</v>
      </c>
      <c r="B1813" t="inlineStr" s="4">
        <is>
          <t>星期四</t>
        </is>
      </c>
      <c r="C1813" t="inlineStr" s="4">
        <is>
          <t>其他</t>
        </is>
      </c>
      <c r="D1813" t="inlineStr" s="5">
        <is>
          <t>其他</t>
        </is>
      </c>
      <c r="E1813" s="6"/>
      <c r="F1813" s="6"/>
      <c r="G1813" s="6">
        <f>IF(AND(E1813="",F1813=""),"",F1813-E1813)</f>
      </c>
      <c r="H1813" s="4"/>
      <c r="I1813" s="5"/>
    </row>
    <row r="1814" ht="21" customHeight="1">
      <c r="A1814" s="3">
        <v>46444</v>
      </c>
      <c r="B1814" t="inlineStr" s="4">
        <is>
          <t>星期五</t>
        </is>
      </c>
      <c r="C1814" t="inlineStr" s="4">
        <is>
          <t>餐饮</t>
        </is>
      </c>
      <c r="D1814" t="inlineStr" s="5">
        <is>
          <t>早餐</t>
        </is>
      </c>
      <c r="E1814" s="6"/>
      <c r="F1814" s="6"/>
      <c r="G1814" s="6">
        <f>IF(AND(E1814="",F1814=""),"",F1814-E1814)</f>
      </c>
      <c r="H1814" s="4"/>
      <c r="I1814" s="5"/>
    </row>
    <row r="1815" ht="21" customHeight="1">
      <c r="A1815" s="3">
        <v>46444</v>
      </c>
      <c r="B1815" t="inlineStr" s="4">
        <is>
          <t>星期五</t>
        </is>
      </c>
      <c r="C1815" t="inlineStr" s="4">
        <is>
          <t>餐饮</t>
        </is>
      </c>
      <c r="D1815" t="inlineStr" s="5">
        <is>
          <t>中餐</t>
        </is>
      </c>
      <c r="E1815" s="6"/>
      <c r="F1815" s="6"/>
      <c r="G1815" s="6">
        <f>IF(AND(E1815="",F1815=""),"",F1815-E1815)</f>
      </c>
      <c r="H1815" s="4"/>
      <c r="I1815" s="5"/>
    </row>
    <row r="1816" ht="21" customHeight="1">
      <c r="A1816" s="3">
        <v>46444</v>
      </c>
      <c r="B1816" t="inlineStr" s="4">
        <is>
          <t>星期五</t>
        </is>
      </c>
      <c r="C1816" t="inlineStr" s="4">
        <is>
          <t>餐饮</t>
        </is>
      </c>
      <c r="D1816" t="inlineStr" s="5">
        <is>
          <t>晚餐</t>
        </is>
      </c>
      <c r="E1816" s="6"/>
      <c r="F1816" s="6"/>
      <c r="G1816" s="6">
        <f>IF(AND(E1816="",F1816=""),"",F1816-E1816)</f>
      </c>
      <c r="H1816" s="4"/>
      <c r="I1816" s="5"/>
    </row>
    <row r="1817" ht="21" customHeight="1">
      <c r="A1817" s="3">
        <v>46444</v>
      </c>
      <c r="B1817" t="inlineStr" s="4">
        <is>
          <t>星期五</t>
        </is>
      </c>
      <c r="C1817" t="inlineStr" s="4">
        <is>
          <t>奶茶/咖啡</t>
        </is>
      </c>
      <c r="D1817" t="inlineStr" s="5">
        <is>
          <t>奶茶/咖啡</t>
        </is>
      </c>
      <c r="E1817" s="6"/>
      <c r="F1817" s="6"/>
      <c r="G1817" s="6">
        <f>IF(AND(E1817="",F1817=""),"",F1817-E1817)</f>
      </c>
      <c r="H1817" s="4"/>
      <c r="I1817" s="5"/>
    </row>
    <row r="1818" ht="21" customHeight="1">
      <c r="A1818" s="3">
        <v>46444</v>
      </c>
      <c r="B1818" t="inlineStr" s="4">
        <is>
          <t>星期五</t>
        </is>
      </c>
      <c r="C1818" t="inlineStr" s="4">
        <is>
          <t>其他</t>
        </is>
      </c>
      <c r="D1818" t="inlineStr" s="5">
        <is>
          <t>其他</t>
        </is>
      </c>
      <c r="E1818" s="6"/>
      <c r="F1818" s="6"/>
      <c r="G1818" s="6">
        <f>IF(AND(E1818="",F1818=""),"",F1818-E1818)</f>
      </c>
      <c r="H1818" s="4"/>
      <c r="I1818" s="5"/>
    </row>
    <row r="1819" ht="21" customHeight="1">
      <c r="A1819" s="3">
        <v>46444</v>
      </c>
      <c r="B1819" t="inlineStr" s="4">
        <is>
          <t>星期五</t>
        </is>
      </c>
      <c r="C1819" t="inlineStr" s="4">
        <is>
          <t>其他</t>
        </is>
      </c>
      <c r="D1819" t="inlineStr" s="5">
        <is>
          <t>其他</t>
        </is>
      </c>
      <c r="E1819" s="6"/>
      <c r="F1819" s="6"/>
      <c r="G1819" s="6">
        <f>IF(AND(E1819="",F1819=""),"",F1819-E1819)</f>
      </c>
      <c r="H1819" s="4"/>
      <c r="I1819" s="5"/>
    </row>
    <row r="1820" ht="21" customHeight="1">
      <c r="A1820" s="3">
        <v>46445</v>
      </c>
      <c r="B1820" t="inlineStr" s="4">
        <is>
          <t>星期六</t>
        </is>
      </c>
      <c r="C1820" t="inlineStr" s="4">
        <is>
          <t>餐饮</t>
        </is>
      </c>
      <c r="D1820" t="inlineStr" s="5">
        <is>
          <t>早餐</t>
        </is>
      </c>
      <c r="E1820" s="6"/>
      <c r="F1820" s="6"/>
      <c r="G1820" s="6">
        <f>IF(AND(E1820="",F1820=""),"",F1820-E1820)</f>
      </c>
      <c r="H1820" s="4"/>
      <c r="I1820" s="5"/>
    </row>
    <row r="1821" ht="21" customHeight="1">
      <c r="A1821" s="3">
        <v>46445</v>
      </c>
      <c r="B1821" t="inlineStr" s="4">
        <is>
          <t>星期六</t>
        </is>
      </c>
      <c r="C1821" t="inlineStr" s="4">
        <is>
          <t>餐饮</t>
        </is>
      </c>
      <c r="D1821" t="inlineStr" s="5">
        <is>
          <t>中餐</t>
        </is>
      </c>
      <c r="E1821" s="6"/>
      <c r="F1821" s="6"/>
      <c r="G1821" s="6">
        <f>IF(AND(E1821="",F1821=""),"",F1821-E1821)</f>
      </c>
      <c r="H1821" s="4"/>
      <c r="I1821" s="5"/>
    </row>
    <row r="1822" ht="21" customHeight="1">
      <c r="A1822" s="3">
        <v>46445</v>
      </c>
      <c r="B1822" t="inlineStr" s="4">
        <is>
          <t>星期六</t>
        </is>
      </c>
      <c r="C1822" t="inlineStr" s="4">
        <is>
          <t>餐饮</t>
        </is>
      </c>
      <c r="D1822" t="inlineStr" s="5">
        <is>
          <t>晚餐</t>
        </is>
      </c>
      <c r="E1822" s="6"/>
      <c r="F1822" s="6"/>
      <c r="G1822" s="6">
        <f>IF(AND(E1822="",F1822=""),"",F1822-E1822)</f>
      </c>
      <c r="H1822" s="4"/>
      <c r="I1822" s="5"/>
    </row>
    <row r="1823" ht="21" customHeight="1">
      <c r="A1823" s="3">
        <v>46445</v>
      </c>
      <c r="B1823" t="inlineStr" s="4">
        <is>
          <t>星期六</t>
        </is>
      </c>
      <c r="C1823" t="inlineStr" s="4">
        <is>
          <t>奶茶/咖啡</t>
        </is>
      </c>
      <c r="D1823" t="inlineStr" s="5">
        <is>
          <t>奶茶/咖啡</t>
        </is>
      </c>
      <c r="E1823" s="6"/>
      <c r="F1823" s="6"/>
      <c r="G1823" s="6">
        <f>IF(AND(E1823="",F1823=""),"",F1823-E1823)</f>
      </c>
      <c r="H1823" s="4"/>
      <c r="I1823" s="5"/>
    </row>
    <row r="1824" ht="21" customHeight="1">
      <c r="A1824" s="3">
        <v>46445</v>
      </c>
      <c r="B1824" t="inlineStr" s="4">
        <is>
          <t>星期六</t>
        </is>
      </c>
      <c r="C1824" t="inlineStr" s="4">
        <is>
          <t>其他</t>
        </is>
      </c>
      <c r="D1824" t="inlineStr" s="5">
        <is>
          <t>其他</t>
        </is>
      </c>
      <c r="E1824" s="6"/>
      <c r="F1824" s="6"/>
      <c r="G1824" s="6">
        <f>IF(AND(E1824="",F1824=""),"",F1824-E1824)</f>
      </c>
      <c r="H1824" s="4"/>
      <c r="I1824" s="5"/>
    </row>
    <row r="1825" ht="21" customHeight="1">
      <c r="A1825" s="3">
        <v>46445</v>
      </c>
      <c r="B1825" t="inlineStr" s="4">
        <is>
          <t>星期六</t>
        </is>
      </c>
      <c r="C1825" t="inlineStr" s="4">
        <is>
          <t>其他</t>
        </is>
      </c>
      <c r="D1825" t="inlineStr" s="5">
        <is>
          <t>其他</t>
        </is>
      </c>
      <c r="E1825" s="6"/>
      <c r="F1825" s="6"/>
      <c r="G1825" s="6">
        <f>IF(AND(E1825="",F1825=""),"",F1825-E1825)</f>
      </c>
      <c r="H1825" s="4"/>
      <c r="I1825" s="5"/>
    </row>
    <row r="1826" ht="21" customHeight="1">
      <c r="A1826" s="3">
        <v>46446</v>
      </c>
      <c r="B1826" t="inlineStr" s="4">
        <is>
          <t>星期日</t>
        </is>
      </c>
      <c r="C1826" t="inlineStr" s="4">
        <is>
          <t>餐饮</t>
        </is>
      </c>
      <c r="D1826" t="inlineStr" s="5">
        <is>
          <t>早餐</t>
        </is>
      </c>
      <c r="E1826" s="6"/>
      <c r="F1826" s="6"/>
      <c r="G1826" s="6">
        <f>IF(AND(E1826="",F1826=""),"",F1826-E1826)</f>
      </c>
      <c r="H1826" s="4"/>
      <c r="I1826" s="5"/>
    </row>
    <row r="1827" ht="21" customHeight="1">
      <c r="A1827" s="3">
        <v>46446</v>
      </c>
      <c r="B1827" t="inlineStr" s="4">
        <is>
          <t>星期日</t>
        </is>
      </c>
      <c r="C1827" t="inlineStr" s="4">
        <is>
          <t>餐饮</t>
        </is>
      </c>
      <c r="D1827" t="inlineStr" s="5">
        <is>
          <t>中餐</t>
        </is>
      </c>
      <c r="E1827" s="6"/>
      <c r="F1827" s="6"/>
      <c r="G1827" s="6">
        <f>IF(AND(E1827="",F1827=""),"",F1827-E1827)</f>
      </c>
      <c r="H1827" s="4"/>
      <c r="I1827" s="5"/>
    </row>
    <row r="1828" ht="21" customHeight="1">
      <c r="A1828" s="3">
        <v>46446</v>
      </c>
      <c r="B1828" t="inlineStr" s="4">
        <is>
          <t>星期日</t>
        </is>
      </c>
      <c r="C1828" t="inlineStr" s="4">
        <is>
          <t>餐饮</t>
        </is>
      </c>
      <c r="D1828" t="inlineStr" s="5">
        <is>
          <t>晚餐</t>
        </is>
      </c>
      <c r="E1828" s="6"/>
      <c r="F1828" s="6"/>
      <c r="G1828" s="6">
        <f>IF(AND(E1828="",F1828=""),"",F1828-E1828)</f>
      </c>
      <c r="H1828" s="4"/>
      <c r="I1828" s="5"/>
    </row>
    <row r="1829" ht="21" customHeight="1">
      <c r="A1829" s="3">
        <v>46446</v>
      </c>
      <c r="B1829" t="inlineStr" s="4">
        <is>
          <t>星期日</t>
        </is>
      </c>
      <c r="C1829" t="inlineStr" s="4">
        <is>
          <t>奶茶/咖啡</t>
        </is>
      </c>
      <c r="D1829" t="inlineStr" s="5">
        <is>
          <t>奶茶/咖啡</t>
        </is>
      </c>
      <c r="E1829" s="6"/>
      <c r="F1829" s="6"/>
      <c r="G1829" s="6">
        <f>IF(AND(E1829="",F1829=""),"",F1829-E1829)</f>
      </c>
      <c r="H1829" s="4"/>
      <c r="I1829" s="5"/>
    </row>
    <row r="1830" ht="21" customHeight="1">
      <c r="A1830" s="3">
        <v>46446</v>
      </c>
      <c r="B1830" t="inlineStr" s="4">
        <is>
          <t>星期日</t>
        </is>
      </c>
      <c r="C1830" t="inlineStr" s="4">
        <is>
          <t>其他</t>
        </is>
      </c>
      <c r="D1830" t="inlineStr" s="5">
        <is>
          <t>其他</t>
        </is>
      </c>
      <c r="E1830" s="6"/>
      <c r="F1830" s="6"/>
      <c r="G1830" s="6">
        <f>IF(AND(E1830="",F1830=""),"",F1830-E1830)</f>
      </c>
      <c r="H1830" s="4"/>
      <c r="I1830" s="5"/>
    </row>
    <row r="1831" ht="21" customHeight="1">
      <c r="A1831" s="3">
        <v>46446</v>
      </c>
      <c r="B1831" t="inlineStr" s="4">
        <is>
          <t>星期日</t>
        </is>
      </c>
      <c r="C1831" t="inlineStr" s="4">
        <is>
          <t>其他</t>
        </is>
      </c>
      <c r="D1831" t="inlineStr" s="5">
        <is>
          <t>其他</t>
        </is>
      </c>
      <c r="E1831" s="6"/>
      <c r="F1831" s="6"/>
      <c r="G1831" s="6">
        <f>IF(AND(E1831="",F1831=""),"",F1831-E1831)</f>
      </c>
      <c r="H1831" s="4"/>
      <c r="I1831" s="5"/>
    </row>
    <row r="1832" ht="23" customHeight="1">
      <c r="A1832" t="inlineStr" s="7">
        <is>
          <t>本周小计</t>
        </is>
      </c>
      <c r="B1832" s="7"/>
      <c r="C1832" s="7"/>
      <c r="D1832" s="7"/>
      <c r="E1832" s="8">
        <f>SUM(E1790:E1831)</f>
      </c>
      <c r="F1832" s="8">
        <f>SUM(F1790:F1831)</f>
      </c>
      <c r="G1832" s="8">
        <f>SUM(G1790:G1831)</f>
      </c>
      <c r="H1832" s="7"/>
      <c r="I1832" s="7"/>
    </row>
    <row r="1833" ht="18" customHeight="1">
      <c r="A1833" s="9"/>
      <c r="B1833" s="9"/>
      <c r="C1833" s="9"/>
      <c r="D1833" s="9"/>
      <c r="E1833" s="9"/>
      <c r="F1833" s="9"/>
      <c r="G1833" s="9"/>
      <c r="H1833" s="9"/>
      <c r="I1833" s="9"/>
    </row>
    <row r="1834" ht="18" customHeight="1">
      <c r="A1834" s="9"/>
      <c r="B1834" s="9"/>
      <c r="C1834" s="9"/>
      <c r="D1834" s="9"/>
      <c r="E1834" s="9"/>
      <c r="F1834" s="9"/>
      <c r="G1834" s="9"/>
      <c r="H1834" s="9"/>
      <c r="I1834" s="9"/>
    </row>
    <row r="1835" ht="26" customHeight="1">
      <c r="A1835" t="inlineStr" s="2">
        <is>
          <t>2027年3月｜第一周（3月1日 - 3月7日）</t>
        </is>
      </c>
      <c r="B1835" s="2"/>
      <c r="C1835" s="2"/>
      <c r="D1835" s="2"/>
      <c r="E1835" s="2"/>
      <c r="F1835" s="2"/>
      <c r="G1835" s="2"/>
      <c r="H1835" s="2"/>
      <c r="I1835" s="2"/>
    </row>
    <row r="1836" ht="22" customHeight="1">
      <c r="A1836" t="inlineStr" s="1">
        <is>
          <t>日期</t>
        </is>
      </c>
      <c r="B1836" t="inlineStr" s="1">
        <is>
          <t>星期</t>
        </is>
      </c>
      <c r="C1836" t="inlineStr" s="1">
        <is>
          <t>分类</t>
        </is>
      </c>
      <c r="D1836" t="inlineStr" s="1">
        <is>
          <t>事项</t>
        </is>
      </c>
      <c r="E1836" t="inlineStr" s="1">
        <is>
          <t>支出金额</t>
        </is>
      </c>
      <c r="F1836" t="inlineStr" s="1">
        <is>
          <t>收入金额</t>
        </is>
      </c>
      <c r="G1836" t="inlineStr" s="1">
        <is>
          <t>当笔净额</t>
        </is>
      </c>
      <c r="H1836" t="inlineStr" s="1">
        <is>
          <t>支付方式</t>
        </is>
      </c>
      <c r="I1836" t="inlineStr" s="1">
        <is>
          <t>备注</t>
        </is>
      </c>
    </row>
    <row r="1837" ht="21" customHeight="1">
      <c r="A1837" s="3">
        <v>46447</v>
      </c>
      <c r="B1837" t="inlineStr" s="4">
        <is>
          <t>星期一</t>
        </is>
      </c>
      <c r="C1837" t="inlineStr" s="4">
        <is>
          <t>餐饮</t>
        </is>
      </c>
      <c r="D1837" t="inlineStr" s="5">
        <is>
          <t>早餐</t>
        </is>
      </c>
      <c r="E1837" s="6"/>
      <c r="F1837" s="6"/>
      <c r="G1837" s="6">
        <f>IF(AND(E1837="",F1837=""),"",F1837-E1837)</f>
      </c>
      <c r="H1837" s="4"/>
      <c r="I1837" s="5"/>
    </row>
    <row r="1838" ht="21" customHeight="1">
      <c r="A1838" s="3">
        <v>46447</v>
      </c>
      <c r="B1838" t="inlineStr" s="4">
        <is>
          <t>星期一</t>
        </is>
      </c>
      <c r="C1838" t="inlineStr" s="4">
        <is>
          <t>餐饮</t>
        </is>
      </c>
      <c r="D1838" t="inlineStr" s="5">
        <is>
          <t>中餐</t>
        </is>
      </c>
      <c r="E1838" s="6"/>
      <c r="F1838" s="6"/>
      <c r="G1838" s="6">
        <f>IF(AND(E1838="",F1838=""),"",F1838-E1838)</f>
      </c>
      <c r="H1838" s="4"/>
      <c r="I1838" s="5"/>
    </row>
    <row r="1839" ht="21" customHeight="1">
      <c r="A1839" s="3">
        <v>46447</v>
      </c>
      <c r="B1839" t="inlineStr" s="4">
        <is>
          <t>星期一</t>
        </is>
      </c>
      <c r="C1839" t="inlineStr" s="4">
        <is>
          <t>餐饮</t>
        </is>
      </c>
      <c r="D1839" t="inlineStr" s="5">
        <is>
          <t>晚餐</t>
        </is>
      </c>
      <c r="E1839" s="6"/>
      <c r="F1839" s="6"/>
      <c r="G1839" s="6">
        <f>IF(AND(E1839="",F1839=""),"",F1839-E1839)</f>
      </c>
      <c r="H1839" s="4"/>
      <c r="I1839" s="5"/>
    </row>
    <row r="1840" ht="21" customHeight="1">
      <c r="A1840" s="3">
        <v>46447</v>
      </c>
      <c r="B1840" t="inlineStr" s="4">
        <is>
          <t>星期一</t>
        </is>
      </c>
      <c r="C1840" t="inlineStr" s="4">
        <is>
          <t>奶茶/咖啡</t>
        </is>
      </c>
      <c r="D1840" t="inlineStr" s="5">
        <is>
          <t>奶茶/咖啡</t>
        </is>
      </c>
      <c r="E1840" s="6"/>
      <c r="F1840" s="6"/>
      <c r="G1840" s="6">
        <f>IF(AND(E1840="",F1840=""),"",F1840-E1840)</f>
      </c>
      <c r="H1840" s="4"/>
      <c r="I1840" s="5"/>
    </row>
    <row r="1841" ht="21" customHeight="1">
      <c r="A1841" s="3">
        <v>46447</v>
      </c>
      <c r="B1841" t="inlineStr" s="4">
        <is>
          <t>星期一</t>
        </is>
      </c>
      <c r="C1841" t="inlineStr" s="4">
        <is>
          <t>其他</t>
        </is>
      </c>
      <c r="D1841" t="inlineStr" s="5">
        <is>
          <t>其他</t>
        </is>
      </c>
      <c r="E1841" s="6"/>
      <c r="F1841" s="6"/>
      <c r="G1841" s="6">
        <f>IF(AND(E1841="",F1841=""),"",F1841-E1841)</f>
      </c>
      <c r="H1841" s="4"/>
      <c r="I1841" s="5"/>
    </row>
    <row r="1842" ht="21" customHeight="1">
      <c r="A1842" s="3">
        <v>46447</v>
      </c>
      <c r="B1842" t="inlineStr" s="4">
        <is>
          <t>星期一</t>
        </is>
      </c>
      <c r="C1842" t="inlineStr" s="4">
        <is>
          <t>其他</t>
        </is>
      </c>
      <c r="D1842" t="inlineStr" s="5">
        <is>
          <t>其他</t>
        </is>
      </c>
      <c r="E1842" s="6"/>
      <c r="F1842" s="6"/>
      <c r="G1842" s="6">
        <f>IF(AND(E1842="",F1842=""),"",F1842-E1842)</f>
      </c>
      <c r="H1842" s="4"/>
      <c r="I1842" s="5"/>
    </row>
    <row r="1843" ht="21" customHeight="1">
      <c r="A1843" s="3">
        <v>46448</v>
      </c>
      <c r="B1843" t="inlineStr" s="4">
        <is>
          <t>星期二</t>
        </is>
      </c>
      <c r="C1843" t="inlineStr" s="4">
        <is>
          <t>餐饮</t>
        </is>
      </c>
      <c r="D1843" t="inlineStr" s="5">
        <is>
          <t>早餐</t>
        </is>
      </c>
      <c r="E1843" s="6"/>
      <c r="F1843" s="6"/>
      <c r="G1843" s="6">
        <f>IF(AND(E1843="",F1843=""),"",F1843-E1843)</f>
      </c>
      <c r="H1843" s="4"/>
      <c r="I1843" s="5"/>
    </row>
    <row r="1844" ht="21" customHeight="1">
      <c r="A1844" s="3">
        <v>46448</v>
      </c>
      <c r="B1844" t="inlineStr" s="4">
        <is>
          <t>星期二</t>
        </is>
      </c>
      <c r="C1844" t="inlineStr" s="4">
        <is>
          <t>餐饮</t>
        </is>
      </c>
      <c r="D1844" t="inlineStr" s="5">
        <is>
          <t>中餐</t>
        </is>
      </c>
      <c r="E1844" s="6"/>
      <c r="F1844" s="6"/>
      <c r="G1844" s="6">
        <f>IF(AND(E1844="",F1844=""),"",F1844-E1844)</f>
      </c>
      <c r="H1844" s="4"/>
      <c r="I1844" s="5"/>
    </row>
    <row r="1845" ht="21" customHeight="1">
      <c r="A1845" s="3">
        <v>46448</v>
      </c>
      <c r="B1845" t="inlineStr" s="4">
        <is>
          <t>星期二</t>
        </is>
      </c>
      <c r="C1845" t="inlineStr" s="4">
        <is>
          <t>餐饮</t>
        </is>
      </c>
      <c r="D1845" t="inlineStr" s="5">
        <is>
          <t>晚餐</t>
        </is>
      </c>
      <c r="E1845" s="6"/>
      <c r="F1845" s="6"/>
      <c r="G1845" s="6">
        <f>IF(AND(E1845="",F1845=""),"",F1845-E1845)</f>
      </c>
      <c r="H1845" s="4"/>
      <c r="I1845" s="5"/>
    </row>
    <row r="1846" ht="21" customHeight="1">
      <c r="A1846" s="3">
        <v>46448</v>
      </c>
      <c r="B1846" t="inlineStr" s="4">
        <is>
          <t>星期二</t>
        </is>
      </c>
      <c r="C1846" t="inlineStr" s="4">
        <is>
          <t>奶茶/咖啡</t>
        </is>
      </c>
      <c r="D1846" t="inlineStr" s="5">
        <is>
          <t>奶茶/咖啡</t>
        </is>
      </c>
      <c r="E1846" s="6"/>
      <c r="F1846" s="6"/>
      <c r="G1846" s="6">
        <f>IF(AND(E1846="",F1846=""),"",F1846-E1846)</f>
      </c>
      <c r="H1846" s="4"/>
      <c r="I1846" s="5"/>
    </row>
    <row r="1847" ht="21" customHeight="1">
      <c r="A1847" s="3">
        <v>46448</v>
      </c>
      <c r="B1847" t="inlineStr" s="4">
        <is>
          <t>星期二</t>
        </is>
      </c>
      <c r="C1847" t="inlineStr" s="4">
        <is>
          <t>其他</t>
        </is>
      </c>
      <c r="D1847" t="inlineStr" s="5">
        <is>
          <t>其他</t>
        </is>
      </c>
      <c r="E1847" s="6"/>
      <c r="F1847" s="6"/>
      <c r="G1847" s="6">
        <f>IF(AND(E1847="",F1847=""),"",F1847-E1847)</f>
      </c>
      <c r="H1847" s="4"/>
      <c r="I1847" s="5"/>
    </row>
    <row r="1848" ht="21" customHeight="1">
      <c r="A1848" s="3">
        <v>46448</v>
      </c>
      <c r="B1848" t="inlineStr" s="4">
        <is>
          <t>星期二</t>
        </is>
      </c>
      <c r="C1848" t="inlineStr" s="4">
        <is>
          <t>其他</t>
        </is>
      </c>
      <c r="D1848" t="inlineStr" s="5">
        <is>
          <t>其他</t>
        </is>
      </c>
      <c r="E1848" s="6"/>
      <c r="F1848" s="6"/>
      <c r="G1848" s="6">
        <f>IF(AND(E1848="",F1848=""),"",F1848-E1848)</f>
      </c>
      <c r="H1848" s="4"/>
      <c r="I1848" s="5"/>
    </row>
    <row r="1849" ht="21" customHeight="1">
      <c r="A1849" s="3">
        <v>46449</v>
      </c>
      <c r="B1849" t="inlineStr" s="4">
        <is>
          <t>星期三</t>
        </is>
      </c>
      <c r="C1849" t="inlineStr" s="4">
        <is>
          <t>餐饮</t>
        </is>
      </c>
      <c r="D1849" t="inlineStr" s="5">
        <is>
          <t>早餐</t>
        </is>
      </c>
      <c r="E1849" s="6"/>
      <c r="F1849" s="6"/>
      <c r="G1849" s="6">
        <f>IF(AND(E1849="",F1849=""),"",F1849-E1849)</f>
      </c>
      <c r="H1849" s="4"/>
      <c r="I1849" s="5"/>
    </row>
    <row r="1850" ht="21" customHeight="1">
      <c r="A1850" s="3">
        <v>46449</v>
      </c>
      <c r="B1850" t="inlineStr" s="4">
        <is>
          <t>星期三</t>
        </is>
      </c>
      <c r="C1850" t="inlineStr" s="4">
        <is>
          <t>餐饮</t>
        </is>
      </c>
      <c r="D1850" t="inlineStr" s="5">
        <is>
          <t>中餐</t>
        </is>
      </c>
      <c r="E1850" s="6"/>
      <c r="F1850" s="6"/>
      <c r="G1850" s="6">
        <f>IF(AND(E1850="",F1850=""),"",F1850-E1850)</f>
      </c>
      <c r="H1850" s="4"/>
      <c r="I1850" s="5"/>
    </row>
    <row r="1851" ht="21" customHeight="1">
      <c r="A1851" s="3">
        <v>46449</v>
      </c>
      <c r="B1851" t="inlineStr" s="4">
        <is>
          <t>星期三</t>
        </is>
      </c>
      <c r="C1851" t="inlineStr" s="4">
        <is>
          <t>餐饮</t>
        </is>
      </c>
      <c r="D1851" t="inlineStr" s="5">
        <is>
          <t>晚餐</t>
        </is>
      </c>
      <c r="E1851" s="6"/>
      <c r="F1851" s="6"/>
      <c r="G1851" s="6">
        <f>IF(AND(E1851="",F1851=""),"",F1851-E1851)</f>
      </c>
      <c r="H1851" s="4"/>
      <c r="I1851" s="5"/>
    </row>
    <row r="1852" ht="21" customHeight="1">
      <c r="A1852" s="3">
        <v>46449</v>
      </c>
      <c r="B1852" t="inlineStr" s="4">
        <is>
          <t>星期三</t>
        </is>
      </c>
      <c r="C1852" t="inlineStr" s="4">
        <is>
          <t>奶茶/咖啡</t>
        </is>
      </c>
      <c r="D1852" t="inlineStr" s="5">
        <is>
          <t>奶茶/咖啡</t>
        </is>
      </c>
      <c r="E1852" s="6"/>
      <c r="F1852" s="6"/>
      <c r="G1852" s="6">
        <f>IF(AND(E1852="",F1852=""),"",F1852-E1852)</f>
      </c>
      <c r="H1852" s="4"/>
      <c r="I1852" s="5"/>
    </row>
    <row r="1853" ht="21" customHeight="1">
      <c r="A1853" s="3">
        <v>46449</v>
      </c>
      <c r="B1853" t="inlineStr" s="4">
        <is>
          <t>星期三</t>
        </is>
      </c>
      <c r="C1853" t="inlineStr" s="4">
        <is>
          <t>其他</t>
        </is>
      </c>
      <c r="D1853" t="inlineStr" s="5">
        <is>
          <t>其他</t>
        </is>
      </c>
      <c r="E1853" s="6"/>
      <c r="F1853" s="6"/>
      <c r="G1853" s="6">
        <f>IF(AND(E1853="",F1853=""),"",F1853-E1853)</f>
      </c>
      <c r="H1853" s="4"/>
      <c r="I1853" s="5"/>
    </row>
    <row r="1854" ht="21" customHeight="1">
      <c r="A1854" s="3">
        <v>46449</v>
      </c>
      <c r="B1854" t="inlineStr" s="4">
        <is>
          <t>星期三</t>
        </is>
      </c>
      <c r="C1854" t="inlineStr" s="4">
        <is>
          <t>其他</t>
        </is>
      </c>
      <c r="D1854" t="inlineStr" s="5">
        <is>
          <t>其他</t>
        </is>
      </c>
      <c r="E1854" s="6"/>
      <c r="F1854" s="6"/>
      <c r="G1854" s="6">
        <f>IF(AND(E1854="",F1854=""),"",F1854-E1854)</f>
      </c>
      <c r="H1854" s="4"/>
      <c r="I1854" s="5"/>
    </row>
    <row r="1855" ht="21" customHeight="1">
      <c r="A1855" s="3">
        <v>46450</v>
      </c>
      <c r="B1855" t="inlineStr" s="4">
        <is>
          <t>星期四</t>
        </is>
      </c>
      <c r="C1855" t="inlineStr" s="4">
        <is>
          <t>餐饮</t>
        </is>
      </c>
      <c r="D1855" t="inlineStr" s="5">
        <is>
          <t>早餐</t>
        </is>
      </c>
      <c r="E1855" s="6"/>
      <c r="F1855" s="6"/>
      <c r="G1855" s="6">
        <f>IF(AND(E1855="",F1855=""),"",F1855-E1855)</f>
      </c>
      <c r="H1855" s="4"/>
      <c r="I1855" s="5"/>
    </row>
    <row r="1856" ht="21" customHeight="1">
      <c r="A1856" s="3">
        <v>46450</v>
      </c>
      <c r="B1856" t="inlineStr" s="4">
        <is>
          <t>星期四</t>
        </is>
      </c>
      <c r="C1856" t="inlineStr" s="4">
        <is>
          <t>餐饮</t>
        </is>
      </c>
      <c r="D1856" t="inlineStr" s="5">
        <is>
          <t>中餐</t>
        </is>
      </c>
      <c r="E1856" s="6"/>
      <c r="F1856" s="6"/>
      <c r="G1856" s="6">
        <f>IF(AND(E1856="",F1856=""),"",F1856-E1856)</f>
      </c>
      <c r="H1856" s="4"/>
      <c r="I1856" s="5"/>
    </row>
    <row r="1857" ht="21" customHeight="1">
      <c r="A1857" s="3">
        <v>46450</v>
      </c>
      <c r="B1857" t="inlineStr" s="4">
        <is>
          <t>星期四</t>
        </is>
      </c>
      <c r="C1857" t="inlineStr" s="4">
        <is>
          <t>餐饮</t>
        </is>
      </c>
      <c r="D1857" t="inlineStr" s="5">
        <is>
          <t>晚餐</t>
        </is>
      </c>
      <c r="E1857" s="6"/>
      <c r="F1857" s="6"/>
      <c r="G1857" s="6">
        <f>IF(AND(E1857="",F1857=""),"",F1857-E1857)</f>
      </c>
      <c r="H1857" s="4"/>
      <c r="I1857" s="5"/>
    </row>
    <row r="1858" ht="21" customHeight="1">
      <c r="A1858" s="3">
        <v>46450</v>
      </c>
      <c r="B1858" t="inlineStr" s="4">
        <is>
          <t>星期四</t>
        </is>
      </c>
      <c r="C1858" t="inlineStr" s="4">
        <is>
          <t>奶茶/咖啡</t>
        </is>
      </c>
      <c r="D1858" t="inlineStr" s="5">
        <is>
          <t>奶茶/咖啡</t>
        </is>
      </c>
      <c r="E1858" s="6"/>
      <c r="F1858" s="6"/>
      <c r="G1858" s="6">
        <f>IF(AND(E1858="",F1858=""),"",F1858-E1858)</f>
      </c>
      <c r="H1858" s="4"/>
      <c r="I1858" s="5"/>
    </row>
    <row r="1859" ht="21" customHeight="1">
      <c r="A1859" s="3">
        <v>46450</v>
      </c>
      <c r="B1859" t="inlineStr" s="4">
        <is>
          <t>星期四</t>
        </is>
      </c>
      <c r="C1859" t="inlineStr" s="4">
        <is>
          <t>其他</t>
        </is>
      </c>
      <c r="D1859" t="inlineStr" s="5">
        <is>
          <t>其他</t>
        </is>
      </c>
      <c r="E1859" s="6"/>
      <c r="F1859" s="6"/>
      <c r="G1859" s="6">
        <f>IF(AND(E1859="",F1859=""),"",F1859-E1859)</f>
      </c>
      <c r="H1859" s="4"/>
      <c r="I1859" s="5"/>
    </row>
    <row r="1860" ht="21" customHeight="1">
      <c r="A1860" s="3">
        <v>46450</v>
      </c>
      <c r="B1860" t="inlineStr" s="4">
        <is>
          <t>星期四</t>
        </is>
      </c>
      <c r="C1860" t="inlineStr" s="4">
        <is>
          <t>其他</t>
        </is>
      </c>
      <c r="D1860" t="inlineStr" s="5">
        <is>
          <t>其他</t>
        </is>
      </c>
      <c r="E1860" s="6"/>
      <c r="F1860" s="6"/>
      <c r="G1860" s="6">
        <f>IF(AND(E1860="",F1860=""),"",F1860-E1860)</f>
      </c>
      <c r="H1860" s="4"/>
      <c r="I1860" s="5"/>
    </row>
    <row r="1861" ht="21" customHeight="1">
      <c r="A1861" s="3">
        <v>46451</v>
      </c>
      <c r="B1861" t="inlineStr" s="4">
        <is>
          <t>星期五</t>
        </is>
      </c>
      <c r="C1861" t="inlineStr" s="4">
        <is>
          <t>餐饮</t>
        </is>
      </c>
      <c r="D1861" t="inlineStr" s="5">
        <is>
          <t>早餐</t>
        </is>
      </c>
      <c r="E1861" s="6"/>
      <c r="F1861" s="6"/>
      <c r="G1861" s="6">
        <f>IF(AND(E1861="",F1861=""),"",F1861-E1861)</f>
      </c>
      <c r="H1861" s="4"/>
      <c r="I1861" s="5"/>
    </row>
    <row r="1862" ht="21" customHeight="1">
      <c r="A1862" s="3">
        <v>46451</v>
      </c>
      <c r="B1862" t="inlineStr" s="4">
        <is>
          <t>星期五</t>
        </is>
      </c>
      <c r="C1862" t="inlineStr" s="4">
        <is>
          <t>餐饮</t>
        </is>
      </c>
      <c r="D1862" t="inlineStr" s="5">
        <is>
          <t>中餐</t>
        </is>
      </c>
      <c r="E1862" s="6"/>
      <c r="F1862" s="6"/>
      <c r="G1862" s="6">
        <f>IF(AND(E1862="",F1862=""),"",F1862-E1862)</f>
      </c>
      <c r="H1862" s="4"/>
      <c r="I1862" s="5"/>
    </row>
    <row r="1863" ht="21" customHeight="1">
      <c r="A1863" s="3">
        <v>46451</v>
      </c>
      <c r="B1863" t="inlineStr" s="4">
        <is>
          <t>星期五</t>
        </is>
      </c>
      <c r="C1863" t="inlineStr" s="4">
        <is>
          <t>餐饮</t>
        </is>
      </c>
      <c r="D1863" t="inlineStr" s="5">
        <is>
          <t>晚餐</t>
        </is>
      </c>
      <c r="E1863" s="6"/>
      <c r="F1863" s="6"/>
      <c r="G1863" s="6">
        <f>IF(AND(E1863="",F1863=""),"",F1863-E1863)</f>
      </c>
      <c r="H1863" s="4"/>
      <c r="I1863" s="5"/>
    </row>
    <row r="1864" ht="21" customHeight="1">
      <c r="A1864" s="3">
        <v>46451</v>
      </c>
      <c r="B1864" t="inlineStr" s="4">
        <is>
          <t>星期五</t>
        </is>
      </c>
      <c r="C1864" t="inlineStr" s="4">
        <is>
          <t>奶茶/咖啡</t>
        </is>
      </c>
      <c r="D1864" t="inlineStr" s="5">
        <is>
          <t>奶茶/咖啡</t>
        </is>
      </c>
      <c r="E1864" s="6"/>
      <c r="F1864" s="6"/>
      <c r="G1864" s="6">
        <f>IF(AND(E1864="",F1864=""),"",F1864-E1864)</f>
      </c>
      <c r="H1864" s="4"/>
      <c r="I1864" s="5"/>
    </row>
    <row r="1865" ht="21" customHeight="1">
      <c r="A1865" s="3">
        <v>46451</v>
      </c>
      <c r="B1865" t="inlineStr" s="4">
        <is>
          <t>星期五</t>
        </is>
      </c>
      <c r="C1865" t="inlineStr" s="4">
        <is>
          <t>其他</t>
        </is>
      </c>
      <c r="D1865" t="inlineStr" s="5">
        <is>
          <t>其他</t>
        </is>
      </c>
      <c r="E1865" s="6"/>
      <c r="F1865" s="6"/>
      <c r="G1865" s="6">
        <f>IF(AND(E1865="",F1865=""),"",F1865-E1865)</f>
      </c>
      <c r="H1865" s="4"/>
      <c r="I1865" s="5"/>
    </row>
    <row r="1866" ht="21" customHeight="1">
      <c r="A1866" s="3">
        <v>46451</v>
      </c>
      <c r="B1866" t="inlineStr" s="4">
        <is>
          <t>星期五</t>
        </is>
      </c>
      <c r="C1866" t="inlineStr" s="4">
        <is>
          <t>其他</t>
        </is>
      </c>
      <c r="D1866" t="inlineStr" s="5">
        <is>
          <t>其他</t>
        </is>
      </c>
      <c r="E1866" s="6"/>
      <c r="F1866" s="6"/>
      <c r="G1866" s="6">
        <f>IF(AND(E1866="",F1866=""),"",F1866-E1866)</f>
      </c>
      <c r="H1866" s="4"/>
      <c r="I1866" s="5"/>
    </row>
    <row r="1867" ht="21" customHeight="1">
      <c r="A1867" s="3">
        <v>46452</v>
      </c>
      <c r="B1867" t="inlineStr" s="4">
        <is>
          <t>星期六</t>
        </is>
      </c>
      <c r="C1867" t="inlineStr" s="4">
        <is>
          <t>餐饮</t>
        </is>
      </c>
      <c r="D1867" t="inlineStr" s="5">
        <is>
          <t>早餐</t>
        </is>
      </c>
      <c r="E1867" s="6"/>
      <c r="F1867" s="6"/>
      <c r="G1867" s="6">
        <f>IF(AND(E1867="",F1867=""),"",F1867-E1867)</f>
      </c>
      <c r="H1867" s="4"/>
      <c r="I1867" s="5"/>
    </row>
    <row r="1868" ht="21" customHeight="1">
      <c r="A1868" s="3">
        <v>46452</v>
      </c>
      <c r="B1868" t="inlineStr" s="4">
        <is>
          <t>星期六</t>
        </is>
      </c>
      <c r="C1868" t="inlineStr" s="4">
        <is>
          <t>餐饮</t>
        </is>
      </c>
      <c r="D1868" t="inlineStr" s="5">
        <is>
          <t>中餐</t>
        </is>
      </c>
      <c r="E1868" s="6"/>
      <c r="F1868" s="6"/>
      <c r="G1868" s="6">
        <f>IF(AND(E1868="",F1868=""),"",F1868-E1868)</f>
      </c>
      <c r="H1868" s="4"/>
      <c r="I1868" s="5"/>
    </row>
    <row r="1869" ht="21" customHeight="1">
      <c r="A1869" s="3">
        <v>46452</v>
      </c>
      <c r="B1869" t="inlineStr" s="4">
        <is>
          <t>星期六</t>
        </is>
      </c>
      <c r="C1869" t="inlineStr" s="4">
        <is>
          <t>餐饮</t>
        </is>
      </c>
      <c r="D1869" t="inlineStr" s="5">
        <is>
          <t>晚餐</t>
        </is>
      </c>
      <c r="E1869" s="6"/>
      <c r="F1869" s="6"/>
      <c r="G1869" s="6">
        <f>IF(AND(E1869="",F1869=""),"",F1869-E1869)</f>
      </c>
      <c r="H1869" s="4"/>
      <c r="I1869" s="5"/>
    </row>
    <row r="1870" ht="21" customHeight="1">
      <c r="A1870" s="3">
        <v>46452</v>
      </c>
      <c r="B1870" t="inlineStr" s="4">
        <is>
          <t>星期六</t>
        </is>
      </c>
      <c r="C1870" t="inlineStr" s="4">
        <is>
          <t>奶茶/咖啡</t>
        </is>
      </c>
      <c r="D1870" t="inlineStr" s="5">
        <is>
          <t>奶茶/咖啡</t>
        </is>
      </c>
      <c r="E1870" s="6"/>
      <c r="F1870" s="6"/>
      <c r="G1870" s="6">
        <f>IF(AND(E1870="",F1870=""),"",F1870-E1870)</f>
      </c>
      <c r="H1870" s="4"/>
      <c r="I1870" s="5"/>
    </row>
    <row r="1871" ht="21" customHeight="1">
      <c r="A1871" s="3">
        <v>46452</v>
      </c>
      <c r="B1871" t="inlineStr" s="4">
        <is>
          <t>星期六</t>
        </is>
      </c>
      <c r="C1871" t="inlineStr" s="4">
        <is>
          <t>其他</t>
        </is>
      </c>
      <c r="D1871" t="inlineStr" s="5">
        <is>
          <t>其他</t>
        </is>
      </c>
      <c r="E1871" s="6"/>
      <c r="F1871" s="6"/>
      <c r="G1871" s="6">
        <f>IF(AND(E1871="",F1871=""),"",F1871-E1871)</f>
      </c>
      <c r="H1871" s="4"/>
      <c r="I1871" s="5"/>
    </row>
    <row r="1872" ht="21" customHeight="1">
      <c r="A1872" s="3">
        <v>46452</v>
      </c>
      <c r="B1872" t="inlineStr" s="4">
        <is>
          <t>星期六</t>
        </is>
      </c>
      <c r="C1872" t="inlineStr" s="4">
        <is>
          <t>其他</t>
        </is>
      </c>
      <c r="D1872" t="inlineStr" s="5">
        <is>
          <t>其他</t>
        </is>
      </c>
      <c r="E1872" s="6"/>
      <c r="F1872" s="6"/>
      <c r="G1872" s="6">
        <f>IF(AND(E1872="",F1872=""),"",F1872-E1872)</f>
      </c>
      <c r="H1872" s="4"/>
      <c r="I1872" s="5"/>
    </row>
    <row r="1873" ht="21" customHeight="1">
      <c r="A1873" s="3">
        <v>46453</v>
      </c>
      <c r="B1873" t="inlineStr" s="4">
        <is>
          <t>星期日</t>
        </is>
      </c>
      <c r="C1873" t="inlineStr" s="4">
        <is>
          <t>餐饮</t>
        </is>
      </c>
      <c r="D1873" t="inlineStr" s="5">
        <is>
          <t>早餐</t>
        </is>
      </c>
      <c r="E1873" s="6"/>
      <c r="F1873" s="6"/>
      <c r="G1873" s="6">
        <f>IF(AND(E1873="",F1873=""),"",F1873-E1873)</f>
      </c>
      <c r="H1873" s="4"/>
      <c r="I1873" s="5"/>
    </row>
    <row r="1874" ht="21" customHeight="1">
      <c r="A1874" s="3">
        <v>46453</v>
      </c>
      <c r="B1874" t="inlineStr" s="4">
        <is>
          <t>星期日</t>
        </is>
      </c>
      <c r="C1874" t="inlineStr" s="4">
        <is>
          <t>餐饮</t>
        </is>
      </c>
      <c r="D1874" t="inlineStr" s="5">
        <is>
          <t>中餐</t>
        </is>
      </c>
      <c r="E1874" s="6"/>
      <c r="F1874" s="6"/>
      <c r="G1874" s="6">
        <f>IF(AND(E1874="",F1874=""),"",F1874-E1874)</f>
      </c>
      <c r="H1874" s="4"/>
      <c r="I1874" s="5"/>
    </row>
    <row r="1875" ht="21" customHeight="1">
      <c r="A1875" s="3">
        <v>46453</v>
      </c>
      <c r="B1875" t="inlineStr" s="4">
        <is>
          <t>星期日</t>
        </is>
      </c>
      <c r="C1875" t="inlineStr" s="4">
        <is>
          <t>餐饮</t>
        </is>
      </c>
      <c r="D1875" t="inlineStr" s="5">
        <is>
          <t>晚餐</t>
        </is>
      </c>
      <c r="E1875" s="6"/>
      <c r="F1875" s="6"/>
      <c r="G1875" s="6">
        <f>IF(AND(E1875="",F1875=""),"",F1875-E1875)</f>
      </c>
      <c r="H1875" s="4"/>
      <c r="I1875" s="5"/>
    </row>
    <row r="1876" ht="21" customHeight="1">
      <c r="A1876" s="3">
        <v>46453</v>
      </c>
      <c r="B1876" t="inlineStr" s="4">
        <is>
          <t>星期日</t>
        </is>
      </c>
      <c r="C1876" t="inlineStr" s="4">
        <is>
          <t>奶茶/咖啡</t>
        </is>
      </c>
      <c r="D1876" t="inlineStr" s="5">
        <is>
          <t>奶茶/咖啡</t>
        </is>
      </c>
      <c r="E1876" s="6"/>
      <c r="F1876" s="6"/>
      <c r="G1876" s="6">
        <f>IF(AND(E1876="",F1876=""),"",F1876-E1876)</f>
      </c>
      <c r="H1876" s="4"/>
      <c r="I1876" s="5"/>
    </row>
    <row r="1877" ht="21" customHeight="1">
      <c r="A1877" s="3">
        <v>46453</v>
      </c>
      <c r="B1877" t="inlineStr" s="4">
        <is>
          <t>星期日</t>
        </is>
      </c>
      <c r="C1877" t="inlineStr" s="4">
        <is>
          <t>其他</t>
        </is>
      </c>
      <c r="D1877" t="inlineStr" s="5">
        <is>
          <t>其他</t>
        </is>
      </c>
      <c r="E1877" s="6"/>
      <c r="F1877" s="6"/>
      <c r="G1877" s="6">
        <f>IF(AND(E1877="",F1877=""),"",F1877-E1877)</f>
      </c>
      <c r="H1877" s="4"/>
      <c r="I1877" s="5"/>
    </row>
    <row r="1878" ht="21" customHeight="1">
      <c r="A1878" s="3">
        <v>46453</v>
      </c>
      <c r="B1878" t="inlineStr" s="4">
        <is>
          <t>星期日</t>
        </is>
      </c>
      <c r="C1878" t="inlineStr" s="4">
        <is>
          <t>其他</t>
        </is>
      </c>
      <c r="D1878" t="inlineStr" s="5">
        <is>
          <t>其他</t>
        </is>
      </c>
      <c r="E1878" s="6"/>
      <c r="F1878" s="6"/>
      <c r="G1878" s="6">
        <f>IF(AND(E1878="",F1878=""),"",F1878-E1878)</f>
      </c>
      <c r="H1878" s="4"/>
      <c r="I1878" s="5"/>
    </row>
    <row r="1879" ht="23" customHeight="1">
      <c r="A1879" t="inlineStr" s="7">
        <is>
          <t>本周小计</t>
        </is>
      </c>
      <c r="B1879" s="7"/>
      <c r="C1879" s="7"/>
      <c r="D1879" s="7"/>
      <c r="E1879" s="8">
        <f>SUM(E1837:E1878)</f>
      </c>
      <c r="F1879" s="8">
        <f>SUM(F1837:F1878)</f>
      </c>
      <c r="G1879" s="8">
        <f>SUM(G1837:G1878)</f>
      </c>
      <c r="H1879" s="7"/>
      <c r="I1879" s="7"/>
    </row>
    <row r="1880" ht="18" customHeight="1">
      <c r="A1880" s="9"/>
      <c r="B1880" s="9"/>
      <c r="C1880" s="9"/>
      <c r="D1880" s="9"/>
      <c r="E1880" s="9"/>
      <c r="F1880" s="9"/>
      <c r="G1880" s="9"/>
      <c r="H1880" s="9"/>
      <c r="I1880" s="9"/>
    </row>
    <row r="1881" ht="18" customHeight="1">
      <c r="A1881" s="9"/>
      <c r="B1881" s="9"/>
      <c r="C1881" s="9"/>
      <c r="D1881" s="9"/>
      <c r="E1881" s="9"/>
      <c r="F1881" s="9"/>
      <c r="G1881" s="9"/>
      <c r="H1881" s="9"/>
      <c r="I1881" s="9"/>
    </row>
    <row r="1882" ht="26" customHeight="1">
      <c r="A1882" t="inlineStr" s="2">
        <is>
          <t>2027年3月｜第二周（3月8日 - 3月14日）</t>
        </is>
      </c>
      <c r="B1882" s="2"/>
      <c r="C1882" s="2"/>
      <c r="D1882" s="2"/>
      <c r="E1882" s="2"/>
      <c r="F1882" s="2"/>
      <c r="G1882" s="2"/>
      <c r="H1882" s="2"/>
      <c r="I1882" s="2"/>
    </row>
    <row r="1883" ht="22" customHeight="1">
      <c r="A1883" t="inlineStr" s="1">
        <is>
          <t>日期</t>
        </is>
      </c>
      <c r="B1883" t="inlineStr" s="1">
        <is>
          <t>星期</t>
        </is>
      </c>
      <c r="C1883" t="inlineStr" s="1">
        <is>
          <t>分类</t>
        </is>
      </c>
      <c r="D1883" t="inlineStr" s="1">
        <is>
          <t>事项</t>
        </is>
      </c>
      <c r="E1883" t="inlineStr" s="1">
        <is>
          <t>支出金额</t>
        </is>
      </c>
      <c r="F1883" t="inlineStr" s="1">
        <is>
          <t>收入金额</t>
        </is>
      </c>
      <c r="G1883" t="inlineStr" s="1">
        <is>
          <t>当笔净额</t>
        </is>
      </c>
      <c r="H1883" t="inlineStr" s="1">
        <is>
          <t>支付方式</t>
        </is>
      </c>
      <c r="I1883" t="inlineStr" s="1">
        <is>
          <t>备注</t>
        </is>
      </c>
    </row>
    <row r="1884" ht="21" customHeight="1">
      <c r="A1884" s="3">
        <v>46454</v>
      </c>
      <c r="B1884" t="inlineStr" s="4">
        <is>
          <t>星期一</t>
        </is>
      </c>
      <c r="C1884" t="inlineStr" s="4">
        <is>
          <t>餐饮</t>
        </is>
      </c>
      <c r="D1884" t="inlineStr" s="5">
        <is>
          <t>早餐</t>
        </is>
      </c>
      <c r="E1884" s="6"/>
      <c r="F1884" s="6"/>
      <c r="G1884" s="6">
        <f>IF(AND(E1884="",F1884=""),"",F1884-E1884)</f>
      </c>
      <c r="H1884" s="4"/>
      <c r="I1884" s="5"/>
    </row>
    <row r="1885" ht="21" customHeight="1">
      <c r="A1885" s="3">
        <v>46454</v>
      </c>
      <c r="B1885" t="inlineStr" s="4">
        <is>
          <t>星期一</t>
        </is>
      </c>
      <c r="C1885" t="inlineStr" s="4">
        <is>
          <t>餐饮</t>
        </is>
      </c>
      <c r="D1885" t="inlineStr" s="5">
        <is>
          <t>中餐</t>
        </is>
      </c>
      <c r="E1885" s="6"/>
      <c r="F1885" s="6"/>
      <c r="G1885" s="6">
        <f>IF(AND(E1885="",F1885=""),"",F1885-E1885)</f>
      </c>
      <c r="H1885" s="4"/>
      <c r="I1885" s="5"/>
    </row>
    <row r="1886" ht="21" customHeight="1">
      <c r="A1886" s="3">
        <v>46454</v>
      </c>
      <c r="B1886" t="inlineStr" s="4">
        <is>
          <t>星期一</t>
        </is>
      </c>
      <c r="C1886" t="inlineStr" s="4">
        <is>
          <t>餐饮</t>
        </is>
      </c>
      <c r="D1886" t="inlineStr" s="5">
        <is>
          <t>晚餐</t>
        </is>
      </c>
      <c r="E1886" s="6"/>
      <c r="F1886" s="6"/>
      <c r="G1886" s="6">
        <f>IF(AND(E1886="",F1886=""),"",F1886-E1886)</f>
      </c>
      <c r="H1886" s="4"/>
      <c r="I1886" s="5"/>
    </row>
    <row r="1887" ht="21" customHeight="1">
      <c r="A1887" s="3">
        <v>46454</v>
      </c>
      <c r="B1887" t="inlineStr" s="4">
        <is>
          <t>星期一</t>
        </is>
      </c>
      <c r="C1887" t="inlineStr" s="4">
        <is>
          <t>奶茶/咖啡</t>
        </is>
      </c>
      <c r="D1887" t="inlineStr" s="5">
        <is>
          <t>奶茶/咖啡</t>
        </is>
      </c>
      <c r="E1887" s="6"/>
      <c r="F1887" s="6"/>
      <c r="G1887" s="6">
        <f>IF(AND(E1887="",F1887=""),"",F1887-E1887)</f>
      </c>
      <c r="H1887" s="4"/>
      <c r="I1887" s="5"/>
    </row>
    <row r="1888" ht="21" customHeight="1">
      <c r="A1888" s="3">
        <v>46454</v>
      </c>
      <c r="B1888" t="inlineStr" s="4">
        <is>
          <t>星期一</t>
        </is>
      </c>
      <c r="C1888" t="inlineStr" s="4">
        <is>
          <t>其他</t>
        </is>
      </c>
      <c r="D1888" t="inlineStr" s="5">
        <is>
          <t>其他</t>
        </is>
      </c>
      <c r="E1888" s="6"/>
      <c r="F1888" s="6"/>
      <c r="G1888" s="6">
        <f>IF(AND(E1888="",F1888=""),"",F1888-E1888)</f>
      </c>
      <c r="H1888" s="4"/>
      <c r="I1888" s="5"/>
    </row>
    <row r="1889" ht="21" customHeight="1">
      <c r="A1889" s="3">
        <v>46454</v>
      </c>
      <c r="B1889" t="inlineStr" s="4">
        <is>
          <t>星期一</t>
        </is>
      </c>
      <c r="C1889" t="inlineStr" s="4">
        <is>
          <t>其他</t>
        </is>
      </c>
      <c r="D1889" t="inlineStr" s="5">
        <is>
          <t>其他</t>
        </is>
      </c>
      <c r="E1889" s="6"/>
      <c r="F1889" s="6"/>
      <c r="G1889" s="6">
        <f>IF(AND(E1889="",F1889=""),"",F1889-E1889)</f>
      </c>
      <c r="H1889" s="4"/>
      <c r="I1889" s="5"/>
    </row>
    <row r="1890" ht="21" customHeight="1">
      <c r="A1890" s="3">
        <v>46455</v>
      </c>
      <c r="B1890" t="inlineStr" s="4">
        <is>
          <t>星期二</t>
        </is>
      </c>
      <c r="C1890" t="inlineStr" s="4">
        <is>
          <t>餐饮</t>
        </is>
      </c>
      <c r="D1890" t="inlineStr" s="5">
        <is>
          <t>早餐</t>
        </is>
      </c>
      <c r="E1890" s="6"/>
      <c r="F1890" s="6"/>
      <c r="G1890" s="6">
        <f>IF(AND(E1890="",F1890=""),"",F1890-E1890)</f>
      </c>
      <c r="H1890" s="4"/>
      <c r="I1890" s="5"/>
    </row>
    <row r="1891" ht="21" customHeight="1">
      <c r="A1891" s="3">
        <v>46455</v>
      </c>
      <c r="B1891" t="inlineStr" s="4">
        <is>
          <t>星期二</t>
        </is>
      </c>
      <c r="C1891" t="inlineStr" s="4">
        <is>
          <t>餐饮</t>
        </is>
      </c>
      <c r="D1891" t="inlineStr" s="5">
        <is>
          <t>中餐</t>
        </is>
      </c>
      <c r="E1891" s="6"/>
      <c r="F1891" s="6"/>
      <c r="G1891" s="6">
        <f>IF(AND(E1891="",F1891=""),"",F1891-E1891)</f>
      </c>
      <c r="H1891" s="4"/>
      <c r="I1891" s="5"/>
    </row>
    <row r="1892" ht="21" customHeight="1">
      <c r="A1892" s="3">
        <v>46455</v>
      </c>
      <c r="B1892" t="inlineStr" s="4">
        <is>
          <t>星期二</t>
        </is>
      </c>
      <c r="C1892" t="inlineStr" s="4">
        <is>
          <t>餐饮</t>
        </is>
      </c>
      <c r="D1892" t="inlineStr" s="5">
        <is>
          <t>晚餐</t>
        </is>
      </c>
      <c r="E1892" s="6"/>
      <c r="F1892" s="6"/>
      <c r="G1892" s="6">
        <f>IF(AND(E1892="",F1892=""),"",F1892-E1892)</f>
      </c>
      <c r="H1892" s="4"/>
      <c r="I1892" s="5"/>
    </row>
    <row r="1893" ht="21" customHeight="1">
      <c r="A1893" s="3">
        <v>46455</v>
      </c>
      <c r="B1893" t="inlineStr" s="4">
        <is>
          <t>星期二</t>
        </is>
      </c>
      <c r="C1893" t="inlineStr" s="4">
        <is>
          <t>奶茶/咖啡</t>
        </is>
      </c>
      <c r="D1893" t="inlineStr" s="5">
        <is>
          <t>奶茶/咖啡</t>
        </is>
      </c>
      <c r="E1893" s="6"/>
      <c r="F1893" s="6"/>
      <c r="G1893" s="6">
        <f>IF(AND(E1893="",F1893=""),"",F1893-E1893)</f>
      </c>
      <c r="H1893" s="4"/>
      <c r="I1893" s="5"/>
    </row>
    <row r="1894" ht="21" customHeight="1">
      <c r="A1894" s="3">
        <v>46455</v>
      </c>
      <c r="B1894" t="inlineStr" s="4">
        <is>
          <t>星期二</t>
        </is>
      </c>
      <c r="C1894" t="inlineStr" s="4">
        <is>
          <t>其他</t>
        </is>
      </c>
      <c r="D1894" t="inlineStr" s="5">
        <is>
          <t>其他</t>
        </is>
      </c>
      <c r="E1894" s="6"/>
      <c r="F1894" s="6"/>
      <c r="G1894" s="6">
        <f>IF(AND(E1894="",F1894=""),"",F1894-E1894)</f>
      </c>
      <c r="H1894" s="4"/>
      <c r="I1894" s="5"/>
    </row>
    <row r="1895" ht="21" customHeight="1">
      <c r="A1895" s="3">
        <v>46455</v>
      </c>
      <c r="B1895" t="inlineStr" s="4">
        <is>
          <t>星期二</t>
        </is>
      </c>
      <c r="C1895" t="inlineStr" s="4">
        <is>
          <t>其他</t>
        </is>
      </c>
      <c r="D1895" t="inlineStr" s="5">
        <is>
          <t>其他</t>
        </is>
      </c>
      <c r="E1895" s="6"/>
      <c r="F1895" s="6"/>
      <c r="G1895" s="6">
        <f>IF(AND(E1895="",F1895=""),"",F1895-E1895)</f>
      </c>
      <c r="H1895" s="4"/>
      <c r="I1895" s="5"/>
    </row>
    <row r="1896" ht="21" customHeight="1">
      <c r="A1896" s="3">
        <v>46456</v>
      </c>
      <c r="B1896" t="inlineStr" s="4">
        <is>
          <t>星期三</t>
        </is>
      </c>
      <c r="C1896" t="inlineStr" s="4">
        <is>
          <t>餐饮</t>
        </is>
      </c>
      <c r="D1896" t="inlineStr" s="5">
        <is>
          <t>早餐</t>
        </is>
      </c>
      <c r="E1896" s="6"/>
      <c r="F1896" s="6"/>
      <c r="G1896" s="6">
        <f>IF(AND(E1896="",F1896=""),"",F1896-E1896)</f>
      </c>
      <c r="H1896" s="4"/>
      <c r="I1896" s="5"/>
    </row>
    <row r="1897" ht="21" customHeight="1">
      <c r="A1897" s="3">
        <v>46456</v>
      </c>
      <c r="B1897" t="inlineStr" s="4">
        <is>
          <t>星期三</t>
        </is>
      </c>
      <c r="C1897" t="inlineStr" s="4">
        <is>
          <t>餐饮</t>
        </is>
      </c>
      <c r="D1897" t="inlineStr" s="5">
        <is>
          <t>中餐</t>
        </is>
      </c>
      <c r="E1897" s="6"/>
      <c r="F1897" s="6"/>
      <c r="G1897" s="6">
        <f>IF(AND(E1897="",F1897=""),"",F1897-E1897)</f>
      </c>
      <c r="H1897" s="4"/>
      <c r="I1897" s="5"/>
    </row>
    <row r="1898" ht="21" customHeight="1">
      <c r="A1898" s="3">
        <v>46456</v>
      </c>
      <c r="B1898" t="inlineStr" s="4">
        <is>
          <t>星期三</t>
        </is>
      </c>
      <c r="C1898" t="inlineStr" s="4">
        <is>
          <t>餐饮</t>
        </is>
      </c>
      <c r="D1898" t="inlineStr" s="5">
        <is>
          <t>晚餐</t>
        </is>
      </c>
      <c r="E1898" s="6"/>
      <c r="F1898" s="6"/>
      <c r="G1898" s="6">
        <f>IF(AND(E1898="",F1898=""),"",F1898-E1898)</f>
      </c>
      <c r="H1898" s="4"/>
      <c r="I1898" s="5"/>
    </row>
    <row r="1899" ht="21" customHeight="1">
      <c r="A1899" s="3">
        <v>46456</v>
      </c>
      <c r="B1899" t="inlineStr" s="4">
        <is>
          <t>星期三</t>
        </is>
      </c>
      <c r="C1899" t="inlineStr" s="4">
        <is>
          <t>奶茶/咖啡</t>
        </is>
      </c>
      <c r="D1899" t="inlineStr" s="5">
        <is>
          <t>奶茶/咖啡</t>
        </is>
      </c>
      <c r="E1899" s="6"/>
      <c r="F1899" s="6"/>
      <c r="G1899" s="6">
        <f>IF(AND(E1899="",F1899=""),"",F1899-E1899)</f>
      </c>
      <c r="H1899" s="4"/>
      <c r="I1899" s="5"/>
    </row>
    <row r="1900" ht="21" customHeight="1">
      <c r="A1900" s="3">
        <v>46456</v>
      </c>
      <c r="B1900" t="inlineStr" s="4">
        <is>
          <t>星期三</t>
        </is>
      </c>
      <c r="C1900" t="inlineStr" s="4">
        <is>
          <t>其他</t>
        </is>
      </c>
      <c r="D1900" t="inlineStr" s="5">
        <is>
          <t>其他</t>
        </is>
      </c>
      <c r="E1900" s="6"/>
      <c r="F1900" s="6"/>
      <c r="G1900" s="6">
        <f>IF(AND(E1900="",F1900=""),"",F1900-E1900)</f>
      </c>
      <c r="H1900" s="4"/>
      <c r="I1900" s="5"/>
    </row>
    <row r="1901" ht="21" customHeight="1">
      <c r="A1901" s="3">
        <v>46456</v>
      </c>
      <c r="B1901" t="inlineStr" s="4">
        <is>
          <t>星期三</t>
        </is>
      </c>
      <c r="C1901" t="inlineStr" s="4">
        <is>
          <t>其他</t>
        </is>
      </c>
      <c r="D1901" t="inlineStr" s="5">
        <is>
          <t>其他</t>
        </is>
      </c>
      <c r="E1901" s="6"/>
      <c r="F1901" s="6"/>
      <c r="G1901" s="6">
        <f>IF(AND(E1901="",F1901=""),"",F1901-E1901)</f>
      </c>
      <c r="H1901" s="4"/>
      <c r="I1901" s="5"/>
    </row>
    <row r="1902" ht="21" customHeight="1">
      <c r="A1902" s="3">
        <v>46457</v>
      </c>
      <c r="B1902" t="inlineStr" s="4">
        <is>
          <t>星期四</t>
        </is>
      </c>
      <c r="C1902" t="inlineStr" s="4">
        <is>
          <t>餐饮</t>
        </is>
      </c>
      <c r="D1902" t="inlineStr" s="5">
        <is>
          <t>早餐</t>
        </is>
      </c>
      <c r="E1902" s="6"/>
      <c r="F1902" s="6"/>
      <c r="G1902" s="6">
        <f>IF(AND(E1902="",F1902=""),"",F1902-E1902)</f>
      </c>
      <c r="H1902" s="4"/>
      <c r="I1902" s="5"/>
    </row>
    <row r="1903" ht="21" customHeight="1">
      <c r="A1903" s="3">
        <v>46457</v>
      </c>
      <c r="B1903" t="inlineStr" s="4">
        <is>
          <t>星期四</t>
        </is>
      </c>
      <c r="C1903" t="inlineStr" s="4">
        <is>
          <t>餐饮</t>
        </is>
      </c>
      <c r="D1903" t="inlineStr" s="5">
        <is>
          <t>中餐</t>
        </is>
      </c>
      <c r="E1903" s="6"/>
      <c r="F1903" s="6"/>
      <c r="G1903" s="6">
        <f>IF(AND(E1903="",F1903=""),"",F1903-E1903)</f>
      </c>
      <c r="H1903" s="4"/>
      <c r="I1903" s="5"/>
    </row>
    <row r="1904" ht="21" customHeight="1">
      <c r="A1904" s="3">
        <v>46457</v>
      </c>
      <c r="B1904" t="inlineStr" s="4">
        <is>
          <t>星期四</t>
        </is>
      </c>
      <c r="C1904" t="inlineStr" s="4">
        <is>
          <t>餐饮</t>
        </is>
      </c>
      <c r="D1904" t="inlineStr" s="5">
        <is>
          <t>晚餐</t>
        </is>
      </c>
      <c r="E1904" s="6"/>
      <c r="F1904" s="6"/>
      <c r="G1904" s="6">
        <f>IF(AND(E1904="",F1904=""),"",F1904-E1904)</f>
      </c>
      <c r="H1904" s="4"/>
      <c r="I1904" s="5"/>
    </row>
    <row r="1905" ht="21" customHeight="1">
      <c r="A1905" s="3">
        <v>46457</v>
      </c>
      <c r="B1905" t="inlineStr" s="4">
        <is>
          <t>星期四</t>
        </is>
      </c>
      <c r="C1905" t="inlineStr" s="4">
        <is>
          <t>奶茶/咖啡</t>
        </is>
      </c>
      <c r="D1905" t="inlineStr" s="5">
        <is>
          <t>奶茶/咖啡</t>
        </is>
      </c>
      <c r="E1905" s="6"/>
      <c r="F1905" s="6"/>
      <c r="G1905" s="6">
        <f>IF(AND(E1905="",F1905=""),"",F1905-E1905)</f>
      </c>
      <c r="H1905" s="4"/>
      <c r="I1905" s="5"/>
    </row>
    <row r="1906" ht="21" customHeight="1">
      <c r="A1906" s="3">
        <v>46457</v>
      </c>
      <c r="B1906" t="inlineStr" s="4">
        <is>
          <t>星期四</t>
        </is>
      </c>
      <c r="C1906" t="inlineStr" s="4">
        <is>
          <t>其他</t>
        </is>
      </c>
      <c r="D1906" t="inlineStr" s="5">
        <is>
          <t>其他</t>
        </is>
      </c>
      <c r="E1906" s="6"/>
      <c r="F1906" s="6"/>
      <c r="G1906" s="6">
        <f>IF(AND(E1906="",F1906=""),"",F1906-E1906)</f>
      </c>
      <c r="H1906" s="4"/>
      <c r="I1906" s="5"/>
    </row>
    <row r="1907" ht="21" customHeight="1">
      <c r="A1907" s="3">
        <v>46457</v>
      </c>
      <c r="B1907" t="inlineStr" s="4">
        <is>
          <t>星期四</t>
        </is>
      </c>
      <c r="C1907" t="inlineStr" s="4">
        <is>
          <t>其他</t>
        </is>
      </c>
      <c r="D1907" t="inlineStr" s="5">
        <is>
          <t>其他</t>
        </is>
      </c>
      <c r="E1907" s="6"/>
      <c r="F1907" s="6"/>
      <c r="G1907" s="6">
        <f>IF(AND(E1907="",F1907=""),"",F1907-E1907)</f>
      </c>
      <c r="H1907" s="4"/>
      <c r="I1907" s="5"/>
    </row>
    <row r="1908" ht="21" customHeight="1">
      <c r="A1908" s="3">
        <v>46458</v>
      </c>
      <c r="B1908" t="inlineStr" s="4">
        <is>
          <t>星期五</t>
        </is>
      </c>
      <c r="C1908" t="inlineStr" s="4">
        <is>
          <t>餐饮</t>
        </is>
      </c>
      <c r="D1908" t="inlineStr" s="5">
        <is>
          <t>早餐</t>
        </is>
      </c>
      <c r="E1908" s="6"/>
      <c r="F1908" s="6"/>
      <c r="G1908" s="6">
        <f>IF(AND(E1908="",F1908=""),"",F1908-E1908)</f>
      </c>
      <c r="H1908" s="4"/>
      <c r="I1908" s="5"/>
    </row>
    <row r="1909" ht="21" customHeight="1">
      <c r="A1909" s="3">
        <v>46458</v>
      </c>
      <c r="B1909" t="inlineStr" s="4">
        <is>
          <t>星期五</t>
        </is>
      </c>
      <c r="C1909" t="inlineStr" s="4">
        <is>
          <t>餐饮</t>
        </is>
      </c>
      <c r="D1909" t="inlineStr" s="5">
        <is>
          <t>中餐</t>
        </is>
      </c>
      <c r="E1909" s="6"/>
      <c r="F1909" s="6"/>
      <c r="G1909" s="6">
        <f>IF(AND(E1909="",F1909=""),"",F1909-E1909)</f>
      </c>
      <c r="H1909" s="4"/>
      <c r="I1909" s="5"/>
    </row>
    <row r="1910" ht="21" customHeight="1">
      <c r="A1910" s="3">
        <v>46458</v>
      </c>
      <c r="B1910" t="inlineStr" s="4">
        <is>
          <t>星期五</t>
        </is>
      </c>
      <c r="C1910" t="inlineStr" s="4">
        <is>
          <t>餐饮</t>
        </is>
      </c>
      <c r="D1910" t="inlineStr" s="5">
        <is>
          <t>晚餐</t>
        </is>
      </c>
      <c r="E1910" s="6"/>
      <c r="F1910" s="6"/>
      <c r="G1910" s="6">
        <f>IF(AND(E1910="",F1910=""),"",F1910-E1910)</f>
      </c>
      <c r="H1910" s="4"/>
      <c r="I1910" s="5"/>
    </row>
    <row r="1911" ht="21" customHeight="1">
      <c r="A1911" s="3">
        <v>46458</v>
      </c>
      <c r="B1911" t="inlineStr" s="4">
        <is>
          <t>星期五</t>
        </is>
      </c>
      <c r="C1911" t="inlineStr" s="4">
        <is>
          <t>奶茶/咖啡</t>
        </is>
      </c>
      <c r="D1911" t="inlineStr" s="5">
        <is>
          <t>奶茶/咖啡</t>
        </is>
      </c>
      <c r="E1911" s="6"/>
      <c r="F1911" s="6"/>
      <c r="G1911" s="6">
        <f>IF(AND(E1911="",F1911=""),"",F1911-E1911)</f>
      </c>
      <c r="H1911" s="4"/>
      <c r="I1911" s="5"/>
    </row>
    <row r="1912" ht="21" customHeight="1">
      <c r="A1912" s="3">
        <v>46458</v>
      </c>
      <c r="B1912" t="inlineStr" s="4">
        <is>
          <t>星期五</t>
        </is>
      </c>
      <c r="C1912" t="inlineStr" s="4">
        <is>
          <t>其他</t>
        </is>
      </c>
      <c r="D1912" t="inlineStr" s="5">
        <is>
          <t>其他</t>
        </is>
      </c>
      <c r="E1912" s="6"/>
      <c r="F1912" s="6"/>
      <c r="G1912" s="6">
        <f>IF(AND(E1912="",F1912=""),"",F1912-E1912)</f>
      </c>
      <c r="H1912" s="4"/>
      <c r="I1912" s="5"/>
    </row>
    <row r="1913" ht="21" customHeight="1">
      <c r="A1913" s="3">
        <v>46458</v>
      </c>
      <c r="B1913" t="inlineStr" s="4">
        <is>
          <t>星期五</t>
        </is>
      </c>
      <c r="C1913" t="inlineStr" s="4">
        <is>
          <t>其他</t>
        </is>
      </c>
      <c r="D1913" t="inlineStr" s="5">
        <is>
          <t>其他</t>
        </is>
      </c>
      <c r="E1913" s="6"/>
      <c r="F1913" s="6"/>
      <c r="G1913" s="6">
        <f>IF(AND(E1913="",F1913=""),"",F1913-E1913)</f>
      </c>
      <c r="H1913" s="4"/>
      <c r="I1913" s="5"/>
    </row>
    <row r="1914" ht="21" customHeight="1">
      <c r="A1914" s="3">
        <v>46459</v>
      </c>
      <c r="B1914" t="inlineStr" s="4">
        <is>
          <t>星期六</t>
        </is>
      </c>
      <c r="C1914" t="inlineStr" s="4">
        <is>
          <t>餐饮</t>
        </is>
      </c>
      <c r="D1914" t="inlineStr" s="5">
        <is>
          <t>早餐</t>
        </is>
      </c>
      <c r="E1914" s="6"/>
      <c r="F1914" s="6"/>
      <c r="G1914" s="6">
        <f>IF(AND(E1914="",F1914=""),"",F1914-E1914)</f>
      </c>
      <c r="H1914" s="4"/>
      <c r="I1914" s="5"/>
    </row>
    <row r="1915" ht="21" customHeight="1">
      <c r="A1915" s="3">
        <v>46459</v>
      </c>
      <c r="B1915" t="inlineStr" s="4">
        <is>
          <t>星期六</t>
        </is>
      </c>
      <c r="C1915" t="inlineStr" s="4">
        <is>
          <t>餐饮</t>
        </is>
      </c>
      <c r="D1915" t="inlineStr" s="5">
        <is>
          <t>中餐</t>
        </is>
      </c>
      <c r="E1915" s="6"/>
      <c r="F1915" s="6"/>
      <c r="G1915" s="6">
        <f>IF(AND(E1915="",F1915=""),"",F1915-E1915)</f>
      </c>
      <c r="H1915" s="4"/>
      <c r="I1915" s="5"/>
    </row>
    <row r="1916" ht="21" customHeight="1">
      <c r="A1916" s="3">
        <v>46459</v>
      </c>
      <c r="B1916" t="inlineStr" s="4">
        <is>
          <t>星期六</t>
        </is>
      </c>
      <c r="C1916" t="inlineStr" s="4">
        <is>
          <t>餐饮</t>
        </is>
      </c>
      <c r="D1916" t="inlineStr" s="5">
        <is>
          <t>晚餐</t>
        </is>
      </c>
      <c r="E1916" s="6"/>
      <c r="F1916" s="6"/>
      <c r="G1916" s="6">
        <f>IF(AND(E1916="",F1916=""),"",F1916-E1916)</f>
      </c>
      <c r="H1916" s="4"/>
      <c r="I1916" s="5"/>
    </row>
    <row r="1917" ht="21" customHeight="1">
      <c r="A1917" s="3">
        <v>46459</v>
      </c>
      <c r="B1917" t="inlineStr" s="4">
        <is>
          <t>星期六</t>
        </is>
      </c>
      <c r="C1917" t="inlineStr" s="4">
        <is>
          <t>奶茶/咖啡</t>
        </is>
      </c>
      <c r="D1917" t="inlineStr" s="5">
        <is>
          <t>奶茶/咖啡</t>
        </is>
      </c>
      <c r="E1917" s="6"/>
      <c r="F1917" s="6"/>
      <c r="G1917" s="6">
        <f>IF(AND(E1917="",F1917=""),"",F1917-E1917)</f>
      </c>
      <c r="H1917" s="4"/>
      <c r="I1917" s="5"/>
    </row>
    <row r="1918" ht="21" customHeight="1">
      <c r="A1918" s="3">
        <v>46459</v>
      </c>
      <c r="B1918" t="inlineStr" s="4">
        <is>
          <t>星期六</t>
        </is>
      </c>
      <c r="C1918" t="inlineStr" s="4">
        <is>
          <t>其他</t>
        </is>
      </c>
      <c r="D1918" t="inlineStr" s="5">
        <is>
          <t>其他</t>
        </is>
      </c>
      <c r="E1918" s="6"/>
      <c r="F1918" s="6"/>
      <c r="G1918" s="6">
        <f>IF(AND(E1918="",F1918=""),"",F1918-E1918)</f>
      </c>
      <c r="H1918" s="4"/>
      <c r="I1918" s="5"/>
    </row>
    <row r="1919" ht="21" customHeight="1">
      <c r="A1919" s="3">
        <v>46459</v>
      </c>
      <c r="B1919" t="inlineStr" s="4">
        <is>
          <t>星期六</t>
        </is>
      </c>
      <c r="C1919" t="inlineStr" s="4">
        <is>
          <t>其他</t>
        </is>
      </c>
      <c r="D1919" t="inlineStr" s="5">
        <is>
          <t>其他</t>
        </is>
      </c>
      <c r="E1919" s="6"/>
      <c r="F1919" s="6"/>
      <c r="G1919" s="6">
        <f>IF(AND(E1919="",F1919=""),"",F1919-E1919)</f>
      </c>
      <c r="H1919" s="4"/>
      <c r="I1919" s="5"/>
    </row>
    <row r="1920" ht="21" customHeight="1">
      <c r="A1920" s="3">
        <v>46460</v>
      </c>
      <c r="B1920" t="inlineStr" s="4">
        <is>
          <t>星期日</t>
        </is>
      </c>
      <c r="C1920" t="inlineStr" s="4">
        <is>
          <t>餐饮</t>
        </is>
      </c>
      <c r="D1920" t="inlineStr" s="5">
        <is>
          <t>早餐</t>
        </is>
      </c>
      <c r="E1920" s="6"/>
      <c r="F1920" s="6"/>
      <c r="G1920" s="6">
        <f>IF(AND(E1920="",F1920=""),"",F1920-E1920)</f>
      </c>
      <c r="H1920" s="4"/>
      <c r="I1920" s="5"/>
    </row>
    <row r="1921" ht="21" customHeight="1">
      <c r="A1921" s="3">
        <v>46460</v>
      </c>
      <c r="B1921" t="inlineStr" s="4">
        <is>
          <t>星期日</t>
        </is>
      </c>
      <c r="C1921" t="inlineStr" s="4">
        <is>
          <t>餐饮</t>
        </is>
      </c>
      <c r="D1921" t="inlineStr" s="5">
        <is>
          <t>中餐</t>
        </is>
      </c>
      <c r="E1921" s="6"/>
      <c r="F1921" s="6"/>
      <c r="G1921" s="6">
        <f>IF(AND(E1921="",F1921=""),"",F1921-E1921)</f>
      </c>
      <c r="H1921" s="4"/>
      <c r="I1921" s="5"/>
    </row>
    <row r="1922" ht="21" customHeight="1">
      <c r="A1922" s="3">
        <v>46460</v>
      </c>
      <c r="B1922" t="inlineStr" s="4">
        <is>
          <t>星期日</t>
        </is>
      </c>
      <c r="C1922" t="inlineStr" s="4">
        <is>
          <t>餐饮</t>
        </is>
      </c>
      <c r="D1922" t="inlineStr" s="5">
        <is>
          <t>晚餐</t>
        </is>
      </c>
      <c r="E1922" s="6"/>
      <c r="F1922" s="6"/>
      <c r="G1922" s="6">
        <f>IF(AND(E1922="",F1922=""),"",F1922-E1922)</f>
      </c>
      <c r="H1922" s="4"/>
      <c r="I1922" s="5"/>
    </row>
    <row r="1923" ht="21" customHeight="1">
      <c r="A1923" s="3">
        <v>46460</v>
      </c>
      <c r="B1923" t="inlineStr" s="4">
        <is>
          <t>星期日</t>
        </is>
      </c>
      <c r="C1923" t="inlineStr" s="4">
        <is>
          <t>奶茶/咖啡</t>
        </is>
      </c>
      <c r="D1923" t="inlineStr" s="5">
        <is>
          <t>奶茶/咖啡</t>
        </is>
      </c>
      <c r="E1923" s="6"/>
      <c r="F1923" s="6"/>
      <c r="G1923" s="6">
        <f>IF(AND(E1923="",F1923=""),"",F1923-E1923)</f>
      </c>
      <c r="H1923" s="4"/>
      <c r="I1923" s="5"/>
    </row>
    <row r="1924" ht="21" customHeight="1">
      <c r="A1924" s="3">
        <v>46460</v>
      </c>
      <c r="B1924" t="inlineStr" s="4">
        <is>
          <t>星期日</t>
        </is>
      </c>
      <c r="C1924" t="inlineStr" s="4">
        <is>
          <t>其他</t>
        </is>
      </c>
      <c r="D1924" t="inlineStr" s="5">
        <is>
          <t>其他</t>
        </is>
      </c>
      <c r="E1924" s="6"/>
      <c r="F1924" s="6"/>
      <c r="G1924" s="6">
        <f>IF(AND(E1924="",F1924=""),"",F1924-E1924)</f>
      </c>
      <c r="H1924" s="4"/>
      <c r="I1924" s="5"/>
    </row>
    <row r="1925" ht="21" customHeight="1">
      <c r="A1925" s="3">
        <v>46460</v>
      </c>
      <c r="B1925" t="inlineStr" s="4">
        <is>
          <t>星期日</t>
        </is>
      </c>
      <c r="C1925" t="inlineStr" s="4">
        <is>
          <t>其他</t>
        </is>
      </c>
      <c r="D1925" t="inlineStr" s="5">
        <is>
          <t>其他</t>
        </is>
      </c>
      <c r="E1925" s="6"/>
      <c r="F1925" s="6"/>
      <c r="G1925" s="6">
        <f>IF(AND(E1925="",F1925=""),"",F1925-E1925)</f>
      </c>
      <c r="H1925" s="4"/>
      <c r="I1925" s="5"/>
    </row>
    <row r="1926" ht="23" customHeight="1">
      <c r="A1926" t="inlineStr" s="7">
        <is>
          <t>本周小计</t>
        </is>
      </c>
      <c r="B1926" s="7"/>
      <c r="C1926" s="7"/>
      <c r="D1926" s="7"/>
      <c r="E1926" s="8">
        <f>SUM(E1884:E1925)</f>
      </c>
      <c r="F1926" s="8">
        <f>SUM(F1884:F1925)</f>
      </c>
      <c r="G1926" s="8">
        <f>SUM(G1884:G1925)</f>
      </c>
      <c r="H1926" s="7"/>
      <c r="I1926" s="7"/>
    </row>
    <row r="1927" ht="18" customHeight="1">
      <c r="A1927" s="9"/>
      <c r="B1927" s="9"/>
      <c r="C1927" s="9"/>
      <c r="D1927" s="9"/>
      <c r="E1927" s="9"/>
      <c r="F1927" s="9"/>
      <c r="G1927" s="9"/>
      <c r="H1927" s="9"/>
      <c r="I1927" s="9"/>
    </row>
    <row r="1928" ht="18" customHeight="1">
      <c r="A1928" s="9"/>
      <c r="B1928" s="9"/>
      <c r="C1928" s="9"/>
      <c r="D1928" s="9"/>
      <c r="E1928" s="9"/>
      <c r="F1928" s="9"/>
      <c r="G1928" s="9"/>
      <c r="H1928" s="9"/>
      <c r="I1928" s="9"/>
    </row>
    <row r="1929" ht="26" customHeight="1">
      <c r="A1929" t="inlineStr" s="2">
        <is>
          <t>2027年3月｜第三周（3月15日 - 3月21日）</t>
        </is>
      </c>
      <c r="B1929" s="2"/>
      <c r="C1929" s="2"/>
      <c r="D1929" s="2"/>
      <c r="E1929" s="2"/>
      <c r="F1929" s="2"/>
      <c r="G1929" s="2"/>
      <c r="H1929" s="2"/>
      <c r="I1929" s="2"/>
    </row>
    <row r="1930" ht="22" customHeight="1">
      <c r="A1930" t="inlineStr" s="1">
        <is>
          <t>日期</t>
        </is>
      </c>
      <c r="B1930" t="inlineStr" s="1">
        <is>
          <t>星期</t>
        </is>
      </c>
      <c r="C1930" t="inlineStr" s="1">
        <is>
          <t>分类</t>
        </is>
      </c>
      <c r="D1930" t="inlineStr" s="1">
        <is>
          <t>事项</t>
        </is>
      </c>
      <c r="E1930" t="inlineStr" s="1">
        <is>
          <t>支出金额</t>
        </is>
      </c>
      <c r="F1930" t="inlineStr" s="1">
        <is>
          <t>收入金额</t>
        </is>
      </c>
      <c r="G1930" t="inlineStr" s="1">
        <is>
          <t>当笔净额</t>
        </is>
      </c>
      <c r="H1930" t="inlineStr" s="1">
        <is>
          <t>支付方式</t>
        </is>
      </c>
      <c r="I1930" t="inlineStr" s="1">
        <is>
          <t>备注</t>
        </is>
      </c>
    </row>
    <row r="1931" ht="21" customHeight="1">
      <c r="A1931" s="3">
        <v>46461</v>
      </c>
      <c r="B1931" t="inlineStr" s="4">
        <is>
          <t>星期一</t>
        </is>
      </c>
      <c r="C1931" t="inlineStr" s="4">
        <is>
          <t>餐饮</t>
        </is>
      </c>
      <c r="D1931" t="inlineStr" s="5">
        <is>
          <t>早餐</t>
        </is>
      </c>
      <c r="E1931" s="6"/>
      <c r="F1931" s="6"/>
      <c r="G1931" s="6">
        <f>IF(AND(E1931="",F1931=""),"",F1931-E1931)</f>
      </c>
      <c r="H1931" s="4"/>
      <c r="I1931" s="5"/>
    </row>
    <row r="1932" ht="21" customHeight="1">
      <c r="A1932" s="3">
        <v>46461</v>
      </c>
      <c r="B1932" t="inlineStr" s="4">
        <is>
          <t>星期一</t>
        </is>
      </c>
      <c r="C1932" t="inlineStr" s="4">
        <is>
          <t>餐饮</t>
        </is>
      </c>
      <c r="D1932" t="inlineStr" s="5">
        <is>
          <t>中餐</t>
        </is>
      </c>
      <c r="E1932" s="6"/>
      <c r="F1932" s="6"/>
      <c r="G1932" s="6">
        <f>IF(AND(E1932="",F1932=""),"",F1932-E1932)</f>
      </c>
      <c r="H1932" s="4"/>
      <c r="I1932" s="5"/>
    </row>
    <row r="1933" ht="21" customHeight="1">
      <c r="A1933" s="3">
        <v>46461</v>
      </c>
      <c r="B1933" t="inlineStr" s="4">
        <is>
          <t>星期一</t>
        </is>
      </c>
      <c r="C1933" t="inlineStr" s="4">
        <is>
          <t>餐饮</t>
        </is>
      </c>
      <c r="D1933" t="inlineStr" s="5">
        <is>
          <t>晚餐</t>
        </is>
      </c>
      <c r="E1933" s="6"/>
      <c r="F1933" s="6"/>
      <c r="G1933" s="6">
        <f>IF(AND(E1933="",F1933=""),"",F1933-E1933)</f>
      </c>
      <c r="H1933" s="4"/>
      <c r="I1933" s="5"/>
    </row>
    <row r="1934" ht="21" customHeight="1">
      <c r="A1934" s="3">
        <v>46461</v>
      </c>
      <c r="B1934" t="inlineStr" s="4">
        <is>
          <t>星期一</t>
        </is>
      </c>
      <c r="C1934" t="inlineStr" s="4">
        <is>
          <t>奶茶/咖啡</t>
        </is>
      </c>
      <c r="D1934" t="inlineStr" s="5">
        <is>
          <t>奶茶/咖啡</t>
        </is>
      </c>
      <c r="E1934" s="6"/>
      <c r="F1934" s="6"/>
      <c r="G1934" s="6">
        <f>IF(AND(E1934="",F1934=""),"",F1934-E1934)</f>
      </c>
      <c r="H1934" s="4"/>
      <c r="I1934" s="5"/>
    </row>
    <row r="1935" ht="21" customHeight="1">
      <c r="A1935" s="3">
        <v>46461</v>
      </c>
      <c r="B1935" t="inlineStr" s="4">
        <is>
          <t>星期一</t>
        </is>
      </c>
      <c r="C1935" t="inlineStr" s="4">
        <is>
          <t>其他</t>
        </is>
      </c>
      <c r="D1935" t="inlineStr" s="5">
        <is>
          <t>其他</t>
        </is>
      </c>
      <c r="E1935" s="6"/>
      <c r="F1935" s="6"/>
      <c r="G1935" s="6">
        <f>IF(AND(E1935="",F1935=""),"",F1935-E1935)</f>
      </c>
      <c r="H1935" s="4"/>
      <c r="I1935" s="5"/>
    </row>
    <row r="1936" ht="21" customHeight="1">
      <c r="A1936" s="3">
        <v>46461</v>
      </c>
      <c r="B1936" t="inlineStr" s="4">
        <is>
          <t>星期一</t>
        </is>
      </c>
      <c r="C1936" t="inlineStr" s="4">
        <is>
          <t>其他</t>
        </is>
      </c>
      <c r="D1936" t="inlineStr" s="5">
        <is>
          <t>其他</t>
        </is>
      </c>
      <c r="E1936" s="6"/>
      <c r="F1936" s="6"/>
      <c r="G1936" s="6">
        <f>IF(AND(E1936="",F1936=""),"",F1936-E1936)</f>
      </c>
      <c r="H1936" s="4"/>
      <c r="I1936" s="5"/>
    </row>
    <row r="1937" ht="21" customHeight="1">
      <c r="A1937" s="3">
        <v>46462</v>
      </c>
      <c r="B1937" t="inlineStr" s="4">
        <is>
          <t>星期二</t>
        </is>
      </c>
      <c r="C1937" t="inlineStr" s="4">
        <is>
          <t>餐饮</t>
        </is>
      </c>
      <c r="D1937" t="inlineStr" s="5">
        <is>
          <t>早餐</t>
        </is>
      </c>
      <c r="E1937" s="6"/>
      <c r="F1937" s="6"/>
      <c r="G1937" s="6">
        <f>IF(AND(E1937="",F1937=""),"",F1937-E1937)</f>
      </c>
      <c r="H1937" s="4"/>
      <c r="I1937" s="5"/>
    </row>
    <row r="1938" ht="21" customHeight="1">
      <c r="A1938" s="3">
        <v>46462</v>
      </c>
      <c r="B1938" t="inlineStr" s="4">
        <is>
          <t>星期二</t>
        </is>
      </c>
      <c r="C1938" t="inlineStr" s="4">
        <is>
          <t>餐饮</t>
        </is>
      </c>
      <c r="D1938" t="inlineStr" s="5">
        <is>
          <t>中餐</t>
        </is>
      </c>
      <c r="E1938" s="6"/>
      <c r="F1938" s="6"/>
      <c r="G1938" s="6">
        <f>IF(AND(E1938="",F1938=""),"",F1938-E1938)</f>
      </c>
      <c r="H1938" s="4"/>
      <c r="I1938" s="5"/>
    </row>
    <row r="1939" ht="21" customHeight="1">
      <c r="A1939" s="3">
        <v>46462</v>
      </c>
      <c r="B1939" t="inlineStr" s="4">
        <is>
          <t>星期二</t>
        </is>
      </c>
      <c r="C1939" t="inlineStr" s="4">
        <is>
          <t>餐饮</t>
        </is>
      </c>
      <c r="D1939" t="inlineStr" s="5">
        <is>
          <t>晚餐</t>
        </is>
      </c>
      <c r="E1939" s="6"/>
      <c r="F1939" s="6"/>
      <c r="G1939" s="6">
        <f>IF(AND(E1939="",F1939=""),"",F1939-E1939)</f>
      </c>
      <c r="H1939" s="4"/>
      <c r="I1939" s="5"/>
    </row>
    <row r="1940" ht="21" customHeight="1">
      <c r="A1940" s="3">
        <v>46462</v>
      </c>
      <c r="B1940" t="inlineStr" s="4">
        <is>
          <t>星期二</t>
        </is>
      </c>
      <c r="C1940" t="inlineStr" s="4">
        <is>
          <t>奶茶/咖啡</t>
        </is>
      </c>
      <c r="D1940" t="inlineStr" s="5">
        <is>
          <t>奶茶/咖啡</t>
        </is>
      </c>
      <c r="E1940" s="6"/>
      <c r="F1940" s="6"/>
      <c r="G1940" s="6">
        <f>IF(AND(E1940="",F1940=""),"",F1940-E1940)</f>
      </c>
      <c r="H1940" s="4"/>
      <c r="I1940" s="5"/>
    </row>
    <row r="1941" ht="21" customHeight="1">
      <c r="A1941" s="3">
        <v>46462</v>
      </c>
      <c r="B1941" t="inlineStr" s="4">
        <is>
          <t>星期二</t>
        </is>
      </c>
      <c r="C1941" t="inlineStr" s="4">
        <is>
          <t>其他</t>
        </is>
      </c>
      <c r="D1941" t="inlineStr" s="5">
        <is>
          <t>其他</t>
        </is>
      </c>
      <c r="E1941" s="6"/>
      <c r="F1941" s="6"/>
      <c r="G1941" s="6">
        <f>IF(AND(E1941="",F1941=""),"",F1941-E1941)</f>
      </c>
      <c r="H1941" s="4"/>
      <c r="I1941" s="5"/>
    </row>
    <row r="1942" ht="21" customHeight="1">
      <c r="A1942" s="3">
        <v>46462</v>
      </c>
      <c r="B1942" t="inlineStr" s="4">
        <is>
          <t>星期二</t>
        </is>
      </c>
      <c r="C1942" t="inlineStr" s="4">
        <is>
          <t>其他</t>
        </is>
      </c>
      <c r="D1942" t="inlineStr" s="5">
        <is>
          <t>其他</t>
        </is>
      </c>
      <c r="E1942" s="6"/>
      <c r="F1942" s="6"/>
      <c r="G1942" s="6">
        <f>IF(AND(E1942="",F1942=""),"",F1942-E1942)</f>
      </c>
      <c r="H1942" s="4"/>
      <c r="I1942" s="5"/>
    </row>
    <row r="1943" ht="21" customHeight="1">
      <c r="A1943" s="3">
        <v>46463</v>
      </c>
      <c r="B1943" t="inlineStr" s="4">
        <is>
          <t>星期三</t>
        </is>
      </c>
      <c r="C1943" t="inlineStr" s="4">
        <is>
          <t>餐饮</t>
        </is>
      </c>
      <c r="D1943" t="inlineStr" s="5">
        <is>
          <t>早餐</t>
        </is>
      </c>
      <c r="E1943" s="6"/>
      <c r="F1943" s="6"/>
      <c r="G1943" s="6">
        <f>IF(AND(E1943="",F1943=""),"",F1943-E1943)</f>
      </c>
      <c r="H1943" s="4"/>
      <c r="I1943" s="5"/>
    </row>
    <row r="1944" ht="21" customHeight="1">
      <c r="A1944" s="3">
        <v>46463</v>
      </c>
      <c r="B1944" t="inlineStr" s="4">
        <is>
          <t>星期三</t>
        </is>
      </c>
      <c r="C1944" t="inlineStr" s="4">
        <is>
          <t>餐饮</t>
        </is>
      </c>
      <c r="D1944" t="inlineStr" s="5">
        <is>
          <t>中餐</t>
        </is>
      </c>
      <c r="E1944" s="6"/>
      <c r="F1944" s="6"/>
      <c r="G1944" s="6">
        <f>IF(AND(E1944="",F1944=""),"",F1944-E1944)</f>
      </c>
      <c r="H1944" s="4"/>
      <c r="I1944" s="5"/>
    </row>
    <row r="1945" ht="21" customHeight="1">
      <c r="A1945" s="3">
        <v>46463</v>
      </c>
      <c r="B1945" t="inlineStr" s="4">
        <is>
          <t>星期三</t>
        </is>
      </c>
      <c r="C1945" t="inlineStr" s="4">
        <is>
          <t>餐饮</t>
        </is>
      </c>
      <c r="D1945" t="inlineStr" s="5">
        <is>
          <t>晚餐</t>
        </is>
      </c>
      <c r="E1945" s="6"/>
      <c r="F1945" s="6"/>
      <c r="G1945" s="6">
        <f>IF(AND(E1945="",F1945=""),"",F1945-E1945)</f>
      </c>
      <c r="H1945" s="4"/>
      <c r="I1945" s="5"/>
    </row>
    <row r="1946" ht="21" customHeight="1">
      <c r="A1946" s="3">
        <v>46463</v>
      </c>
      <c r="B1946" t="inlineStr" s="4">
        <is>
          <t>星期三</t>
        </is>
      </c>
      <c r="C1946" t="inlineStr" s="4">
        <is>
          <t>奶茶/咖啡</t>
        </is>
      </c>
      <c r="D1946" t="inlineStr" s="5">
        <is>
          <t>奶茶/咖啡</t>
        </is>
      </c>
      <c r="E1946" s="6"/>
      <c r="F1946" s="6"/>
      <c r="G1946" s="6">
        <f>IF(AND(E1946="",F1946=""),"",F1946-E1946)</f>
      </c>
      <c r="H1946" s="4"/>
      <c r="I1946" s="5"/>
    </row>
    <row r="1947" ht="21" customHeight="1">
      <c r="A1947" s="3">
        <v>46463</v>
      </c>
      <c r="B1947" t="inlineStr" s="4">
        <is>
          <t>星期三</t>
        </is>
      </c>
      <c r="C1947" t="inlineStr" s="4">
        <is>
          <t>其他</t>
        </is>
      </c>
      <c r="D1947" t="inlineStr" s="5">
        <is>
          <t>其他</t>
        </is>
      </c>
      <c r="E1947" s="6"/>
      <c r="F1947" s="6"/>
      <c r="G1947" s="6">
        <f>IF(AND(E1947="",F1947=""),"",F1947-E1947)</f>
      </c>
      <c r="H1947" s="4"/>
      <c r="I1947" s="5"/>
    </row>
    <row r="1948" ht="21" customHeight="1">
      <c r="A1948" s="3">
        <v>46463</v>
      </c>
      <c r="B1948" t="inlineStr" s="4">
        <is>
          <t>星期三</t>
        </is>
      </c>
      <c r="C1948" t="inlineStr" s="4">
        <is>
          <t>其他</t>
        </is>
      </c>
      <c r="D1948" t="inlineStr" s="5">
        <is>
          <t>其他</t>
        </is>
      </c>
      <c r="E1948" s="6"/>
      <c r="F1948" s="6"/>
      <c r="G1948" s="6">
        <f>IF(AND(E1948="",F1948=""),"",F1948-E1948)</f>
      </c>
      <c r="H1948" s="4"/>
      <c r="I1948" s="5"/>
    </row>
    <row r="1949" ht="21" customHeight="1">
      <c r="A1949" s="3">
        <v>46464</v>
      </c>
      <c r="B1949" t="inlineStr" s="4">
        <is>
          <t>星期四</t>
        </is>
      </c>
      <c r="C1949" t="inlineStr" s="4">
        <is>
          <t>餐饮</t>
        </is>
      </c>
      <c r="D1949" t="inlineStr" s="5">
        <is>
          <t>早餐</t>
        </is>
      </c>
      <c r="E1949" s="6"/>
      <c r="F1949" s="6"/>
      <c r="G1949" s="6">
        <f>IF(AND(E1949="",F1949=""),"",F1949-E1949)</f>
      </c>
      <c r="H1949" s="4"/>
      <c r="I1949" s="5"/>
    </row>
    <row r="1950" ht="21" customHeight="1">
      <c r="A1950" s="3">
        <v>46464</v>
      </c>
      <c r="B1950" t="inlineStr" s="4">
        <is>
          <t>星期四</t>
        </is>
      </c>
      <c r="C1950" t="inlineStr" s="4">
        <is>
          <t>餐饮</t>
        </is>
      </c>
      <c r="D1950" t="inlineStr" s="5">
        <is>
          <t>中餐</t>
        </is>
      </c>
      <c r="E1950" s="6"/>
      <c r="F1950" s="6"/>
      <c r="G1950" s="6">
        <f>IF(AND(E1950="",F1950=""),"",F1950-E1950)</f>
      </c>
      <c r="H1950" s="4"/>
      <c r="I1950" s="5"/>
    </row>
    <row r="1951" ht="21" customHeight="1">
      <c r="A1951" s="3">
        <v>46464</v>
      </c>
      <c r="B1951" t="inlineStr" s="4">
        <is>
          <t>星期四</t>
        </is>
      </c>
      <c r="C1951" t="inlineStr" s="4">
        <is>
          <t>餐饮</t>
        </is>
      </c>
      <c r="D1951" t="inlineStr" s="5">
        <is>
          <t>晚餐</t>
        </is>
      </c>
      <c r="E1951" s="6"/>
      <c r="F1951" s="6"/>
      <c r="G1951" s="6">
        <f>IF(AND(E1951="",F1951=""),"",F1951-E1951)</f>
      </c>
      <c r="H1951" s="4"/>
      <c r="I1951" s="5"/>
    </row>
    <row r="1952" ht="21" customHeight="1">
      <c r="A1952" s="3">
        <v>46464</v>
      </c>
      <c r="B1952" t="inlineStr" s="4">
        <is>
          <t>星期四</t>
        </is>
      </c>
      <c r="C1952" t="inlineStr" s="4">
        <is>
          <t>奶茶/咖啡</t>
        </is>
      </c>
      <c r="D1952" t="inlineStr" s="5">
        <is>
          <t>奶茶/咖啡</t>
        </is>
      </c>
      <c r="E1952" s="6"/>
      <c r="F1952" s="6"/>
      <c r="G1952" s="6">
        <f>IF(AND(E1952="",F1952=""),"",F1952-E1952)</f>
      </c>
      <c r="H1952" s="4"/>
      <c r="I1952" s="5"/>
    </row>
    <row r="1953" ht="21" customHeight="1">
      <c r="A1953" s="3">
        <v>46464</v>
      </c>
      <c r="B1953" t="inlineStr" s="4">
        <is>
          <t>星期四</t>
        </is>
      </c>
      <c r="C1953" t="inlineStr" s="4">
        <is>
          <t>其他</t>
        </is>
      </c>
      <c r="D1953" t="inlineStr" s="5">
        <is>
          <t>其他</t>
        </is>
      </c>
      <c r="E1953" s="6"/>
      <c r="F1953" s="6"/>
      <c r="G1953" s="6">
        <f>IF(AND(E1953="",F1953=""),"",F1953-E1953)</f>
      </c>
      <c r="H1953" s="4"/>
      <c r="I1953" s="5"/>
    </row>
    <row r="1954" ht="21" customHeight="1">
      <c r="A1954" s="3">
        <v>46464</v>
      </c>
      <c r="B1954" t="inlineStr" s="4">
        <is>
          <t>星期四</t>
        </is>
      </c>
      <c r="C1954" t="inlineStr" s="4">
        <is>
          <t>其他</t>
        </is>
      </c>
      <c r="D1954" t="inlineStr" s="5">
        <is>
          <t>其他</t>
        </is>
      </c>
      <c r="E1954" s="6"/>
      <c r="F1954" s="6"/>
      <c r="G1954" s="6">
        <f>IF(AND(E1954="",F1954=""),"",F1954-E1954)</f>
      </c>
      <c r="H1954" s="4"/>
      <c r="I1954" s="5"/>
    </row>
    <row r="1955" ht="21" customHeight="1">
      <c r="A1955" s="3">
        <v>46465</v>
      </c>
      <c r="B1955" t="inlineStr" s="4">
        <is>
          <t>星期五</t>
        </is>
      </c>
      <c r="C1955" t="inlineStr" s="4">
        <is>
          <t>餐饮</t>
        </is>
      </c>
      <c r="D1955" t="inlineStr" s="5">
        <is>
          <t>早餐</t>
        </is>
      </c>
      <c r="E1955" s="6"/>
      <c r="F1955" s="6"/>
      <c r="G1955" s="6">
        <f>IF(AND(E1955="",F1955=""),"",F1955-E1955)</f>
      </c>
      <c r="H1955" s="4"/>
      <c r="I1955" s="5"/>
    </row>
    <row r="1956" ht="21" customHeight="1">
      <c r="A1956" s="3">
        <v>46465</v>
      </c>
      <c r="B1956" t="inlineStr" s="4">
        <is>
          <t>星期五</t>
        </is>
      </c>
      <c r="C1956" t="inlineStr" s="4">
        <is>
          <t>餐饮</t>
        </is>
      </c>
      <c r="D1956" t="inlineStr" s="5">
        <is>
          <t>中餐</t>
        </is>
      </c>
      <c r="E1956" s="6"/>
      <c r="F1956" s="6"/>
      <c r="G1956" s="6">
        <f>IF(AND(E1956="",F1956=""),"",F1956-E1956)</f>
      </c>
      <c r="H1956" s="4"/>
      <c r="I1956" s="5"/>
    </row>
    <row r="1957" ht="21" customHeight="1">
      <c r="A1957" s="3">
        <v>46465</v>
      </c>
      <c r="B1957" t="inlineStr" s="4">
        <is>
          <t>星期五</t>
        </is>
      </c>
      <c r="C1957" t="inlineStr" s="4">
        <is>
          <t>餐饮</t>
        </is>
      </c>
      <c r="D1957" t="inlineStr" s="5">
        <is>
          <t>晚餐</t>
        </is>
      </c>
      <c r="E1957" s="6"/>
      <c r="F1957" s="6"/>
      <c r="G1957" s="6">
        <f>IF(AND(E1957="",F1957=""),"",F1957-E1957)</f>
      </c>
      <c r="H1957" s="4"/>
      <c r="I1957" s="5"/>
    </row>
    <row r="1958" ht="21" customHeight="1">
      <c r="A1958" s="3">
        <v>46465</v>
      </c>
      <c r="B1958" t="inlineStr" s="4">
        <is>
          <t>星期五</t>
        </is>
      </c>
      <c r="C1958" t="inlineStr" s="4">
        <is>
          <t>奶茶/咖啡</t>
        </is>
      </c>
      <c r="D1958" t="inlineStr" s="5">
        <is>
          <t>奶茶/咖啡</t>
        </is>
      </c>
      <c r="E1958" s="6"/>
      <c r="F1958" s="6"/>
      <c r="G1958" s="6">
        <f>IF(AND(E1958="",F1958=""),"",F1958-E1958)</f>
      </c>
      <c r="H1958" s="4"/>
      <c r="I1958" s="5"/>
    </row>
    <row r="1959" ht="21" customHeight="1">
      <c r="A1959" s="3">
        <v>46465</v>
      </c>
      <c r="B1959" t="inlineStr" s="4">
        <is>
          <t>星期五</t>
        </is>
      </c>
      <c r="C1959" t="inlineStr" s="4">
        <is>
          <t>其他</t>
        </is>
      </c>
      <c r="D1959" t="inlineStr" s="5">
        <is>
          <t>其他</t>
        </is>
      </c>
      <c r="E1959" s="6"/>
      <c r="F1959" s="6"/>
      <c r="G1959" s="6">
        <f>IF(AND(E1959="",F1959=""),"",F1959-E1959)</f>
      </c>
      <c r="H1959" s="4"/>
      <c r="I1959" s="5"/>
    </row>
    <row r="1960" ht="21" customHeight="1">
      <c r="A1960" s="3">
        <v>46465</v>
      </c>
      <c r="B1960" t="inlineStr" s="4">
        <is>
          <t>星期五</t>
        </is>
      </c>
      <c r="C1960" t="inlineStr" s="4">
        <is>
          <t>其他</t>
        </is>
      </c>
      <c r="D1960" t="inlineStr" s="5">
        <is>
          <t>其他</t>
        </is>
      </c>
      <c r="E1960" s="6"/>
      <c r="F1960" s="6"/>
      <c r="G1960" s="6">
        <f>IF(AND(E1960="",F1960=""),"",F1960-E1960)</f>
      </c>
      <c r="H1960" s="4"/>
      <c r="I1960" s="5"/>
    </row>
    <row r="1961" ht="21" customHeight="1">
      <c r="A1961" s="3">
        <v>46466</v>
      </c>
      <c r="B1961" t="inlineStr" s="4">
        <is>
          <t>星期六</t>
        </is>
      </c>
      <c r="C1961" t="inlineStr" s="4">
        <is>
          <t>餐饮</t>
        </is>
      </c>
      <c r="D1961" t="inlineStr" s="5">
        <is>
          <t>早餐</t>
        </is>
      </c>
      <c r="E1961" s="6"/>
      <c r="F1961" s="6"/>
      <c r="G1961" s="6">
        <f>IF(AND(E1961="",F1961=""),"",F1961-E1961)</f>
      </c>
      <c r="H1961" s="4"/>
      <c r="I1961" s="5"/>
    </row>
    <row r="1962" ht="21" customHeight="1">
      <c r="A1962" s="3">
        <v>46466</v>
      </c>
      <c r="B1962" t="inlineStr" s="4">
        <is>
          <t>星期六</t>
        </is>
      </c>
      <c r="C1962" t="inlineStr" s="4">
        <is>
          <t>餐饮</t>
        </is>
      </c>
      <c r="D1962" t="inlineStr" s="5">
        <is>
          <t>中餐</t>
        </is>
      </c>
      <c r="E1962" s="6"/>
      <c r="F1962" s="6"/>
      <c r="G1962" s="6">
        <f>IF(AND(E1962="",F1962=""),"",F1962-E1962)</f>
      </c>
      <c r="H1962" s="4"/>
      <c r="I1962" s="5"/>
    </row>
    <row r="1963" ht="21" customHeight="1">
      <c r="A1963" s="3">
        <v>46466</v>
      </c>
      <c r="B1963" t="inlineStr" s="4">
        <is>
          <t>星期六</t>
        </is>
      </c>
      <c r="C1963" t="inlineStr" s="4">
        <is>
          <t>餐饮</t>
        </is>
      </c>
      <c r="D1963" t="inlineStr" s="5">
        <is>
          <t>晚餐</t>
        </is>
      </c>
      <c r="E1963" s="6"/>
      <c r="F1963" s="6"/>
      <c r="G1963" s="6">
        <f>IF(AND(E1963="",F1963=""),"",F1963-E1963)</f>
      </c>
      <c r="H1963" s="4"/>
      <c r="I1963" s="5"/>
    </row>
    <row r="1964" ht="21" customHeight="1">
      <c r="A1964" s="3">
        <v>46466</v>
      </c>
      <c r="B1964" t="inlineStr" s="4">
        <is>
          <t>星期六</t>
        </is>
      </c>
      <c r="C1964" t="inlineStr" s="4">
        <is>
          <t>奶茶/咖啡</t>
        </is>
      </c>
      <c r="D1964" t="inlineStr" s="5">
        <is>
          <t>奶茶/咖啡</t>
        </is>
      </c>
      <c r="E1964" s="6"/>
      <c r="F1964" s="6"/>
      <c r="G1964" s="6">
        <f>IF(AND(E1964="",F1964=""),"",F1964-E1964)</f>
      </c>
      <c r="H1964" s="4"/>
      <c r="I1964" s="5"/>
    </row>
    <row r="1965" ht="21" customHeight="1">
      <c r="A1965" s="3">
        <v>46466</v>
      </c>
      <c r="B1965" t="inlineStr" s="4">
        <is>
          <t>星期六</t>
        </is>
      </c>
      <c r="C1965" t="inlineStr" s="4">
        <is>
          <t>其他</t>
        </is>
      </c>
      <c r="D1965" t="inlineStr" s="5">
        <is>
          <t>其他</t>
        </is>
      </c>
      <c r="E1965" s="6"/>
      <c r="F1965" s="6"/>
      <c r="G1965" s="6">
        <f>IF(AND(E1965="",F1965=""),"",F1965-E1965)</f>
      </c>
      <c r="H1965" s="4"/>
      <c r="I1965" s="5"/>
    </row>
    <row r="1966" ht="21" customHeight="1">
      <c r="A1966" s="3">
        <v>46466</v>
      </c>
      <c r="B1966" t="inlineStr" s="4">
        <is>
          <t>星期六</t>
        </is>
      </c>
      <c r="C1966" t="inlineStr" s="4">
        <is>
          <t>其他</t>
        </is>
      </c>
      <c r="D1966" t="inlineStr" s="5">
        <is>
          <t>其他</t>
        </is>
      </c>
      <c r="E1966" s="6"/>
      <c r="F1966" s="6"/>
      <c r="G1966" s="6">
        <f>IF(AND(E1966="",F1966=""),"",F1966-E1966)</f>
      </c>
      <c r="H1966" s="4"/>
      <c r="I1966" s="5"/>
    </row>
    <row r="1967" ht="21" customHeight="1">
      <c r="A1967" s="3">
        <v>46467</v>
      </c>
      <c r="B1967" t="inlineStr" s="4">
        <is>
          <t>星期日</t>
        </is>
      </c>
      <c r="C1967" t="inlineStr" s="4">
        <is>
          <t>餐饮</t>
        </is>
      </c>
      <c r="D1967" t="inlineStr" s="5">
        <is>
          <t>早餐</t>
        </is>
      </c>
      <c r="E1967" s="6"/>
      <c r="F1967" s="6"/>
      <c r="G1967" s="6">
        <f>IF(AND(E1967="",F1967=""),"",F1967-E1967)</f>
      </c>
      <c r="H1967" s="4"/>
      <c r="I1967" s="5"/>
    </row>
    <row r="1968" ht="21" customHeight="1">
      <c r="A1968" s="3">
        <v>46467</v>
      </c>
      <c r="B1968" t="inlineStr" s="4">
        <is>
          <t>星期日</t>
        </is>
      </c>
      <c r="C1968" t="inlineStr" s="4">
        <is>
          <t>餐饮</t>
        </is>
      </c>
      <c r="D1968" t="inlineStr" s="5">
        <is>
          <t>中餐</t>
        </is>
      </c>
      <c r="E1968" s="6"/>
      <c r="F1968" s="6"/>
      <c r="G1968" s="6">
        <f>IF(AND(E1968="",F1968=""),"",F1968-E1968)</f>
      </c>
      <c r="H1968" s="4"/>
      <c r="I1968" s="5"/>
    </row>
    <row r="1969" ht="21" customHeight="1">
      <c r="A1969" s="3">
        <v>46467</v>
      </c>
      <c r="B1969" t="inlineStr" s="4">
        <is>
          <t>星期日</t>
        </is>
      </c>
      <c r="C1969" t="inlineStr" s="4">
        <is>
          <t>餐饮</t>
        </is>
      </c>
      <c r="D1969" t="inlineStr" s="5">
        <is>
          <t>晚餐</t>
        </is>
      </c>
      <c r="E1969" s="6"/>
      <c r="F1969" s="6"/>
      <c r="G1969" s="6">
        <f>IF(AND(E1969="",F1969=""),"",F1969-E1969)</f>
      </c>
      <c r="H1969" s="4"/>
      <c r="I1969" s="5"/>
    </row>
    <row r="1970" ht="21" customHeight="1">
      <c r="A1970" s="3">
        <v>46467</v>
      </c>
      <c r="B1970" t="inlineStr" s="4">
        <is>
          <t>星期日</t>
        </is>
      </c>
      <c r="C1970" t="inlineStr" s="4">
        <is>
          <t>奶茶/咖啡</t>
        </is>
      </c>
      <c r="D1970" t="inlineStr" s="5">
        <is>
          <t>奶茶/咖啡</t>
        </is>
      </c>
      <c r="E1970" s="6"/>
      <c r="F1970" s="6"/>
      <c r="G1970" s="6">
        <f>IF(AND(E1970="",F1970=""),"",F1970-E1970)</f>
      </c>
      <c r="H1970" s="4"/>
      <c r="I1970" s="5"/>
    </row>
    <row r="1971" ht="21" customHeight="1">
      <c r="A1971" s="3">
        <v>46467</v>
      </c>
      <c r="B1971" t="inlineStr" s="4">
        <is>
          <t>星期日</t>
        </is>
      </c>
      <c r="C1971" t="inlineStr" s="4">
        <is>
          <t>其他</t>
        </is>
      </c>
      <c r="D1971" t="inlineStr" s="5">
        <is>
          <t>其他</t>
        </is>
      </c>
      <c r="E1971" s="6"/>
      <c r="F1971" s="6"/>
      <c r="G1971" s="6">
        <f>IF(AND(E1971="",F1971=""),"",F1971-E1971)</f>
      </c>
      <c r="H1971" s="4"/>
      <c r="I1971" s="5"/>
    </row>
    <row r="1972" ht="21" customHeight="1">
      <c r="A1972" s="3">
        <v>46467</v>
      </c>
      <c r="B1972" t="inlineStr" s="4">
        <is>
          <t>星期日</t>
        </is>
      </c>
      <c r="C1972" t="inlineStr" s="4">
        <is>
          <t>其他</t>
        </is>
      </c>
      <c r="D1972" t="inlineStr" s="5">
        <is>
          <t>其他</t>
        </is>
      </c>
      <c r="E1972" s="6"/>
      <c r="F1972" s="6"/>
      <c r="G1972" s="6">
        <f>IF(AND(E1972="",F1972=""),"",F1972-E1972)</f>
      </c>
      <c r="H1972" s="4"/>
      <c r="I1972" s="5"/>
    </row>
    <row r="1973" ht="23" customHeight="1">
      <c r="A1973" t="inlineStr" s="7">
        <is>
          <t>本周小计</t>
        </is>
      </c>
      <c r="B1973" s="7"/>
      <c r="C1973" s="7"/>
      <c r="D1973" s="7"/>
      <c r="E1973" s="8">
        <f>SUM(E1931:E1972)</f>
      </c>
      <c r="F1973" s="8">
        <f>SUM(F1931:F1972)</f>
      </c>
      <c r="G1973" s="8">
        <f>SUM(G1931:G1972)</f>
      </c>
      <c r="H1973" s="7"/>
      <c r="I1973" s="7"/>
    </row>
    <row r="1974" ht="18" customHeight="1">
      <c r="A1974" s="9"/>
      <c r="B1974" s="9"/>
      <c r="C1974" s="9"/>
      <c r="D1974" s="9"/>
      <c r="E1974" s="9"/>
      <c r="F1974" s="9"/>
      <c r="G1974" s="9"/>
      <c r="H1974" s="9"/>
      <c r="I1974" s="9"/>
    </row>
    <row r="1975" ht="18" customHeight="1">
      <c r="A1975" s="9"/>
      <c r="B1975" s="9"/>
      <c r="C1975" s="9"/>
      <c r="D1975" s="9"/>
      <c r="E1975" s="9"/>
      <c r="F1975" s="9"/>
      <c r="G1975" s="9"/>
      <c r="H1975" s="9"/>
      <c r="I1975" s="9"/>
    </row>
    <row r="1976" ht="26" customHeight="1">
      <c r="A1976" t="inlineStr" s="2">
        <is>
          <t>2027年3月｜第四周（3月22日 - 3月28日）</t>
        </is>
      </c>
      <c r="B1976" s="2"/>
      <c r="C1976" s="2"/>
      <c r="D1976" s="2"/>
      <c r="E1976" s="2"/>
      <c r="F1976" s="2"/>
      <c r="G1976" s="2"/>
      <c r="H1976" s="2"/>
      <c r="I1976" s="2"/>
    </row>
    <row r="1977" ht="22" customHeight="1">
      <c r="A1977" t="inlineStr" s="1">
        <is>
          <t>日期</t>
        </is>
      </c>
      <c r="B1977" t="inlineStr" s="1">
        <is>
          <t>星期</t>
        </is>
      </c>
      <c r="C1977" t="inlineStr" s="1">
        <is>
          <t>分类</t>
        </is>
      </c>
      <c r="D1977" t="inlineStr" s="1">
        <is>
          <t>事项</t>
        </is>
      </c>
      <c r="E1977" t="inlineStr" s="1">
        <is>
          <t>支出金额</t>
        </is>
      </c>
      <c r="F1977" t="inlineStr" s="1">
        <is>
          <t>收入金额</t>
        </is>
      </c>
      <c r="G1977" t="inlineStr" s="1">
        <is>
          <t>当笔净额</t>
        </is>
      </c>
      <c r="H1977" t="inlineStr" s="1">
        <is>
          <t>支付方式</t>
        </is>
      </c>
      <c r="I1977" t="inlineStr" s="1">
        <is>
          <t>备注</t>
        </is>
      </c>
    </row>
    <row r="1978" ht="21" customHeight="1">
      <c r="A1978" s="3">
        <v>46468</v>
      </c>
      <c r="B1978" t="inlineStr" s="4">
        <is>
          <t>星期一</t>
        </is>
      </c>
      <c r="C1978" t="inlineStr" s="4">
        <is>
          <t>餐饮</t>
        </is>
      </c>
      <c r="D1978" t="inlineStr" s="5">
        <is>
          <t>早餐</t>
        </is>
      </c>
      <c r="E1978" s="6"/>
      <c r="F1978" s="6"/>
      <c r="G1978" s="6">
        <f>IF(AND(E1978="",F1978=""),"",F1978-E1978)</f>
      </c>
      <c r="H1978" s="4"/>
      <c r="I1978" s="5"/>
    </row>
    <row r="1979" ht="21" customHeight="1">
      <c r="A1979" s="3">
        <v>46468</v>
      </c>
      <c r="B1979" t="inlineStr" s="4">
        <is>
          <t>星期一</t>
        </is>
      </c>
      <c r="C1979" t="inlineStr" s="4">
        <is>
          <t>餐饮</t>
        </is>
      </c>
      <c r="D1979" t="inlineStr" s="5">
        <is>
          <t>中餐</t>
        </is>
      </c>
      <c r="E1979" s="6"/>
      <c r="F1979" s="6"/>
      <c r="G1979" s="6">
        <f>IF(AND(E1979="",F1979=""),"",F1979-E1979)</f>
      </c>
      <c r="H1979" s="4"/>
      <c r="I1979" s="5"/>
    </row>
    <row r="1980" ht="21" customHeight="1">
      <c r="A1980" s="3">
        <v>46468</v>
      </c>
      <c r="B1980" t="inlineStr" s="4">
        <is>
          <t>星期一</t>
        </is>
      </c>
      <c r="C1980" t="inlineStr" s="4">
        <is>
          <t>餐饮</t>
        </is>
      </c>
      <c r="D1980" t="inlineStr" s="5">
        <is>
          <t>晚餐</t>
        </is>
      </c>
      <c r="E1980" s="6"/>
      <c r="F1980" s="6"/>
      <c r="G1980" s="6">
        <f>IF(AND(E1980="",F1980=""),"",F1980-E1980)</f>
      </c>
      <c r="H1980" s="4"/>
      <c r="I1980" s="5"/>
    </row>
    <row r="1981" ht="21" customHeight="1">
      <c r="A1981" s="3">
        <v>46468</v>
      </c>
      <c r="B1981" t="inlineStr" s="4">
        <is>
          <t>星期一</t>
        </is>
      </c>
      <c r="C1981" t="inlineStr" s="4">
        <is>
          <t>奶茶/咖啡</t>
        </is>
      </c>
      <c r="D1981" t="inlineStr" s="5">
        <is>
          <t>奶茶/咖啡</t>
        </is>
      </c>
      <c r="E1981" s="6"/>
      <c r="F1981" s="6"/>
      <c r="G1981" s="6">
        <f>IF(AND(E1981="",F1981=""),"",F1981-E1981)</f>
      </c>
      <c r="H1981" s="4"/>
      <c r="I1981" s="5"/>
    </row>
    <row r="1982" ht="21" customHeight="1">
      <c r="A1982" s="3">
        <v>46468</v>
      </c>
      <c r="B1982" t="inlineStr" s="4">
        <is>
          <t>星期一</t>
        </is>
      </c>
      <c r="C1982" t="inlineStr" s="4">
        <is>
          <t>其他</t>
        </is>
      </c>
      <c r="D1982" t="inlineStr" s="5">
        <is>
          <t>其他</t>
        </is>
      </c>
      <c r="E1982" s="6"/>
      <c r="F1982" s="6"/>
      <c r="G1982" s="6">
        <f>IF(AND(E1982="",F1982=""),"",F1982-E1982)</f>
      </c>
      <c r="H1982" s="4"/>
      <c r="I1982" s="5"/>
    </row>
    <row r="1983" ht="21" customHeight="1">
      <c r="A1983" s="3">
        <v>46468</v>
      </c>
      <c r="B1983" t="inlineStr" s="4">
        <is>
          <t>星期一</t>
        </is>
      </c>
      <c r="C1983" t="inlineStr" s="4">
        <is>
          <t>其他</t>
        </is>
      </c>
      <c r="D1983" t="inlineStr" s="5">
        <is>
          <t>其他</t>
        </is>
      </c>
      <c r="E1983" s="6"/>
      <c r="F1983" s="6"/>
      <c r="G1983" s="6">
        <f>IF(AND(E1983="",F1983=""),"",F1983-E1983)</f>
      </c>
      <c r="H1983" s="4"/>
      <c r="I1983" s="5"/>
    </row>
    <row r="1984" ht="21" customHeight="1">
      <c r="A1984" s="3">
        <v>46469</v>
      </c>
      <c r="B1984" t="inlineStr" s="4">
        <is>
          <t>星期二</t>
        </is>
      </c>
      <c r="C1984" t="inlineStr" s="4">
        <is>
          <t>餐饮</t>
        </is>
      </c>
      <c r="D1984" t="inlineStr" s="5">
        <is>
          <t>早餐</t>
        </is>
      </c>
      <c r="E1984" s="6"/>
      <c r="F1984" s="6"/>
      <c r="G1984" s="6">
        <f>IF(AND(E1984="",F1984=""),"",F1984-E1984)</f>
      </c>
      <c r="H1984" s="4"/>
      <c r="I1984" s="5"/>
    </row>
    <row r="1985" ht="21" customHeight="1">
      <c r="A1985" s="3">
        <v>46469</v>
      </c>
      <c r="B1985" t="inlineStr" s="4">
        <is>
          <t>星期二</t>
        </is>
      </c>
      <c r="C1985" t="inlineStr" s="4">
        <is>
          <t>餐饮</t>
        </is>
      </c>
      <c r="D1985" t="inlineStr" s="5">
        <is>
          <t>中餐</t>
        </is>
      </c>
      <c r="E1985" s="6"/>
      <c r="F1985" s="6"/>
      <c r="G1985" s="6">
        <f>IF(AND(E1985="",F1985=""),"",F1985-E1985)</f>
      </c>
      <c r="H1985" s="4"/>
      <c r="I1985" s="5"/>
    </row>
    <row r="1986" ht="21" customHeight="1">
      <c r="A1986" s="3">
        <v>46469</v>
      </c>
      <c r="B1986" t="inlineStr" s="4">
        <is>
          <t>星期二</t>
        </is>
      </c>
      <c r="C1986" t="inlineStr" s="4">
        <is>
          <t>餐饮</t>
        </is>
      </c>
      <c r="D1986" t="inlineStr" s="5">
        <is>
          <t>晚餐</t>
        </is>
      </c>
      <c r="E1986" s="6"/>
      <c r="F1986" s="6"/>
      <c r="G1986" s="6">
        <f>IF(AND(E1986="",F1986=""),"",F1986-E1986)</f>
      </c>
      <c r="H1986" s="4"/>
      <c r="I1986" s="5"/>
    </row>
    <row r="1987" ht="21" customHeight="1">
      <c r="A1987" s="3">
        <v>46469</v>
      </c>
      <c r="B1987" t="inlineStr" s="4">
        <is>
          <t>星期二</t>
        </is>
      </c>
      <c r="C1987" t="inlineStr" s="4">
        <is>
          <t>奶茶/咖啡</t>
        </is>
      </c>
      <c r="D1987" t="inlineStr" s="5">
        <is>
          <t>奶茶/咖啡</t>
        </is>
      </c>
      <c r="E1987" s="6"/>
      <c r="F1987" s="6"/>
      <c r="G1987" s="6">
        <f>IF(AND(E1987="",F1987=""),"",F1987-E1987)</f>
      </c>
      <c r="H1987" s="4"/>
      <c r="I1987" s="5"/>
    </row>
    <row r="1988" ht="21" customHeight="1">
      <c r="A1988" s="3">
        <v>46469</v>
      </c>
      <c r="B1988" t="inlineStr" s="4">
        <is>
          <t>星期二</t>
        </is>
      </c>
      <c r="C1988" t="inlineStr" s="4">
        <is>
          <t>其他</t>
        </is>
      </c>
      <c r="D1988" t="inlineStr" s="5">
        <is>
          <t>其他</t>
        </is>
      </c>
      <c r="E1988" s="6"/>
      <c r="F1988" s="6"/>
      <c r="G1988" s="6">
        <f>IF(AND(E1988="",F1988=""),"",F1988-E1988)</f>
      </c>
      <c r="H1988" s="4"/>
      <c r="I1988" s="5"/>
    </row>
    <row r="1989" ht="21" customHeight="1">
      <c r="A1989" s="3">
        <v>46469</v>
      </c>
      <c r="B1989" t="inlineStr" s="4">
        <is>
          <t>星期二</t>
        </is>
      </c>
      <c r="C1989" t="inlineStr" s="4">
        <is>
          <t>其他</t>
        </is>
      </c>
      <c r="D1989" t="inlineStr" s="5">
        <is>
          <t>其他</t>
        </is>
      </c>
      <c r="E1989" s="6"/>
      <c r="F1989" s="6"/>
      <c r="G1989" s="6">
        <f>IF(AND(E1989="",F1989=""),"",F1989-E1989)</f>
      </c>
      <c r="H1989" s="4"/>
      <c r="I1989" s="5"/>
    </row>
    <row r="1990" ht="21" customHeight="1">
      <c r="A1990" s="3">
        <v>46470</v>
      </c>
      <c r="B1990" t="inlineStr" s="4">
        <is>
          <t>星期三</t>
        </is>
      </c>
      <c r="C1990" t="inlineStr" s="4">
        <is>
          <t>餐饮</t>
        </is>
      </c>
      <c r="D1990" t="inlineStr" s="5">
        <is>
          <t>早餐</t>
        </is>
      </c>
      <c r="E1990" s="6"/>
      <c r="F1990" s="6"/>
      <c r="G1990" s="6">
        <f>IF(AND(E1990="",F1990=""),"",F1990-E1990)</f>
      </c>
      <c r="H1990" s="4"/>
      <c r="I1990" s="5"/>
    </row>
    <row r="1991" ht="21" customHeight="1">
      <c r="A1991" s="3">
        <v>46470</v>
      </c>
      <c r="B1991" t="inlineStr" s="4">
        <is>
          <t>星期三</t>
        </is>
      </c>
      <c r="C1991" t="inlineStr" s="4">
        <is>
          <t>餐饮</t>
        </is>
      </c>
      <c r="D1991" t="inlineStr" s="5">
        <is>
          <t>中餐</t>
        </is>
      </c>
      <c r="E1991" s="6"/>
      <c r="F1991" s="6"/>
      <c r="G1991" s="6">
        <f>IF(AND(E1991="",F1991=""),"",F1991-E1991)</f>
      </c>
      <c r="H1991" s="4"/>
      <c r="I1991" s="5"/>
    </row>
    <row r="1992" ht="21" customHeight="1">
      <c r="A1992" s="3">
        <v>46470</v>
      </c>
      <c r="B1992" t="inlineStr" s="4">
        <is>
          <t>星期三</t>
        </is>
      </c>
      <c r="C1992" t="inlineStr" s="4">
        <is>
          <t>餐饮</t>
        </is>
      </c>
      <c r="D1992" t="inlineStr" s="5">
        <is>
          <t>晚餐</t>
        </is>
      </c>
      <c r="E1992" s="6"/>
      <c r="F1992" s="6"/>
      <c r="G1992" s="6">
        <f>IF(AND(E1992="",F1992=""),"",F1992-E1992)</f>
      </c>
      <c r="H1992" s="4"/>
      <c r="I1992" s="5"/>
    </row>
    <row r="1993" ht="21" customHeight="1">
      <c r="A1993" s="3">
        <v>46470</v>
      </c>
      <c r="B1993" t="inlineStr" s="4">
        <is>
          <t>星期三</t>
        </is>
      </c>
      <c r="C1993" t="inlineStr" s="4">
        <is>
          <t>奶茶/咖啡</t>
        </is>
      </c>
      <c r="D1993" t="inlineStr" s="5">
        <is>
          <t>奶茶/咖啡</t>
        </is>
      </c>
      <c r="E1993" s="6"/>
      <c r="F1993" s="6"/>
      <c r="G1993" s="6">
        <f>IF(AND(E1993="",F1993=""),"",F1993-E1993)</f>
      </c>
      <c r="H1993" s="4"/>
      <c r="I1993" s="5"/>
    </row>
    <row r="1994" ht="21" customHeight="1">
      <c r="A1994" s="3">
        <v>46470</v>
      </c>
      <c r="B1994" t="inlineStr" s="4">
        <is>
          <t>星期三</t>
        </is>
      </c>
      <c r="C1994" t="inlineStr" s="4">
        <is>
          <t>其他</t>
        </is>
      </c>
      <c r="D1994" t="inlineStr" s="5">
        <is>
          <t>其他</t>
        </is>
      </c>
      <c r="E1994" s="6"/>
      <c r="F1994" s="6"/>
      <c r="G1994" s="6">
        <f>IF(AND(E1994="",F1994=""),"",F1994-E1994)</f>
      </c>
      <c r="H1994" s="4"/>
      <c r="I1994" s="5"/>
    </row>
    <row r="1995" ht="21" customHeight="1">
      <c r="A1995" s="3">
        <v>46470</v>
      </c>
      <c r="B1995" t="inlineStr" s="4">
        <is>
          <t>星期三</t>
        </is>
      </c>
      <c r="C1995" t="inlineStr" s="4">
        <is>
          <t>其他</t>
        </is>
      </c>
      <c r="D1995" t="inlineStr" s="5">
        <is>
          <t>其他</t>
        </is>
      </c>
      <c r="E1995" s="6"/>
      <c r="F1995" s="6"/>
      <c r="G1995" s="6">
        <f>IF(AND(E1995="",F1995=""),"",F1995-E1995)</f>
      </c>
      <c r="H1995" s="4"/>
      <c r="I1995" s="5"/>
    </row>
    <row r="1996" ht="21" customHeight="1">
      <c r="A1996" s="3">
        <v>46471</v>
      </c>
      <c r="B1996" t="inlineStr" s="4">
        <is>
          <t>星期四</t>
        </is>
      </c>
      <c r="C1996" t="inlineStr" s="4">
        <is>
          <t>餐饮</t>
        </is>
      </c>
      <c r="D1996" t="inlineStr" s="5">
        <is>
          <t>早餐</t>
        </is>
      </c>
      <c r="E1996" s="6"/>
      <c r="F1996" s="6"/>
      <c r="G1996" s="6">
        <f>IF(AND(E1996="",F1996=""),"",F1996-E1996)</f>
      </c>
      <c r="H1996" s="4"/>
      <c r="I1996" s="5"/>
    </row>
    <row r="1997" ht="21" customHeight="1">
      <c r="A1997" s="3">
        <v>46471</v>
      </c>
      <c r="B1997" t="inlineStr" s="4">
        <is>
          <t>星期四</t>
        </is>
      </c>
      <c r="C1997" t="inlineStr" s="4">
        <is>
          <t>餐饮</t>
        </is>
      </c>
      <c r="D1997" t="inlineStr" s="5">
        <is>
          <t>中餐</t>
        </is>
      </c>
      <c r="E1997" s="6"/>
      <c r="F1997" s="6"/>
      <c r="G1997" s="6">
        <f>IF(AND(E1997="",F1997=""),"",F1997-E1997)</f>
      </c>
      <c r="H1997" s="4"/>
      <c r="I1997" s="5"/>
    </row>
    <row r="1998" ht="21" customHeight="1">
      <c r="A1998" s="3">
        <v>46471</v>
      </c>
      <c r="B1998" t="inlineStr" s="4">
        <is>
          <t>星期四</t>
        </is>
      </c>
      <c r="C1998" t="inlineStr" s="4">
        <is>
          <t>餐饮</t>
        </is>
      </c>
      <c r="D1998" t="inlineStr" s="5">
        <is>
          <t>晚餐</t>
        </is>
      </c>
      <c r="E1998" s="6"/>
      <c r="F1998" s="6"/>
      <c r="G1998" s="6">
        <f>IF(AND(E1998="",F1998=""),"",F1998-E1998)</f>
      </c>
      <c r="H1998" s="4"/>
      <c r="I1998" s="5"/>
    </row>
    <row r="1999" ht="21" customHeight="1">
      <c r="A1999" s="3">
        <v>46471</v>
      </c>
      <c r="B1999" t="inlineStr" s="4">
        <is>
          <t>星期四</t>
        </is>
      </c>
      <c r="C1999" t="inlineStr" s="4">
        <is>
          <t>奶茶/咖啡</t>
        </is>
      </c>
      <c r="D1999" t="inlineStr" s="5">
        <is>
          <t>奶茶/咖啡</t>
        </is>
      </c>
      <c r="E1999" s="6"/>
      <c r="F1999" s="6"/>
      <c r="G1999" s="6">
        <f>IF(AND(E1999="",F1999=""),"",F1999-E1999)</f>
      </c>
      <c r="H1999" s="4"/>
      <c r="I1999" s="5"/>
    </row>
    <row r="2000" ht="21" customHeight="1">
      <c r="A2000" s="3">
        <v>46471</v>
      </c>
      <c r="B2000" t="inlineStr" s="4">
        <is>
          <t>星期四</t>
        </is>
      </c>
      <c r="C2000" t="inlineStr" s="4">
        <is>
          <t>其他</t>
        </is>
      </c>
      <c r="D2000" t="inlineStr" s="5">
        <is>
          <t>其他</t>
        </is>
      </c>
      <c r="E2000" s="6"/>
      <c r="F2000" s="6"/>
      <c r="G2000" s="6">
        <f>IF(AND(E2000="",F2000=""),"",F2000-E2000)</f>
      </c>
      <c r="H2000" s="4"/>
      <c r="I2000" s="5"/>
    </row>
    <row r="2001" ht="21" customHeight="1">
      <c r="A2001" s="3">
        <v>46471</v>
      </c>
      <c r="B2001" t="inlineStr" s="4">
        <is>
          <t>星期四</t>
        </is>
      </c>
      <c r="C2001" t="inlineStr" s="4">
        <is>
          <t>其他</t>
        </is>
      </c>
      <c r="D2001" t="inlineStr" s="5">
        <is>
          <t>其他</t>
        </is>
      </c>
      <c r="E2001" s="6"/>
      <c r="F2001" s="6"/>
      <c r="G2001" s="6">
        <f>IF(AND(E2001="",F2001=""),"",F2001-E2001)</f>
      </c>
      <c r="H2001" s="4"/>
      <c r="I2001" s="5"/>
    </row>
    <row r="2002" ht="21" customHeight="1">
      <c r="A2002" s="3">
        <v>46472</v>
      </c>
      <c r="B2002" t="inlineStr" s="4">
        <is>
          <t>星期五</t>
        </is>
      </c>
      <c r="C2002" t="inlineStr" s="4">
        <is>
          <t>餐饮</t>
        </is>
      </c>
      <c r="D2002" t="inlineStr" s="5">
        <is>
          <t>早餐</t>
        </is>
      </c>
      <c r="E2002" s="6"/>
      <c r="F2002" s="6"/>
      <c r="G2002" s="6">
        <f>IF(AND(E2002="",F2002=""),"",F2002-E2002)</f>
      </c>
      <c r="H2002" s="4"/>
      <c r="I2002" s="5"/>
    </row>
    <row r="2003" ht="21" customHeight="1">
      <c r="A2003" s="3">
        <v>46472</v>
      </c>
      <c r="B2003" t="inlineStr" s="4">
        <is>
          <t>星期五</t>
        </is>
      </c>
      <c r="C2003" t="inlineStr" s="4">
        <is>
          <t>餐饮</t>
        </is>
      </c>
      <c r="D2003" t="inlineStr" s="5">
        <is>
          <t>中餐</t>
        </is>
      </c>
      <c r="E2003" s="6"/>
      <c r="F2003" s="6"/>
      <c r="G2003" s="6">
        <f>IF(AND(E2003="",F2003=""),"",F2003-E2003)</f>
      </c>
      <c r="H2003" s="4"/>
      <c r="I2003" s="5"/>
    </row>
    <row r="2004" ht="21" customHeight="1">
      <c r="A2004" s="3">
        <v>46472</v>
      </c>
      <c r="B2004" t="inlineStr" s="4">
        <is>
          <t>星期五</t>
        </is>
      </c>
      <c r="C2004" t="inlineStr" s="4">
        <is>
          <t>餐饮</t>
        </is>
      </c>
      <c r="D2004" t="inlineStr" s="5">
        <is>
          <t>晚餐</t>
        </is>
      </c>
      <c r="E2004" s="6"/>
      <c r="F2004" s="6"/>
      <c r="G2004" s="6">
        <f>IF(AND(E2004="",F2004=""),"",F2004-E2004)</f>
      </c>
      <c r="H2004" s="4"/>
      <c r="I2004" s="5"/>
    </row>
    <row r="2005" ht="21" customHeight="1">
      <c r="A2005" s="3">
        <v>46472</v>
      </c>
      <c r="B2005" t="inlineStr" s="4">
        <is>
          <t>星期五</t>
        </is>
      </c>
      <c r="C2005" t="inlineStr" s="4">
        <is>
          <t>奶茶/咖啡</t>
        </is>
      </c>
      <c r="D2005" t="inlineStr" s="5">
        <is>
          <t>奶茶/咖啡</t>
        </is>
      </c>
      <c r="E2005" s="6"/>
      <c r="F2005" s="6"/>
      <c r="G2005" s="6">
        <f>IF(AND(E2005="",F2005=""),"",F2005-E2005)</f>
      </c>
      <c r="H2005" s="4"/>
      <c r="I2005" s="5"/>
    </row>
    <row r="2006" ht="21" customHeight="1">
      <c r="A2006" s="3">
        <v>46472</v>
      </c>
      <c r="B2006" t="inlineStr" s="4">
        <is>
          <t>星期五</t>
        </is>
      </c>
      <c r="C2006" t="inlineStr" s="4">
        <is>
          <t>其他</t>
        </is>
      </c>
      <c r="D2006" t="inlineStr" s="5">
        <is>
          <t>其他</t>
        </is>
      </c>
      <c r="E2006" s="6"/>
      <c r="F2006" s="6"/>
      <c r="G2006" s="6">
        <f>IF(AND(E2006="",F2006=""),"",F2006-E2006)</f>
      </c>
      <c r="H2006" s="4"/>
      <c r="I2006" s="5"/>
    </row>
    <row r="2007" ht="21" customHeight="1">
      <c r="A2007" s="3">
        <v>46472</v>
      </c>
      <c r="B2007" t="inlineStr" s="4">
        <is>
          <t>星期五</t>
        </is>
      </c>
      <c r="C2007" t="inlineStr" s="4">
        <is>
          <t>其他</t>
        </is>
      </c>
      <c r="D2007" t="inlineStr" s="5">
        <is>
          <t>其他</t>
        </is>
      </c>
      <c r="E2007" s="6"/>
      <c r="F2007" s="6"/>
      <c r="G2007" s="6">
        <f>IF(AND(E2007="",F2007=""),"",F2007-E2007)</f>
      </c>
      <c r="H2007" s="4"/>
      <c r="I2007" s="5"/>
    </row>
    <row r="2008" ht="21" customHeight="1">
      <c r="A2008" s="3">
        <v>46473</v>
      </c>
      <c r="B2008" t="inlineStr" s="4">
        <is>
          <t>星期六</t>
        </is>
      </c>
      <c r="C2008" t="inlineStr" s="4">
        <is>
          <t>餐饮</t>
        </is>
      </c>
      <c r="D2008" t="inlineStr" s="5">
        <is>
          <t>早餐</t>
        </is>
      </c>
      <c r="E2008" s="6"/>
      <c r="F2008" s="6"/>
      <c r="G2008" s="6">
        <f>IF(AND(E2008="",F2008=""),"",F2008-E2008)</f>
      </c>
      <c r="H2008" s="4"/>
      <c r="I2008" s="5"/>
    </row>
    <row r="2009" ht="21" customHeight="1">
      <c r="A2009" s="3">
        <v>46473</v>
      </c>
      <c r="B2009" t="inlineStr" s="4">
        <is>
          <t>星期六</t>
        </is>
      </c>
      <c r="C2009" t="inlineStr" s="4">
        <is>
          <t>餐饮</t>
        </is>
      </c>
      <c r="D2009" t="inlineStr" s="5">
        <is>
          <t>中餐</t>
        </is>
      </c>
      <c r="E2009" s="6"/>
      <c r="F2009" s="6"/>
      <c r="G2009" s="6">
        <f>IF(AND(E2009="",F2009=""),"",F2009-E2009)</f>
      </c>
      <c r="H2009" s="4"/>
      <c r="I2009" s="5"/>
    </row>
    <row r="2010" ht="21" customHeight="1">
      <c r="A2010" s="3">
        <v>46473</v>
      </c>
      <c r="B2010" t="inlineStr" s="4">
        <is>
          <t>星期六</t>
        </is>
      </c>
      <c r="C2010" t="inlineStr" s="4">
        <is>
          <t>餐饮</t>
        </is>
      </c>
      <c r="D2010" t="inlineStr" s="5">
        <is>
          <t>晚餐</t>
        </is>
      </c>
      <c r="E2010" s="6"/>
      <c r="F2010" s="6"/>
      <c r="G2010" s="6">
        <f>IF(AND(E2010="",F2010=""),"",F2010-E2010)</f>
      </c>
      <c r="H2010" s="4"/>
      <c r="I2010" s="5"/>
    </row>
    <row r="2011" ht="21" customHeight="1">
      <c r="A2011" s="3">
        <v>46473</v>
      </c>
      <c r="B2011" t="inlineStr" s="4">
        <is>
          <t>星期六</t>
        </is>
      </c>
      <c r="C2011" t="inlineStr" s="4">
        <is>
          <t>奶茶/咖啡</t>
        </is>
      </c>
      <c r="D2011" t="inlineStr" s="5">
        <is>
          <t>奶茶/咖啡</t>
        </is>
      </c>
      <c r="E2011" s="6"/>
      <c r="F2011" s="6"/>
      <c r="G2011" s="6">
        <f>IF(AND(E2011="",F2011=""),"",F2011-E2011)</f>
      </c>
      <c r="H2011" s="4"/>
      <c r="I2011" s="5"/>
    </row>
    <row r="2012" ht="21" customHeight="1">
      <c r="A2012" s="3">
        <v>46473</v>
      </c>
      <c r="B2012" t="inlineStr" s="4">
        <is>
          <t>星期六</t>
        </is>
      </c>
      <c r="C2012" t="inlineStr" s="4">
        <is>
          <t>其他</t>
        </is>
      </c>
      <c r="D2012" t="inlineStr" s="5">
        <is>
          <t>其他</t>
        </is>
      </c>
      <c r="E2012" s="6"/>
      <c r="F2012" s="6"/>
      <c r="G2012" s="6">
        <f>IF(AND(E2012="",F2012=""),"",F2012-E2012)</f>
      </c>
      <c r="H2012" s="4"/>
      <c r="I2012" s="5"/>
    </row>
    <row r="2013" ht="21" customHeight="1">
      <c r="A2013" s="3">
        <v>46473</v>
      </c>
      <c r="B2013" t="inlineStr" s="4">
        <is>
          <t>星期六</t>
        </is>
      </c>
      <c r="C2013" t="inlineStr" s="4">
        <is>
          <t>其他</t>
        </is>
      </c>
      <c r="D2013" t="inlineStr" s="5">
        <is>
          <t>其他</t>
        </is>
      </c>
      <c r="E2013" s="6"/>
      <c r="F2013" s="6"/>
      <c r="G2013" s="6">
        <f>IF(AND(E2013="",F2013=""),"",F2013-E2013)</f>
      </c>
      <c r="H2013" s="4"/>
      <c r="I2013" s="5"/>
    </row>
    <row r="2014" ht="21" customHeight="1">
      <c r="A2014" s="3">
        <v>46474</v>
      </c>
      <c r="B2014" t="inlineStr" s="4">
        <is>
          <t>星期日</t>
        </is>
      </c>
      <c r="C2014" t="inlineStr" s="4">
        <is>
          <t>餐饮</t>
        </is>
      </c>
      <c r="D2014" t="inlineStr" s="5">
        <is>
          <t>早餐</t>
        </is>
      </c>
      <c r="E2014" s="6"/>
      <c r="F2014" s="6"/>
      <c r="G2014" s="6">
        <f>IF(AND(E2014="",F2014=""),"",F2014-E2014)</f>
      </c>
      <c r="H2014" s="4"/>
      <c r="I2014" s="5"/>
    </row>
    <row r="2015" ht="21" customHeight="1">
      <c r="A2015" s="3">
        <v>46474</v>
      </c>
      <c r="B2015" t="inlineStr" s="4">
        <is>
          <t>星期日</t>
        </is>
      </c>
      <c r="C2015" t="inlineStr" s="4">
        <is>
          <t>餐饮</t>
        </is>
      </c>
      <c r="D2015" t="inlineStr" s="5">
        <is>
          <t>中餐</t>
        </is>
      </c>
      <c r="E2015" s="6"/>
      <c r="F2015" s="6"/>
      <c r="G2015" s="6">
        <f>IF(AND(E2015="",F2015=""),"",F2015-E2015)</f>
      </c>
      <c r="H2015" s="4"/>
      <c r="I2015" s="5"/>
    </row>
    <row r="2016" ht="21" customHeight="1">
      <c r="A2016" s="3">
        <v>46474</v>
      </c>
      <c r="B2016" t="inlineStr" s="4">
        <is>
          <t>星期日</t>
        </is>
      </c>
      <c r="C2016" t="inlineStr" s="4">
        <is>
          <t>餐饮</t>
        </is>
      </c>
      <c r="D2016" t="inlineStr" s="5">
        <is>
          <t>晚餐</t>
        </is>
      </c>
      <c r="E2016" s="6"/>
      <c r="F2016" s="6"/>
      <c r="G2016" s="6">
        <f>IF(AND(E2016="",F2016=""),"",F2016-E2016)</f>
      </c>
      <c r="H2016" s="4"/>
      <c r="I2016" s="5"/>
    </row>
    <row r="2017" ht="21" customHeight="1">
      <c r="A2017" s="3">
        <v>46474</v>
      </c>
      <c r="B2017" t="inlineStr" s="4">
        <is>
          <t>星期日</t>
        </is>
      </c>
      <c r="C2017" t="inlineStr" s="4">
        <is>
          <t>奶茶/咖啡</t>
        </is>
      </c>
      <c r="D2017" t="inlineStr" s="5">
        <is>
          <t>奶茶/咖啡</t>
        </is>
      </c>
      <c r="E2017" s="6"/>
      <c r="F2017" s="6"/>
      <c r="G2017" s="6">
        <f>IF(AND(E2017="",F2017=""),"",F2017-E2017)</f>
      </c>
      <c r="H2017" s="4"/>
      <c r="I2017" s="5"/>
    </row>
    <row r="2018" ht="21" customHeight="1">
      <c r="A2018" s="3">
        <v>46474</v>
      </c>
      <c r="B2018" t="inlineStr" s="4">
        <is>
          <t>星期日</t>
        </is>
      </c>
      <c r="C2018" t="inlineStr" s="4">
        <is>
          <t>其他</t>
        </is>
      </c>
      <c r="D2018" t="inlineStr" s="5">
        <is>
          <t>其他</t>
        </is>
      </c>
      <c r="E2018" s="6"/>
      <c r="F2018" s="6"/>
      <c r="G2018" s="6">
        <f>IF(AND(E2018="",F2018=""),"",F2018-E2018)</f>
      </c>
      <c r="H2018" s="4"/>
      <c r="I2018" s="5"/>
    </row>
    <row r="2019" ht="21" customHeight="1">
      <c r="A2019" s="3">
        <v>46474</v>
      </c>
      <c r="B2019" t="inlineStr" s="4">
        <is>
          <t>星期日</t>
        </is>
      </c>
      <c r="C2019" t="inlineStr" s="4">
        <is>
          <t>其他</t>
        </is>
      </c>
      <c r="D2019" t="inlineStr" s="5">
        <is>
          <t>其他</t>
        </is>
      </c>
      <c r="E2019" s="6"/>
      <c r="F2019" s="6"/>
      <c r="G2019" s="6">
        <f>IF(AND(E2019="",F2019=""),"",F2019-E2019)</f>
      </c>
      <c r="H2019" s="4"/>
      <c r="I2019" s="5"/>
    </row>
    <row r="2020" ht="23" customHeight="1">
      <c r="A2020" t="inlineStr" s="7">
        <is>
          <t>本周小计</t>
        </is>
      </c>
      <c r="B2020" s="7"/>
      <c r="C2020" s="7"/>
      <c r="D2020" s="7"/>
      <c r="E2020" s="8">
        <f>SUM(E1978:E2019)</f>
      </c>
      <c r="F2020" s="8">
        <f>SUM(F1978:F2019)</f>
      </c>
      <c r="G2020" s="8">
        <f>SUM(G1978:G2019)</f>
      </c>
      <c r="H2020" s="7"/>
      <c r="I2020" s="7"/>
    </row>
    <row r="2021" ht="18" customHeight="1">
      <c r="A2021" s="9"/>
      <c r="B2021" s="9"/>
      <c r="C2021" s="9"/>
      <c r="D2021" s="9"/>
      <c r="E2021" s="9"/>
      <c r="F2021" s="9"/>
      <c r="G2021" s="9"/>
      <c r="H2021" s="9"/>
      <c r="I2021" s="9"/>
    </row>
    <row r="2022" ht="18" customHeight="1">
      <c r="A2022" s="9"/>
      <c r="B2022" s="9"/>
      <c r="C2022" s="9"/>
      <c r="D2022" s="9"/>
      <c r="E2022" s="9"/>
      <c r="F2022" s="9"/>
      <c r="G2022" s="9"/>
      <c r="H2022" s="9"/>
      <c r="I2022" s="9"/>
    </row>
    <row r="2023" ht="26" customHeight="1">
      <c r="A2023" t="inlineStr" s="2">
        <is>
          <t>2027年3月-4月｜第五周（3月29日 - 4月4日）</t>
        </is>
      </c>
      <c r="B2023" s="2"/>
      <c r="C2023" s="2"/>
      <c r="D2023" s="2"/>
      <c r="E2023" s="2"/>
      <c r="F2023" s="2"/>
      <c r="G2023" s="2"/>
      <c r="H2023" s="2"/>
      <c r="I2023" s="2"/>
    </row>
    <row r="2024" ht="22" customHeight="1">
      <c r="A2024" t="inlineStr" s="1">
        <is>
          <t>日期</t>
        </is>
      </c>
      <c r="B2024" t="inlineStr" s="1">
        <is>
          <t>星期</t>
        </is>
      </c>
      <c r="C2024" t="inlineStr" s="1">
        <is>
          <t>分类</t>
        </is>
      </c>
      <c r="D2024" t="inlineStr" s="1">
        <is>
          <t>事项</t>
        </is>
      </c>
      <c r="E2024" t="inlineStr" s="1">
        <is>
          <t>支出金额</t>
        </is>
      </c>
      <c r="F2024" t="inlineStr" s="1">
        <is>
          <t>收入金额</t>
        </is>
      </c>
      <c r="G2024" t="inlineStr" s="1">
        <is>
          <t>当笔净额</t>
        </is>
      </c>
      <c r="H2024" t="inlineStr" s="1">
        <is>
          <t>支付方式</t>
        </is>
      </c>
      <c r="I2024" t="inlineStr" s="1">
        <is>
          <t>备注</t>
        </is>
      </c>
    </row>
    <row r="2025" ht="21" customHeight="1">
      <c r="A2025" s="3">
        <v>46475</v>
      </c>
      <c r="B2025" t="inlineStr" s="4">
        <is>
          <t>星期一</t>
        </is>
      </c>
      <c r="C2025" t="inlineStr" s="4">
        <is>
          <t>餐饮</t>
        </is>
      </c>
      <c r="D2025" t="inlineStr" s="5">
        <is>
          <t>早餐</t>
        </is>
      </c>
      <c r="E2025" s="6"/>
      <c r="F2025" s="6"/>
      <c r="G2025" s="6">
        <f>IF(AND(E2025="",F2025=""),"",F2025-E2025)</f>
      </c>
      <c r="H2025" s="4"/>
      <c r="I2025" s="5"/>
    </row>
    <row r="2026" ht="21" customHeight="1">
      <c r="A2026" s="3">
        <v>46475</v>
      </c>
      <c r="B2026" t="inlineStr" s="4">
        <is>
          <t>星期一</t>
        </is>
      </c>
      <c r="C2026" t="inlineStr" s="4">
        <is>
          <t>餐饮</t>
        </is>
      </c>
      <c r="D2026" t="inlineStr" s="5">
        <is>
          <t>中餐</t>
        </is>
      </c>
      <c r="E2026" s="6"/>
      <c r="F2026" s="6"/>
      <c r="G2026" s="6">
        <f>IF(AND(E2026="",F2026=""),"",F2026-E2026)</f>
      </c>
      <c r="H2026" s="4"/>
      <c r="I2026" s="5"/>
    </row>
    <row r="2027" ht="21" customHeight="1">
      <c r="A2027" s="3">
        <v>46475</v>
      </c>
      <c r="B2027" t="inlineStr" s="4">
        <is>
          <t>星期一</t>
        </is>
      </c>
      <c r="C2027" t="inlineStr" s="4">
        <is>
          <t>餐饮</t>
        </is>
      </c>
      <c r="D2027" t="inlineStr" s="5">
        <is>
          <t>晚餐</t>
        </is>
      </c>
      <c r="E2027" s="6"/>
      <c r="F2027" s="6"/>
      <c r="G2027" s="6">
        <f>IF(AND(E2027="",F2027=""),"",F2027-E2027)</f>
      </c>
      <c r="H2027" s="4"/>
      <c r="I2027" s="5"/>
    </row>
    <row r="2028" ht="21" customHeight="1">
      <c r="A2028" s="3">
        <v>46475</v>
      </c>
      <c r="B2028" t="inlineStr" s="4">
        <is>
          <t>星期一</t>
        </is>
      </c>
      <c r="C2028" t="inlineStr" s="4">
        <is>
          <t>奶茶/咖啡</t>
        </is>
      </c>
      <c r="D2028" t="inlineStr" s="5">
        <is>
          <t>奶茶/咖啡</t>
        </is>
      </c>
      <c r="E2028" s="6"/>
      <c r="F2028" s="6"/>
      <c r="G2028" s="6">
        <f>IF(AND(E2028="",F2028=""),"",F2028-E2028)</f>
      </c>
      <c r="H2028" s="4"/>
      <c r="I2028" s="5"/>
    </row>
    <row r="2029" ht="21" customHeight="1">
      <c r="A2029" s="3">
        <v>46475</v>
      </c>
      <c r="B2029" t="inlineStr" s="4">
        <is>
          <t>星期一</t>
        </is>
      </c>
      <c r="C2029" t="inlineStr" s="4">
        <is>
          <t>其他</t>
        </is>
      </c>
      <c r="D2029" t="inlineStr" s="5">
        <is>
          <t>其他</t>
        </is>
      </c>
      <c r="E2029" s="6"/>
      <c r="F2029" s="6"/>
      <c r="G2029" s="6">
        <f>IF(AND(E2029="",F2029=""),"",F2029-E2029)</f>
      </c>
      <c r="H2029" s="4"/>
      <c r="I2029" s="5"/>
    </row>
    <row r="2030" ht="21" customHeight="1">
      <c r="A2030" s="3">
        <v>46475</v>
      </c>
      <c r="B2030" t="inlineStr" s="4">
        <is>
          <t>星期一</t>
        </is>
      </c>
      <c r="C2030" t="inlineStr" s="4">
        <is>
          <t>其他</t>
        </is>
      </c>
      <c r="D2030" t="inlineStr" s="5">
        <is>
          <t>其他</t>
        </is>
      </c>
      <c r="E2030" s="6"/>
      <c r="F2030" s="6"/>
      <c r="G2030" s="6">
        <f>IF(AND(E2030="",F2030=""),"",F2030-E2030)</f>
      </c>
      <c r="H2030" s="4"/>
      <c r="I2030" s="5"/>
    </row>
    <row r="2031" ht="21" customHeight="1">
      <c r="A2031" s="3">
        <v>46476</v>
      </c>
      <c r="B2031" t="inlineStr" s="4">
        <is>
          <t>星期二</t>
        </is>
      </c>
      <c r="C2031" t="inlineStr" s="4">
        <is>
          <t>餐饮</t>
        </is>
      </c>
      <c r="D2031" t="inlineStr" s="5">
        <is>
          <t>早餐</t>
        </is>
      </c>
      <c r="E2031" s="6"/>
      <c r="F2031" s="6"/>
      <c r="G2031" s="6">
        <f>IF(AND(E2031="",F2031=""),"",F2031-E2031)</f>
      </c>
      <c r="H2031" s="4"/>
      <c r="I2031" s="5"/>
    </row>
    <row r="2032" ht="21" customHeight="1">
      <c r="A2032" s="3">
        <v>46476</v>
      </c>
      <c r="B2032" t="inlineStr" s="4">
        <is>
          <t>星期二</t>
        </is>
      </c>
      <c r="C2032" t="inlineStr" s="4">
        <is>
          <t>餐饮</t>
        </is>
      </c>
      <c r="D2032" t="inlineStr" s="5">
        <is>
          <t>中餐</t>
        </is>
      </c>
      <c r="E2032" s="6"/>
      <c r="F2032" s="6"/>
      <c r="G2032" s="6">
        <f>IF(AND(E2032="",F2032=""),"",F2032-E2032)</f>
      </c>
      <c r="H2032" s="4"/>
      <c r="I2032" s="5"/>
    </row>
    <row r="2033" ht="21" customHeight="1">
      <c r="A2033" s="3">
        <v>46476</v>
      </c>
      <c r="B2033" t="inlineStr" s="4">
        <is>
          <t>星期二</t>
        </is>
      </c>
      <c r="C2033" t="inlineStr" s="4">
        <is>
          <t>餐饮</t>
        </is>
      </c>
      <c r="D2033" t="inlineStr" s="5">
        <is>
          <t>晚餐</t>
        </is>
      </c>
      <c r="E2033" s="6"/>
      <c r="F2033" s="6"/>
      <c r="G2033" s="6">
        <f>IF(AND(E2033="",F2033=""),"",F2033-E2033)</f>
      </c>
      <c r="H2033" s="4"/>
      <c r="I2033" s="5"/>
    </row>
    <row r="2034" ht="21" customHeight="1">
      <c r="A2034" s="3">
        <v>46476</v>
      </c>
      <c r="B2034" t="inlineStr" s="4">
        <is>
          <t>星期二</t>
        </is>
      </c>
      <c r="C2034" t="inlineStr" s="4">
        <is>
          <t>奶茶/咖啡</t>
        </is>
      </c>
      <c r="D2034" t="inlineStr" s="5">
        <is>
          <t>奶茶/咖啡</t>
        </is>
      </c>
      <c r="E2034" s="6"/>
      <c r="F2034" s="6"/>
      <c r="G2034" s="6">
        <f>IF(AND(E2034="",F2034=""),"",F2034-E2034)</f>
      </c>
      <c r="H2034" s="4"/>
      <c r="I2034" s="5"/>
    </row>
    <row r="2035" ht="21" customHeight="1">
      <c r="A2035" s="3">
        <v>46476</v>
      </c>
      <c r="B2035" t="inlineStr" s="4">
        <is>
          <t>星期二</t>
        </is>
      </c>
      <c r="C2035" t="inlineStr" s="4">
        <is>
          <t>其他</t>
        </is>
      </c>
      <c r="D2035" t="inlineStr" s="5">
        <is>
          <t>其他</t>
        </is>
      </c>
      <c r="E2035" s="6"/>
      <c r="F2035" s="6"/>
      <c r="G2035" s="6">
        <f>IF(AND(E2035="",F2035=""),"",F2035-E2035)</f>
      </c>
      <c r="H2035" s="4"/>
      <c r="I2035" s="5"/>
    </row>
    <row r="2036" ht="21" customHeight="1">
      <c r="A2036" s="3">
        <v>46476</v>
      </c>
      <c r="B2036" t="inlineStr" s="4">
        <is>
          <t>星期二</t>
        </is>
      </c>
      <c r="C2036" t="inlineStr" s="4">
        <is>
          <t>其他</t>
        </is>
      </c>
      <c r="D2036" t="inlineStr" s="5">
        <is>
          <t>其他</t>
        </is>
      </c>
      <c r="E2036" s="6"/>
      <c r="F2036" s="6"/>
      <c r="G2036" s="6">
        <f>IF(AND(E2036="",F2036=""),"",F2036-E2036)</f>
      </c>
      <c r="H2036" s="4"/>
      <c r="I2036" s="5"/>
    </row>
    <row r="2037" ht="21" customHeight="1">
      <c r="A2037" s="3">
        <v>46477</v>
      </c>
      <c r="B2037" t="inlineStr" s="4">
        <is>
          <t>星期三</t>
        </is>
      </c>
      <c r="C2037" t="inlineStr" s="4">
        <is>
          <t>餐饮</t>
        </is>
      </c>
      <c r="D2037" t="inlineStr" s="5">
        <is>
          <t>早餐</t>
        </is>
      </c>
      <c r="E2037" s="6"/>
      <c r="F2037" s="6"/>
      <c r="G2037" s="6">
        <f>IF(AND(E2037="",F2037=""),"",F2037-E2037)</f>
      </c>
      <c r="H2037" s="4"/>
      <c r="I2037" s="5"/>
    </row>
    <row r="2038" ht="21" customHeight="1">
      <c r="A2038" s="3">
        <v>46477</v>
      </c>
      <c r="B2038" t="inlineStr" s="4">
        <is>
          <t>星期三</t>
        </is>
      </c>
      <c r="C2038" t="inlineStr" s="4">
        <is>
          <t>餐饮</t>
        </is>
      </c>
      <c r="D2038" t="inlineStr" s="5">
        <is>
          <t>中餐</t>
        </is>
      </c>
      <c r="E2038" s="6"/>
      <c r="F2038" s="6"/>
      <c r="G2038" s="6">
        <f>IF(AND(E2038="",F2038=""),"",F2038-E2038)</f>
      </c>
      <c r="H2038" s="4"/>
      <c r="I2038" s="5"/>
    </row>
    <row r="2039" ht="21" customHeight="1">
      <c r="A2039" s="3">
        <v>46477</v>
      </c>
      <c r="B2039" t="inlineStr" s="4">
        <is>
          <t>星期三</t>
        </is>
      </c>
      <c r="C2039" t="inlineStr" s="4">
        <is>
          <t>餐饮</t>
        </is>
      </c>
      <c r="D2039" t="inlineStr" s="5">
        <is>
          <t>晚餐</t>
        </is>
      </c>
      <c r="E2039" s="6"/>
      <c r="F2039" s="6"/>
      <c r="G2039" s="6">
        <f>IF(AND(E2039="",F2039=""),"",F2039-E2039)</f>
      </c>
      <c r="H2039" s="4"/>
      <c r="I2039" s="5"/>
    </row>
    <row r="2040" ht="21" customHeight="1">
      <c r="A2040" s="3">
        <v>46477</v>
      </c>
      <c r="B2040" t="inlineStr" s="4">
        <is>
          <t>星期三</t>
        </is>
      </c>
      <c r="C2040" t="inlineStr" s="4">
        <is>
          <t>奶茶/咖啡</t>
        </is>
      </c>
      <c r="D2040" t="inlineStr" s="5">
        <is>
          <t>奶茶/咖啡</t>
        </is>
      </c>
      <c r="E2040" s="6"/>
      <c r="F2040" s="6"/>
      <c r="G2040" s="6">
        <f>IF(AND(E2040="",F2040=""),"",F2040-E2040)</f>
      </c>
      <c r="H2040" s="4"/>
      <c r="I2040" s="5"/>
    </row>
    <row r="2041" ht="21" customHeight="1">
      <c r="A2041" s="3">
        <v>46477</v>
      </c>
      <c r="B2041" t="inlineStr" s="4">
        <is>
          <t>星期三</t>
        </is>
      </c>
      <c r="C2041" t="inlineStr" s="4">
        <is>
          <t>其他</t>
        </is>
      </c>
      <c r="D2041" t="inlineStr" s="5">
        <is>
          <t>其他</t>
        </is>
      </c>
      <c r="E2041" s="6"/>
      <c r="F2041" s="6"/>
      <c r="G2041" s="6">
        <f>IF(AND(E2041="",F2041=""),"",F2041-E2041)</f>
      </c>
      <c r="H2041" s="4"/>
      <c r="I2041" s="5"/>
    </row>
    <row r="2042" ht="21" customHeight="1">
      <c r="A2042" s="3">
        <v>46477</v>
      </c>
      <c r="B2042" t="inlineStr" s="4">
        <is>
          <t>星期三</t>
        </is>
      </c>
      <c r="C2042" t="inlineStr" s="4">
        <is>
          <t>其他</t>
        </is>
      </c>
      <c r="D2042" t="inlineStr" s="5">
        <is>
          <t>其他</t>
        </is>
      </c>
      <c r="E2042" s="6"/>
      <c r="F2042" s="6"/>
      <c r="G2042" s="6">
        <f>IF(AND(E2042="",F2042=""),"",F2042-E2042)</f>
      </c>
      <c r="H2042" s="4"/>
      <c r="I2042" s="5"/>
    </row>
    <row r="2043" ht="21" customHeight="1">
      <c r="A2043" s="3">
        <v>46478</v>
      </c>
      <c r="B2043" t="inlineStr" s="4">
        <is>
          <t>星期四</t>
        </is>
      </c>
      <c r="C2043" t="inlineStr" s="4">
        <is>
          <t>餐饮</t>
        </is>
      </c>
      <c r="D2043" t="inlineStr" s="5">
        <is>
          <t>早餐</t>
        </is>
      </c>
      <c r="E2043" s="6"/>
      <c r="F2043" s="6"/>
      <c r="G2043" s="6">
        <f>IF(AND(E2043="",F2043=""),"",F2043-E2043)</f>
      </c>
      <c r="H2043" s="4"/>
      <c r="I2043" s="5"/>
    </row>
    <row r="2044" ht="21" customHeight="1">
      <c r="A2044" s="3">
        <v>46478</v>
      </c>
      <c r="B2044" t="inlineStr" s="4">
        <is>
          <t>星期四</t>
        </is>
      </c>
      <c r="C2044" t="inlineStr" s="4">
        <is>
          <t>餐饮</t>
        </is>
      </c>
      <c r="D2044" t="inlineStr" s="5">
        <is>
          <t>中餐</t>
        </is>
      </c>
      <c r="E2044" s="6"/>
      <c r="F2044" s="6"/>
      <c r="G2044" s="6">
        <f>IF(AND(E2044="",F2044=""),"",F2044-E2044)</f>
      </c>
      <c r="H2044" s="4"/>
      <c r="I2044" s="5"/>
    </row>
    <row r="2045" ht="21" customHeight="1">
      <c r="A2045" s="3">
        <v>46478</v>
      </c>
      <c r="B2045" t="inlineStr" s="4">
        <is>
          <t>星期四</t>
        </is>
      </c>
      <c r="C2045" t="inlineStr" s="4">
        <is>
          <t>餐饮</t>
        </is>
      </c>
      <c r="D2045" t="inlineStr" s="5">
        <is>
          <t>晚餐</t>
        </is>
      </c>
      <c r="E2045" s="6"/>
      <c r="F2045" s="6"/>
      <c r="G2045" s="6">
        <f>IF(AND(E2045="",F2045=""),"",F2045-E2045)</f>
      </c>
      <c r="H2045" s="4"/>
      <c r="I2045" s="5"/>
    </row>
    <row r="2046" ht="21" customHeight="1">
      <c r="A2046" s="3">
        <v>46478</v>
      </c>
      <c r="B2046" t="inlineStr" s="4">
        <is>
          <t>星期四</t>
        </is>
      </c>
      <c r="C2046" t="inlineStr" s="4">
        <is>
          <t>奶茶/咖啡</t>
        </is>
      </c>
      <c r="D2046" t="inlineStr" s="5">
        <is>
          <t>奶茶/咖啡</t>
        </is>
      </c>
      <c r="E2046" s="6"/>
      <c r="F2046" s="6"/>
      <c r="G2046" s="6">
        <f>IF(AND(E2046="",F2046=""),"",F2046-E2046)</f>
      </c>
      <c r="H2046" s="4"/>
      <c r="I2046" s="5"/>
    </row>
    <row r="2047" ht="21" customHeight="1">
      <c r="A2047" s="3">
        <v>46478</v>
      </c>
      <c r="B2047" t="inlineStr" s="4">
        <is>
          <t>星期四</t>
        </is>
      </c>
      <c r="C2047" t="inlineStr" s="4">
        <is>
          <t>其他</t>
        </is>
      </c>
      <c r="D2047" t="inlineStr" s="5">
        <is>
          <t>其他</t>
        </is>
      </c>
      <c r="E2047" s="6"/>
      <c r="F2047" s="6"/>
      <c r="G2047" s="6">
        <f>IF(AND(E2047="",F2047=""),"",F2047-E2047)</f>
      </c>
      <c r="H2047" s="4"/>
      <c r="I2047" s="5"/>
    </row>
    <row r="2048" ht="21" customHeight="1">
      <c r="A2048" s="3">
        <v>46478</v>
      </c>
      <c r="B2048" t="inlineStr" s="4">
        <is>
          <t>星期四</t>
        </is>
      </c>
      <c r="C2048" t="inlineStr" s="4">
        <is>
          <t>其他</t>
        </is>
      </c>
      <c r="D2048" t="inlineStr" s="5">
        <is>
          <t>其他</t>
        </is>
      </c>
      <c r="E2048" s="6"/>
      <c r="F2048" s="6"/>
      <c r="G2048" s="6">
        <f>IF(AND(E2048="",F2048=""),"",F2048-E2048)</f>
      </c>
      <c r="H2048" s="4"/>
      <c r="I2048" s="5"/>
    </row>
    <row r="2049" ht="21" customHeight="1">
      <c r="A2049" s="3">
        <v>46479</v>
      </c>
      <c r="B2049" t="inlineStr" s="4">
        <is>
          <t>星期五</t>
        </is>
      </c>
      <c r="C2049" t="inlineStr" s="4">
        <is>
          <t>餐饮</t>
        </is>
      </c>
      <c r="D2049" t="inlineStr" s="5">
        <is>
          <t>早餐</t>
        </is>
      </c>
      <c r="E2049" s="6"/>
      <c r="F2049" s="6"/>
      <c r="G2049" s="6">
        <f>IF(AND(E2049="",F2049=""),"",F2049-E2049)</f>
      </c>
      <c r="H2049" s="4"/>
      <c r="I2049" s="5"/>
    </row>
    <row r="2050" ht="21" customHeight="1">
      <c r="A2050" s="3">
        <v>46479</v>
      </c>
      <c r="B2050" t="inlineStr" s="4">
        <is>
          <t>星期五</t>
        </is>
      </c>
      <c r="C2050" t="inlineStr" s="4">
        <is>
          <t>餐饮</t>
        </is>
      </c>
      <c r="D2050" t="inlineStr" s="5">
        <is>
          <t>中餐</t>
        </is>
      </c>
      <c r="E2050" s="6"/>
      <c r="F2050" s="6"/>
      <c r="G2050" s="6">
        <f>IF(AND(E2050="",F2050=""),"",F2050-E2050)</f>
      </c>
      <c r="H2050" s="4"/>
      <c r="I2050" s="5"/>
    </row>
    <row r="2051" ht="21" customHeight="1">
      <c r="A2051" s="3">
        <v>46479</v>
      </c>
      <c r="B2051" t="inlineStr" s="4">
        <is>
          <t>星期五</t>
        </is>
      </c>
      <c r="C2051" t="inlineStr" s="4">
        <is>
          <t>餐饮</t>
        </is>
      </c>
      <c r="D2051" t="inlineStr" s="5">
        <is>
          <t>晚餐</t>
        </is>
      </c>
      <c r="E2051" s="6"/>
      <c r="F2051" s="6"/>
      <c r="G2051" s="6">
        <f>IF(AND(E2051="",F2051=""),"",F2051-E2051)</f>
      </c>
      <c r="H2051" s="4"/>
      <c r="I2051" s="5"/>
    </row>
    <row r="2052" ht="21" customHeight="1">
      <c r="A2052" s="3">
        <v>46479</v>
      </c>
      <c r="B2052" t="inlineStr" s="4">
        <is>
          <t>星期五</t>
        </is>
      </c>
      <c r="C2052" t="inlineStr" s="4">
        <is>
          <t>奶茶/咖啡</t>
        </is>
      </c>
      <c r="D2052" t="inlineStr" s="5">
        <is>
          <t>奶茶/咖啡</t>
        </is>
      </c>
      <c r="E2052" s="6"/>
      <c r="F2052" s="6"/>
      <c r="G2052" s="6">
        <f>IF(AND(E2052="",F2052=""),"",F2052-E2052)</f>
      </c>
      <c r="H2052" s="4"/>
      <c r="I2052" s="5"/>
    </row>
    <row r="2053" ht="21" customHeight="1">
      <c r="A2053" s="3">
        <v>46479</v>
      </c>
      <c r="B2053" t="inlineStr" s="4">
        <is>
          <t>星期五</t>
        </is>
      </c>
      <c r="C2053" t="inlineStr" s="4">
        <is>
          <t>其他</t>
        </is>
      </c>
      <c r="D2053" t="inlineStr" s="5">
        <is>
          <t>其他</t>
        </is>
      </c>
      <c r="E2053" s="6"/>
      <c r="F2053" s="6"/>
      <c r="G2053" s="6">
        <f>IF(AND(E2053="",F2053=""),"",F2053-E2053)</f>
      </c>
      <c r="H2053" s="4"/>
      <c r="I2053" s="5"/>
    </row>
    <row r="2054" ht="21" customHeight="1">
      <c r="A2054" s="3">
        <v>46479</v>
      </c>
      <c r="B2054" t="inlineStr" s="4">
        <is>
          <t>星期五</t>
        </is>
      </c>
      <c r="C2054" t="inlineStr" s="4">
        <is>
          <t>其他</t>
        </is>
      </c>
      <c r="D2054" t="inlineStr" s="5">
        <is>
          <t>其他</t>
        </is>
      </c>
      <c r="E2054" s="6"/>
      <c r="F2054" s="6"/>
      <c r="G2054" s="6">
        <f>IF(AND(E2054="",F2054=""),"",F2054-E2054)</f>
      </c>
      <c r="H2054" s="4"/>
      <c r="I2054" s="5"/>
    </row>
    <row r="2055" ht="21" customHeight="1">
      <c r="A2055" s="3">
        <v>46480</v>
      </c>
      <c r="B2055" t="inlineStr" s="4">
        <is>
          <t>星期六</t>
        </is>
      </c>
      <c r="C2055" t="inlineStr" s="4">
        <is>
          <t>餐饮</t>
        </is>
      </c>
      <c r="D2055" t="inlineStr" s="5">
        <is>
          <t>早餐</t>
        </is>
      </c>
      <c r="E2055" s="6"/>
      <c r="F2055" s="6"/>
      <c r="G2055" s="6">
        <f>IF(AND(E2055="",F2055=""),"",F2055-E2055)</f>
      </c>
      <c r="H2055" s="4"/>
      <c r="I2055" s="5"/>
    </row>
    <row r="2056" ht="21" customHeight="1">
      <c r="A2056" s="3">
        <v>46480</v>
      </c>
      <c r="B2056" t="inlineStr" s="4">
        <is>
          <t>星期六</t>
        </is>
      </c>
      <c r="C2056" t="inlineStr" s="4">
        <is>
          <t>餐饮</t>
        </is>
      </c>
      <c r="D2056" t="inlineStr" s="5">
        <is>
          <t>中餐</t>
        </is>
      </c>
      <c r="E2056" s="6"/>
      <c r="F2056" s="6"/>
      <c r="G2056" s="6">
        <f>IF(AND(E2056="",F2056=""),"",F2056-E2056)</f>
      </c>
      <c r="H2056" s="4"/>
      <c r="I2056" s="5"/>
    </row>
    <row r="2057" ht="21" customHeight="1">
      <c r="A2057" s="3">
        <v>46480</v>
      </c>
      <c r="B2057" t="inlineStr" s="4">
        <is>
          <t>星期六</t>
        </is>
      </c>
      <c r="C2057" t="inlineStr" s="4">
        <is>
          <t>餐饮</t>
        </is>
      </c>
      <c r="D2057" t="inlineStr" s="5">
        <is>
          <t>晚餐</t>
        </is>
      </c>
      <c r="E2057" s="6"/>
      <c r="F2057" s="6"/>
      <c r="G2057" s="6">
        <f>IF(AND(E2057="",F2057=""),"",F2057-E2057)</f>
      </c>
      <c r="H2057" s="4"/>
      <c r="I2057" s="5"/>
    </row>
    <row r="2058" ht="21" customHeight="1">
      <c r="A2058" s="3">
        <v>46480</v>
      </c>
      <c r="B2058" t="inlineStr" s="4">
        <is>
          <t>星期六</t>
        </is>
      </c>
      <c r="C2058" t="inlineStr" s="4">
        <is>
          <t>奶茶/咖啡</t>
        </is>
      </c>
      <c r="D2058" t="inlineStr" s="5">
        <is>
          <t>奶茶/咖啡</t>
        </is>
      </c>
      <c r="E2058" s="6"/>
      <c r="F2058" s="6"/>
      <c r="G2058" s="6">
        <f>IF(AND(E2058="",F2058=""),"",F2058-E2058)</f>
      </c>
      <c r="H2058" s="4"/>
      <c r="I2058" s="5"/>
    </row>
    <row r="2059" ht="21" customHeight="1">
      <c r="A2059" s="3">
        <v>46480</v>
      </c>
      <c r="B2059" t="inlineStr" s="4">
        <is>
          <t>星期六</t>
        </is>
      </c>
      <c r="C2059" t="inlineStr" s="4">
        <is>
          <t>其他</t>
        </is>
      </c>
      <c r="D2059" t="inlineStr" s="5">
        <is>
          <t>其他</t>
        </is>
      </c>
      <c r="E2059" s="6"/>
      <c r="F2059" s="6"/>
      <c r="G2059" s="6">
        <f>IF(AND(E2059="",F2059=""),"",F2059-E2059)</f>
      </c>
      <c r="H2059" s="4"/>
      <c r="I2059" s="5"/>
    </row>
    <row r="2060" ht="21" customHeight="1">
      <c r="A2060" s="3">
        <v>46480</v>
      </c>
      <c r="B2060" t="inlineStr" s="4">
        <is>
          <t>星期六</t>
        </is>
      </c>
      <c r="C2060" t="inlineStr" s="4">
        <is>
          <t>其他</t>
        </is>
      </c>
      <c r="D2060" t="inlineStr" s="5">
        <is>
          <t>其他</t>
        </is>
      </c>
      <c r="E2060" s="6"/>
      <c r="F2060" s="6"/>
      <c r="G2060" s="6">
        <f>IF(AND(E2060="",F2060=""),"",F2060-E2060)</f>
      </c>
      <c r="H2060" s="4"/>
      <c r="I2060" s="5"/>
    </row>
    <row r="2061" ht="21" customHeight="1">
      <c r="A2061" s="3">
        <v>46481</v>
      </c>
      <c r="B2061" t="inlineStr" s="4">
        <is>
          <t>星期日</t>
        </is>
      </c>
      <c r="C2061" t="inlineStr" s="4">
        <is>
          <t>餐饮</t>
        </is>
      </c>
      <c r="D2061" t="inlineStr" s="5">
        <is>
          <t>早餐</t>
        </is>
      </c>
      <c r="E2061" s="6"/>
      <c r="F2061" s="6"/>
      <c r="G2061" s="6">
        <f>IF(AND(E2061="",F2061=""),"",F2061-E2061)</f>
      </c>
      <c r="H2061" s="4"/>
      <c r="I2061" s="5"/>
    </row>
    <row r="2062" ht="21" customHeight="1">
      <c r="A2062" s="3">
        <v>46481</v>
      </c>
      <c r="B2062" t="inlineStr" s="4">
        <is>
          <t>星期日</t>
        </is>
      </c>
      <c r="C2062" t="inlineStr" s="4">
        <is>
          <t>餐饮</t>
        </is>
      </c>
      <c r="D2062" t="inlineStr" s="5">
        <is>
          <t>中餐</t>
        </is>
      </c>
      <c r="E2062" s="6"/>
      <c r="F2062" s="6"/>
      <c r="G2062" s="6">
        <f>IF(AND(E2062="",F2062=""),"",F2062-E2062)</f>
      </c>
      <c r="H2062" s="4"/>
      <c r="I2062" s="5"/>
    </row>
    <row r="2063" ht="21" customHeight="1">
      <c r="A2063" s="3">
        <v>46481</v>
      </c>
      <c r="B2063" t="inlineStr" s="4">
        <is>
          <t>星期日</t>
        </is>
      </c>
      <c r="C2063" t="inlineStr" s="4">
        <is>
          <t>餐饮</t>
        </is>
      </c>
      <c r="D2063" t="inlineStr" s="5">
        <is>
          <t>晚餐</t>
        </is>
      </c>
      <c r="E2063" s="6"/>
      <c r="F2063" s="6"/>
      <c r="G2063" s="6">
        <f>IF(AND(E2063="",F2063=""),"",F2063-E2063)</f>
      </c>
      <c r="H2063" s="4"/>
      <c r="I2063" s="5"/>
    </row>
    <row r="2064" ht="21" customHeight="1">
      <c r="A2064" s="3">
        <v>46481</v>
      </c>
      <c r="B2064" t="inlineStr" s="4">
        <is>
          <t>星期日</t>
        </is>
      </c>
      <c r="C2064" t="inlineStr" s="4">
        <is>
          <t>奶茶/咖啡</t>
        </is>
      </c>
      <c r="D2064" t="inlineStr" s="5">
        <is>
          <t>奶茶/咖啡</t>
        </is>
      </c>
      <c r="E2064" s="6"/>
      <c r="F2064" s="6"/>
      <c r="G2064" s="6">
        <f>IF(AND(E2064="",F2064=""),"",F2064-E2064)</f>
      </c>
      <c r="H2064" s="4"/>
      <c r="I2064" s="5"/>
    </row>
    <row r="2065" ht="21" customHeight="1">
      <c r="A2065" s="3">
        <v>46481</v>
      </c>
      <c r="B2065" t="inlineStr" s="4">
        <is>
          <t>星期日</t>
        </is>
      </c>
      <c r="C2065" t="inlineStr" s="4">
        <is>
          <t>其他</t>
        </is>
      </c>
      <c r="D2065" t="inlineStr" s="5">
        <is>
          <t>其他</t>
        </is>
      </c>
      <c r="E2065" s="6"/>
      <c r="F2065" s="6"/>
      <c r="G2065" s="6">
        <f>IF(AND(E2065="",F2065=""),"",F2065-E2065)</f>
      </c>
      <c r="H2065" s="4"/>
      <c r="I2065" s="5"/>
    </row>
    <row r="2066" ht="21" customHeight="1">
      <c r="A2066" s="3">
        <v>46481</v>
      </c>
      <c r="B2066" t="inlineStr" s="4">
        <is>
          <t>星期日</t>
        </is>
      </c>
      <c r="C2066" t="inlineStr" s="4">
        <is>
          <t>其他</t>
        </is>
      </c>
      <c r="D2066" t="inlineStr" s="5">
        <is>
          <t>其他</t>
        </is>
      </c>
      <c r="E2066" s="6"/>
      <c r="F2066" s="6"/>
      <c r="G2066" s="6">
        <f>IF(AND(E2066="",F2066=""),"",F2066-E2066)</f>
      </c>
      <c r="H2066" s="4"/>
      <c r="I2066" s="5"/>
    </row>
    <row r="2067" ht="23" customHeight="1">
      <c r="A2067" t="inlineStr" s="7">
        <is>
          <t>本周小计</t>
        </is>
      </c>
      <c r="B2067" s="7"/>
      <c r="C2067" s="7"/>
      <c r="D2067" s="7"/>
      <c r="E2067" s="8">
        <f>SUM(E2025:E2066)</f>
      </c>
      <c r="F2067" s="8">
        <f>SUM(F2025:F2066)</f>
      </c>
      <c r="G2067" s="8">
        <f>SUM(G2025:G2066)</f>
      </c>
      <c r="H2067" s="7"/>
      <c r="I2067" s="7"/>
    </row>
    <row r="2068" ht="18" customHeight="1">
      <c r="A2068" s="9"/>
      <c r="B2068" s="9"/>
      <c r="C2068" s="9"/>
      <c r="D2068" s="9"/>
      <c r="E2068" s="9"/>
      <c r="F2068" s="9"/>
      <c r="G2068" s="9"/>
      <c r="H2068" s="9"/>
      <c r="I2068" s="9"/>
    </row>
    <row r="2069" ht="18" customHeight="1">
      <c r="A2069" s="9"/>
      <c r="B2069" s="9"/>
      <c r="C2069" s="9"/>
      <c r="D2069" s="9"/>
      <c r="E2069" s="9"/>
      <c r="F2069" s="9"/>
      <c r="G2069" s="9"/>
      <c r="H2069" s="9"/>
      <c r="I2069" s="9"/>
    </row>
    <row r="2070" ht="26" customHeight="1">
      <c r="A2070" t="inlineStr" s="2">
        <is>
          <t>2027年4月｜第一周（4月5日 - 4月11日）</t>
        </is>
      </c>
      <c r="B2070" s="2"/>
      <c r="C2070" s="2"/>
      <c r="D2070" s="2"/>
      <c r="E2070" s="2"/>
      <c r="F2070" s="2"/>
      <c r="G2070" s="2"/>
      <c r="H2070" s="2"/>
      <c r="I2070" s="2"/>
    </row>
    <row r="2071" ht="22" customHeight="1">
      <c r="A2071" t="inlineStr" s="1">
        <is>
          <t>日期</t>
        </is>
      </c>
      <c r="B2071" t="inlineStr" s="1">
        <is>
          <t>星期</t>
        </is>
      </c>
      <c r="C2071" t="inlineStr" s="1">
        <is>
          <t>分类</t>
        </is>
      </c>
      <c r="D2071" t="inlineStr" s="1">
        <is>
          <t>事项</t>
        </is>
      </c>
      <c r="E2071" t="inlineStr" s="1">
        <is>
          <t>支出金额</t>
        </is>
      </c>
      <c r="F2071" t="inlineStr" s="1">
        <is>
          <t>收入金额</t>
        </is>
      </c>
      <c r="G2071" t="inlineStr" s="1">
        <is>
          <t>当笔净额</t>
        </is>
      </c>
      <c r="H2071" t="inlineStr" s="1">
        <is>
          <t>支付方式</t>
        </is>
      </c>
      <c r="I2071" t="inlineStr" s="1">
        <is>
          <t>备注</t>
        </is>
      </c>
    </row>
    <row r="2072" ht="21" customHeight="1">
      <c r="A2072" s="3">
        <v>46482</v>
      </c>
      <c r="B2072" t="inlineStr" s="4">
        <is>
          <t>星期一</t>
        </is>
      </c>
      <c r="C2072" t="inlineStr" s="4">
        <is>
          <t>餐饮</t>
        </is>
      </c>
      <c r="D2072" t="inlineStr" s="5">
        <is>
          <t>早餐</t>
        </is>
      </c>
      <c r="E2072" s="6"/>
      <c r="F2072" s="6"/>
      <c r="G2072" s="6">
        <f>IF(AND(E2072="",F2072=""),"",F2072-E2072)</f>
      </c>
      <c r="H2072" s="4"/>
      <c r="I2072" s="5"/>
    </row>
    <row r="2073" ht="21" customHeight="1">
      <c r="A2073" s="3">
        <v>46482</v>
      </c>
      <c r="B2073" t="inlineStr" s="4">
        <is>
          <t>星期一</t>
        </is>
      </c>
      <c r="C2073" t="inlineStr" s="4">
        <is>
          <t>餐饮</t>
        </is>
      </c>
      <c r="D2073" t="inlineStr" s="5">
        <is>
          <t>中餐</t>
        </is>
      </c>
      <c r="E2073" s="6"/>
      <c r="F2073" s="6"/>
      <c r="G2073" s="6">
        <f>IF(AND(E2073="",F2073=""),"",F2073-E2073)</f>
      </c>
      <c r="H2073" s="4"/>
      <c r="I2073" s="5"/>
    </row>
    <row r="2074" ht="21" customHeight="1">
      <c r="A2074" s="3">
        <v>46482</v>
      </c>
      <c r="B2074" t="inlineStr" s="4">
        <is>
          <t>星期一</t>
        </is>
      </c>
      <c r="C2074" t="inlineStr" s="4">
        <is>
          <t>餐饮</t>
        </is>
      </c>
      <c r="D2074" t="inlineStr" s="5">
        <is>
          <t>晚餐</t>
        </is>
      </c>
      <c r="E2074" s="6"/>
      <c r="F2074" s="6"/>
      <c r="G2074" s="6">
        <f>IF(AND(E2074="",F2074=""),"",F2074-E2074)</f>
      </c>
      <c r="H2074" s="4"/>
      <c r="I2074" s="5"/>
    </row>
    <row r="2075" ht="21" customHeight="1">
      <c r="A2075" s="3">
        <v>46482</v>
      </c>
      <c r="B2075" t="inlineStr" s="4">
        <is>
          <t>星期一</t>
        </is>
      </c>
      <c r="C2075" t="inlineStr" s="4">
        <is>
          <t>奶茶/咖啡</t>
        </is>
      </c>
      <c r="D2075" t="inlineStr" s="5">
        <is>
          <t>奶茶/咖啡</t>
        </is>
      </c>
      <c r="E2075" s="6"/>
      <c r="F2075" s="6"/>
      <c r="G2075" s="6">
        <f>IF(AND(E2075="",F2075=""),"",F2075-E2075)</f>
      </c>
      <c r="H2075" s="4"/>
      <c r="I2075" s="5"/>
    </row>
    <row r="2076" ht="21" customHeight="1">
      <c r="A2076" s="3">
        <v>46482</v>
      </c>
      <c r="B2076" t="inlineStr" s="4">
        <is>
          <t>星期一</t>
        </is>
      </c>
      <c r="C2076" t="inlineStr" s="4">
        <is>
          <t>其他</t>
        </is>
      </c>
      <c r="D2076" t="inlineStr" s="5">
        <is>
          <t>其他</t>
        </is>
      </c>
      <c r="E2076" s="6"/>
      <c r="F2076" s="6"/>
      <c r="G2076" s="6">
        <f>IF(AND(E2076="",F2076=""),"",F2076-E2076)</f>
      </c>
      <c r="H2076" s="4"/>
      <c r="I2076" s="5"/>
    </row>
    <row r="2077" ht="21" customHeight="1">
      <c r="A2077" s="3">
        <v>46482</v>
      </c>
      <c r="B2077" t="inlineStr" s="4">
        <is>
          <t>星期一</t>
        </is>
      </c>
      <c r="C2077" t="inlineStr" s="4">
        <is>
          <t>其他</t>
        </is>
      </c>
      <c r="D2077" t="inlineStr" s="5">
        <is>
          <t>其他</t>
        </is>
      </c>
      <c r="E2077" s="6"/>
      <c r="F2077" s="6"/>
      <c r="G2077" s="6">
        <f>IF(AND(E2077="",F2077=""),"",F2077-E2077)</f>
      </c>
      <c r="H2077" s="4"/>
      <c r="I2077" s="5"/>
    </row>
    <row r="2078" ht="21" customHeight="1">
      <c r="A2078" s="3">
        <v>46483</v>
      </c>
      <c r="B2078" t="inlineStr" s="4">
        <is>
          <t>星期二</t>
        </is>
      </c>
      <c r="C2078" t="inlineStr" s="4">
        <is>
          <t>餐饮</t>
        </is>
      </c>
      <c r="D2078" t="inlineStr" s="5">
        <is>
          <t>早餐</t>
        </is>
      </c>
      <c r="E2078" s="6"/>
      <c r="F2078" s="6"/>
      <c r="G2078" s="6">
        <f>IF(AND(E2078="",F2078=""),"",F2078-E2078)</f>
      </c>
      <c r="H2078" s="4"/>
      <c r="I2078" s="5"/>
    </row>
    <row r="2079" ht="21" customHeight="1">
      <c r="A2079" s="3">
        <v>46483</v>
      </c>
      <c r="B2079" t="inlineStr" s="4">
        <is>
          <t>星期二</t>
        </is>
      </c>
      <c r="C2079" t="inlineStr" s="4">
        <is>
          <t>餐饮</t>
        </is>
      </c>
      <c r="D2079" t="inlineStr" s="5">
        <is>
          <t>中餐</t>
        </is>
      </c>
      <c r="E2079" s="6"/>
      <c r="F2079" s="6"/>
      <c r="G2079" s="6">
        <f>IF(AND(E2079="",F2079=""),"",F2079-E2079)</f>
      </c>
      <c r="H2079" s="4"/>
      <c r="I2079" s="5"/>
    </row>
    <row r="2080" ht="21" customHeight="1">
      <c r="A2080" s="3">
        <v>46483</v>
      </c>
      <c r="B2080" t="inlineStr" s="4">
        <is>
          <t>星期二</t>
        </is>
      </c>
      <c r="C2080" t="inlineStr" s="4">
        <is>
          <t>餐饮</t>
        </is>
      </c>
      <c r="D2080" t="inlineStr" s="5">
        <is>
          <t>晚餐</t>
        </is>
      </c>
      <c r="E2080" s="6"/>
      <c r="F2080" s="6"/>
      <c r="G2080" s="6">
        <f>IF(AND(E2080="",F2080=""),"",F2080-E2080)</f>
      </c>
      <c r="H2080" s="4"/>
      <c r="I2080" s="5"/>
    </row>
    <row r="2081" ht="21" customHeight="1">
      <c r="A2081" s="3">
        <v>46483</v>
      </c>
      <c r="B2081" t="inlineStr" s="4">
        <is>
          <t>星期二</t>
        </is>
      </c>
      <c r="C2081" t="inlineStr" s="4">
        <is>
          <t>奶茶/咖啡</t>
        </is>
      </c>
      <c r="D2081" t="inlineStr" s="5">
        <is>
          <t>奶茶/咖啡</t>
        </is>
      </c>
      <c r="E2081" s="6"/>
      <c r="F2081" s="6"/>
      <c r="G2081" s="6">
        <f>IF(AND(E2081="",F2081=""),"",F2081-E2081)</f>
      </c>
      <c r="H2081" s="4"/>
      <c r="I2081" s="5"/>
    </row>
    <row r="2082" ht="21" customHeight="1">
      <c r="A2082" s="3">
        <v>46483</v>
      </c>
      <c r="B2082" t="inlineStr" s="4">
        <is>
          <t>星期二</t>
        </is>
      </c>
      <c r="C2082" t="inlineStr" s="4">
        <is>
          <t>其他</t>
        </is>
      </c>
      <c r="D2082" t="inlineStr" s="5">
        <is>
          <t>其他</t>
        </is>
      </c>
      <c r="E2082" s="6"/>
      <c r="F2082" s="6"/>
      <c r="G2082" s="6">
        <f>IF(AND(E2082="",F2082=""),"",F2082-E2082)</f>
      </c>
      <c r="H2082" s="4"/>
      <c r="I2082" s="5"/>
    </row>
    <row r="2083" ht="21" customHeight="1">
      <c r="A2083" s="3">
        <v>46483</v>
      </c>
      <c r="B2083" t="inlineStr" s="4">
        <is>
          <t>星期二</t>
        </is>
      </c>
      <c r="C2083" t="inlineStr" s="4">
        <is>
          <t>其他</t>
        </is>
      </c>
      <c r="D2083" t="inlineStr" s="5">
        <is>
          <t>其他</t>
        </is>
      </c>
      <c r="E2083" s="6"/>
      <c r="F2083" s="6"/>
      <c r="G2083" s="6">
        <f>IF(AND(E2083="",F2083=""),"",F2083-E2083)</f>
      </c>
      <c r="H2083" s="4"/>
      <c r="I2083" s="5"/>
    </row>
    <row r="2084" ht="21" customHeight="1">
      <c r="A2084" s="3">
        <v>46484</v>
      </c>
      <c r="B2084" t="inlineStr" s="4">
        <is>
          <t>星期三</t>
        </is>
      </c>
      <c r="C2084" t="inlineStr" s="4">
        <is>
          <t>餐饮</t>
        </is>
      </c>
      <c r="D2084" t="inlineStr" s="5">
        <is>
          <t>早餐</t>
        </is>
      </c>
      <c r="E2084" s="6"/>
      <c r="F2084" s="6"/>
      <c r="G2084" s="6">
        <f>IF(AND(E2084="",F2084=""),"",F2084-E2084)</f>
      </c>
      <c r="H2084" s="4"/>
      <c r="I2084" s="5"/>
    </row>
    <row r="2085" ht="21" customHeight="1">
      <c r="A2085" s="3">
        <v>46484</v>
      </c>
      <c r="B2085" t="inlineStr" s="4">
        <is>
          <t>星期三</t>
        </is>
      </c>
      <c r="C2085" t="inlineStr" s="4">
        <is>
          <t>餐饮</t>
        </is>
      </c>
      <c r="D2085" t="inlineStr" s="5">
        <is>
          <t>中餐</t>
        </is>
      </c>
      <c r="E2085" s="6"/>
      <c r="F2085" s="6"/>
      <c r="G2085" s="6">
        <f>IF(AND(E2085="",F2085=""),"",F2085-E2085)</f>
      </c>
      <c r="H2085" s="4"/>
      <c r="I2085" s="5"/>
    </row>
    <row r="2086" ht="21" customHeight="1">
      <c r="A2086" s="3">
        <v>46484</v>
      </c>
      <c r="B2086" t="inlineStr" s="4">
        <is>
          <t>星期三</t>
        </is>
      </c>
      <c r="C2086" t="inlineStr" s="4">
        <is>
          <t>餐饮</t>
        </is>
      </c>
      <c r="D2086" t="inlineStr" s="5">
        <is>
          <t>晚餐</t>
        </is>
      </c>
      <c r="E2086" s="6"/>
      <c r="F2086" s="6"/>
      <c r="G2086" s="6">
        <f>IF(AND(E2086="",F2086=""),"",F2086-E2086)</f>
      </c>
      <c r="H2086" s="4"/>
      <c r="I2086" s="5"/>
    </row>
    <row r="2087" ht="21" customHeight="1">
      <c r="A2087" s="3">
        <v>46484</v>
      </c>
      <c r="B2087" t="inlineStr" s="4">
        <is>
          <t>星期三</t>
        </is>
      </c>
      <c r="C2087" t="inlineStr" s="4">
        <is>
          <t>奶茶/咖啡</t>
        </is>
      </c>
      <c r="D2087" t="inlineStr" s="5">
        <is>
          <t>奶茶/咖啡</t>
        </is>
      </c>
      <c r="E2087" s="6"/>
      <c r="F2087" s="6"/>
      <c r="G2087" s="6">
        <f>IF(AND(E2087="",F2087=""),"",F2087-E2087)</f>
      </c>
      <c r="H2087" s="4"/>
      <c r="I2087" s="5"/>
    </row>
    <row r="2088" ht="21" customHeight="1">
      <c r="A2088" s="3">
        <v>46484</v>
      </c>
      <c r="B2088" t="inlineStr" s="4">
        <is>
          <t>星期三</t>
        </is>
      </c>
      <c r="C2088" t="inlineStr" s="4">
        <is>
          <t>其他</t>
        </is>
      </c>
      <c r="D2088" t="inlineStr" s="5">
        <is>
          <t>其他</t>
        </is>
      </c>
      <c r="E2088" s="6"/>
      <c r="F2088" s="6"/>
      <c r="G2088" s="6">
        <f>IF(AND(E2088="",F2088=""),"",F2088-E2088)</f>
      </c>
      <c r="H2088" s="4"/>
      <c r="I2088" s="5"/>
    </row>
    <row r="2089" ht="21" customHeight="1">
      <c r="A2089" s="3">
        <v>46484</v>
      </c>
      <c r="B2089" t="inlineStr" s="4">
        <is>
          <t>星期三</t>
        </is>
      </c>
      <c r="C2089" t="inlineStr" s="4">
        <is>
          <t>其他</t>
        </is>
      </c>
      <c r="D2089" t="inlineStr" s="5">
        <is>
          <t>其他</t>
        </is>
      </c>
      <c r="E2089" s="6"/>
      <c r="F2089" s="6"/>
      <c r="G2089" s="6">
        <f>IF(AND(E2089="",F2089=""),"",F2089-E2089)</f>
      </c>
      <c r="H2089" s="4"/>
      <c r="I2089" s="5"/>
    </row>
    <row r="2090" ht="21" customHeight="1">
      <c r="A2090" s="3">
        <v>46485</v>
      </c>
      <c r="B2090" t="inlineStr" s="4">
        <is>
          <t>星期四</t>
        </is>
      </c>
      <c r="C2090" t="inlineStr" s="4">
        <is>
          <t>餐饮</t>
        </is>
      </c>
      <c r="D2090" t="inlineStr" s="5">
        <is>
          <t>早餐</t>
        </is>
      </c>
      <c r="E2090" s="6"/>
      <c r="F2090" s="6"/>
      <c r="G2090" s="6">
        <f>IF(AND(E2090="",F2090=""),"",F2090-E2090)</f>
      </c>
      <c r="H2090" s="4"/>
      <c r="I2090" s="5"/>
    </row>
    <row r="2091" ht="21" customHeight="1">
      <c r="A2091" s="3">
        <v>46485</v>
      </c>
      <c r="B2091" t="inlineStr" s="4">
        <is>
          <t>星期四</t>
        </is>
      </c>
      <c r="C2091" t="inlineStr" s="4">
        <is>
          <t>餐饮</t>
        </is>
      </c>
      <c r="D2091" t="inlineStr" s="5">
        <is>
          <t>中餐</t>
        </is>
      </c>
      <c r="E2091" s="6"/>
      <c r="F2091" s="6"/>
      <c r="G2091" s="6">
        <f>IF(AND(E2091="",F2091=""),"",F2091-E2091)</f>
      </c>
      <c r="H2091" s="4"/>
      <c r="I2091" s="5"/>
    </row>
    <row r="2092" ht="21" customHeight="1">
      <c r="A2092" s="3">
        <v>46485</v>
      </c>
      <c r="B2092" t="inlineStr" s="4">
        <is>
          <t>星期四</t>
        </is>
      </c>
      <c r="C2092" t="inlineStr" s="4">
        <is>
          <t>餐饮</t>
        </is>
      </c>
      <c r="D2092" t="inlineStr" s="5">
        <is>
          <t>晚餐</t>
        </is>
      </c>
      <c r="E2092" s="6"/>
      <c r="F2092" s="6"/>
      <c r="G2092" s="6">
        <f>IF(AND(E2092="",F2092=""),"",F2092-E2092)</f>
      </c>
      <c r="H2092" s="4"/>
      <c r="I2092" s="5"/>
    </row>
    <row r="2093" ht="21" customHeight="1">
      <c r="A2093" s="3">
        <v>46485</v>
      </c>
      <c r="B2093" t="inlineStr" s="4">
        <is>
          <t>星期四</t>
        </is>
      </c>
      <c r="C2093" t="inlineStr" s="4">
        <is>
          <t>奶茶/咖啡</t>
        </is>
      </c>
      <c r="D2093" t="inlineStr" s="5">
        <is>
          <t>奶茶/咖啡</t>
        </is>
      </c>
      <c r="E2093" s="6"/>
      <c r="F2093" s="6"/>
      <c r="G2093" s="6">
        <f>IF(AND(E2093="",F2093=""),"",F2093-E2093)</f>
      </c>
      <c r="H2093" s="4"/>
      <c r="I2093" s="5"/>
    </row>
    <row r="2094" ht="21" customHeight="1">
      <c r="A2094" s="3">
        <v>46485</v>
      </c>
      <c r="B2094" t="inlineStr" s="4">
        <is>
          <t>星期四</t>
        </is>
      </c>
      <c r="C2094" t="inlineStr" s="4">
        <is>
          <t>其他</t>
        </is>
      </c>
      <c r="D2094" t="inlineStr" s="5">
        <is>
          <t>其他</t>
        </is>
      </c>
      <c r="E2094" s="6"/>
      <c r="F2094" s="6"/>
      <c r="G2094" s="6">
        <f>IF(AND(E2094="",F2094=""),"",F2094-E2094)</f>
      </c>
      <c r="H2094" s="4"/>
      <c r="I2094" s="5"/>
    </row>
    <row r="2095" ht="21" customHeight="1">
      <c r="A2095" s="3">
        <v>46485</v>
      </c>
      <c r="B2095" t="inlineStr" s="4">
        <is>
          <t>星期四</t>
        </is>
      </c>
      <c r="C2095" t="inlineStr" s="4">
        <is>
          <t>其他</t>
        </is>
      </c>
      <c r="D2095" t="inlineStr" s="5">
        <is>
          <t>其他</t>
        </is>
      </c>
      <c r="E2095" s="6"/>
      <c r="F2095" s="6"/>
      <c r="G2095" s="6">
        <f>IF(AND(E2095="",F2095=""),"",F2095-E2095)</f>
      </c>
      <c r="H2095" s="4"/>
      <c r="I2095" s="5"/>
    </row>
    <row r="2096" ht="21" customHeight="1">
      <c r="A2096" s="3">
        <v>46486</v>
      </c>
      <c r="B2096" t="inlineStr" s="4">
        <is>
          <t>星期五</t>
        </is>
      </c>
      <c r="C2096" t="inlineStr" s="4">
        <is>
          <t>餐饮</t>
        </is>
      </c>
      <c r="D2096" t="inlineStr" s="5">
        <is>
          <t>早餐</t>
        </is>
      </c>
      <c r="E2096" s="6"/>
      <c r="F2096" s="6"/>
      <c r="G2096" s="6">
        <f>IF(AND(E2096="",F2096=""),"",F2096-E2096)</f>
      </c>
      <c r="H2096" s="4"/>
      <c r="I2096" s="5"/>
    </row>
    <row r="2097" ht="21" customHeight="1">
      <c r="A2097" s="3">
        <v>46486</v>
      </c>
      <c r="B2097" t="inlineStr" s="4">
        <is>
          <t>星期五</t>
        </is>
      </c>
      <c r="C2097" t="inlineStr" s="4">
        <is>
          <t>餐饮</t>
        </is>
      </c>
      <c r="D2097" t="inlineStr" s="5">
        <is>
          <t>中餐</t>
        </is>
      </c>
      <c r="E2097" s="6"/>
      <c r="F2097" s="6"/>
      <c r="G2097" s="6">
        <f>IF(AND(E2097="",F2097=""),"",F2097-E2097)</f>
      </c>
      <c r="H2097" s="4"/>
      <c r="I2097" s="5"/>
    </row>
    <row r="2098" ht="21" customHeight="1">
      <c r="A2098" s="3">
        <v>46486</v>
      </c>
      <c r="B2098" t="inlineStr" s="4">
        <is>
          <t>星期五</t>
        </is>
      </c>
      <c r="C2098" t="inlineStr" s="4">
        <is>
          <t>餐饮</t>
        </is>
      </c>
      <c r="D2098" t="inlineStr" s="5">
        <is>
          <t>晚餐</t>
        </is>
      </c>
      <c r="E2098" s="6"/>
      <c r="F2098" s="6"/>
      <c r="G2098" s="6">
        <f>IF(AND(E2098="",F2098=""),"",F2098-E2098)</f>
      </c>
      <c r="H2098" s="4"/>
      <c r="I2098" s="5"/>
    </row>
    <row r="2099" ht="21" customHeight="1">
      <c r="A2099" s="3">
        <v>46486</v>
      </c>
      <c r="B2099" t="inlineStr" s="4">
        <is>
          <t>星期五</t>
        </is>
      </c>
      <c r="C2099" t="inlineStr" s="4">
        <is>
          <t>奶茶/咖啡</t>
        </is>
      </c>
      <c r="D2099" t="inlineStr" s="5">
        <is>
          <t>奶茶/咖啡</t>
        </is>
      </c>
      <c r="E2099" s="6"/>
      <c r="F2099" s="6"/>
      <c r="G2099" s="6">
        <f>IF(AND(E2099="",F2099=""),"",F2099-E2099)</f>
      </c>
      <c r="H2099" s="4"/>
      <c r="I2099" s="5"/>
    </row>
    <row r="2100" ht="21" customHeight="1">
      <c r="A2100" s="3">
        <v>46486</v>
      </c>
      <c r="B2100" t="inlineStr" s="4">
        <is>
          <t>星期五</t>
        </is>
      </c>
      <c r="C2100" t="inlineStr" s="4">
        <is>
          <t>其他</t>
        </is>
      </c>
      <c r="D2100" t="inlineStr" s="5">
        <is>
          <t>其他</t>
        </is>
      </c>
      <c r="E2100" s="6"/>
      <c r="F2100" s="6"/>
      <c r="G2100" s="6">
        <f>IF(AND(E2100="",F2100=""),"",F2100-E2100)</f>
      </c>
      <c r="H2100" s="4"/>
      <c r="I2100" s="5"/>
    </row>
    <row r="2101" ht="21" customHeight="1">
      <c r="A2101" s="3">
        <v>46486</v>
      </c>
      <c r="B2101" t="inlineStr" s="4">
        <is>
          <t>星期五</t>
        </is>
      </c>
      <c r="C2101" t="inlineStr" s="4">
        <is>
          <t>其他</t>
        </is>
      </c>
      <c r="D2101" t="inlineStr" s="5">
        <is>
          <t>其他</t>
        </is>
      </c>
      <c r="E2101" s="6"/>
      <c r="F2101" s="6"/>
      <c r="G2101" s="6">
        <f>IF(AND(E2101="",F2101=""),"",F2101-E2101)</f>
      </c>
      <c r="H2101" s="4"/>
      <c r="I2101" s="5"/>
    </row>
    <row r="2102" ht="21" customHeight="1">
      <c r="A2102" s="3">
        <v>46487</v>
      </c>
      <c r="B2102" t="inlineStr" s="4">
        <is>
          <t>星期六</t>
        </is>
      </c>
      <c r="C2102" t="inlineStr" s="4">
        <is>
          <t>餐饮</t>
        </is>
      </c>
      <c r="D2102" t="inlineStr" s="5">
        <is>
          <t>早餐</t>
        </is>
      </c>
      <c r="E2102" s="6"/>
      <c r="F2102" s="6"/>
      <c r="G2102" s="6">
        <f>IF(AND(E2102="",F2102=""),"",F2102-E2102)</f>
      </c>
      <c r="H2102" s="4"/>
      <c r="I2102" s="5"/>
    </row>
    <row r="2103" ht="21" customHeight="1">
      <c r="A2103" s="3">
        <v>46487</v>
      </c>
      <c r="B2103" t="inlineStr" s="4">
        <is>
          <t>星期六</t>
        </is>
      </c>
      <c r="C2103" t="inlineStr" s="4">
        <is>
          <t>餐饮</t>
        </is>
      </c>
      <c r="D2103" t="inlineStr" s="5">
        <is>
          <t>中餐</t>
        </is>
      </c>
      <c r="E2103" s="6"/>
      <c r="F2103" s="6"/>
      <c r="G2103" s="6">
        <f>IF(AND(E2103="",F2103=""),"",F2103-E2103)</f>
      </c>
      <c r="H2103" s="4"/>
      <c r="I2103" s="5"/>
    </row>
    <row r="2104" ht="21" customHeight="1">
      <c r="A2104" s="3">
        <v>46487</v>
      </c>
      <c r="B2104" t="inlineStr" s="4">
        <is>
          <t>星期六</t>
        </is>
      </c>
      <c r="C2104" t="inlineStr" s="4">
        <is>
          <t>餐饮</t>
        </is>
      </c>
      <c r="D2104" t="inlineStr" s="5">
        <is>
          <t>晚餐</t>
        </is>
      </c>
      <c r="E2104" s="6"/>
      <c r="F2104" s="6"/>
      <c r="G2104" s="6">
        <f>IF(AND(E2104="",F2104=""),"",F2104-E2104)</f>
      </c>
      <c r="H2104" s="4"/>
      <c r="I2104" s="5"/>
    </row>
    <row r="2105" ht="21" customHeight="1">
      <c r="A2105" s="3">
        <v>46487</v>
      </c>
      <c r="B2105" t="inlineStr" s="4">
        <is>
          <t>星期六</t>
        </is>
      </c>
      <c r="C2105" t="inlineStr" s="4">
        <is>
          <t>奶茶/咖啡</t>
        </is>
      </c>
      <c r="D2105" t="inlineStr" s="5">
        <is>
          <t>奶茶/咖啡</t>
        </is>
      </c>
      <c r="E2105" s="6"/>
      <c r="F2105" s="6"/>
      <c r="G2105" s="6">
        <f>IF(AND(E2105="",F2105=""),"",F2105-E2105)</f>
      </c>
      <c r="H2105" s="4"/>
      <c r="I2105" s="5"/>
    </row>
    <row r="2106" ht="21" customHeight="1">
      <c r="A2106" s="3">
        <v>46487</v>
      </c>
      <c r="B2106" t="inlineStr" s="4">
        <is>
          <t>星期六</t>
        </is>
      </c>
      <c r="C2106" t="inlineStr" s="4">
        <is>
          <t>其他</t>
        </is>
      </c>
      <c r="D2106" t="inlineStr" s="5">
        <is>
          <t>其他</t>
        </is>
      </c>
      <c r="E2106" s="6"/>
      <c r="F2106" s="6"/>
      <c r="G2106" s="6">
        <f>IF(AND(E2106="",F2106=""),"",F2106-E2106)</f>
      </c>
      <c r="H2106" s="4"/>
      <c r="I2106" s="5"/>
    </row>
    <row r="2107" ht="21" customHeight="1">
      <c r="A2107" s="3">
        <v>46487</v>
      </c>
      <c r="B2107" t="inlineStr" s="4">
        <is>
          <t>星期六</t>
        </is>
      </c>
      <c r="C2107" t="inlineStr" s="4">
        <is>
          <t>其他</t>
        </is>
      </c>
      <c r="D2107" t="inlineStr" s="5">
        <is>
          <t>其他</t>
        </is>
      </c>
      <c r="E2107" s="6"/>
      <c r="F2107" s="6"/>
      <c r="G2107" s="6">
        <f>IF(AND(E2107="",F2107=""),"",F2107-E2107)</f>
      </c>
      <c r="H2107" s="4"/>
      <c r="I2107" s="5"/>
    </row>
    <row r="2108" ht="21" customHeight="1">
      <c r="A2108" s="3">
        <v>46488</v>
      </c>
      <c r="B2108" t="inlineStr" s="4">
        <is>
          <t>星期日</t>
        </is>
      </c>
      <c r="C2108" t="inlineStr" s="4">
        <is>
          <t>餐饮</t>
        </is>
      </c>
      <c r="D2108" t="inlineStr" s="5">
        <is>
          <t>早餐</t>
        </is>
      </c>
      <c r="E2108" s="6"/>
      <c r="F2108" s="6"/>
      <c r="G2108" s="6">
        <f>IF(AND(E2108="",F2108=""),"",F2108-E2108)</f>
      </c>
      <c r="H2108" s="4"/>
      <c r="I2108" s="5"/>
    </row>
    <row r="2109" ht="21" customHeight="1">
      <c r="A2109" s="3">
        <v>46488</v>
      </c>
      <c r="B2109" t="inlineStr" s="4">
        <is>
          <t>星期日</t>
        </is>
      </c>
      <c r="C2109" t="inlineStr" s="4">
        <is>
          <t>餐饮</t>
        </is>
      </c>
      <c r="D2109" t="inlineStr" s="5">
        <is>
          <t>中餐</t>
        </is>
      </c>
      <c r="E2109" s="6"/>
      <c r="F2109" s="6"/>
      <c r="G2109" s="6">
        <f>IF(AND(E2109="",F2109=""),"",F2109-E2109)</f>
      </c>
      <c r="H2109" s="4"/>
      <c r="I2109" s="5"/>
    </row>
    <row r="2110" ht="21" customHeight="1">
      <c r="A2110" s="3">
        <v>46488</v>
      </c>
      <c r="B2110" t="inlineStr" s="4">
        <is>
          <t>星期日</t>
        </is>
      </c>
      <c r="C2110" t="inlineStr" s="4">
        <is>
          <t>餐饮</t>
        </is>
      </c>
      <c r="D2110" t="inlineStr" s="5">
        <is>
          <t>晚餐</t>
        </is>
      </c>
      <c r="E2110" s="6"/>
      <c r="F2110" s="6"/>
      <c r="G2110" s="6">
        <f>IF(AND(E2110="",F2110=""),"",F2110-E2110)</f>
      </c>
      <c r="H2110" s="4"/>
      <c r="I2110" s="5"/>
    </row>
    <row r="2111" ht="21" customHeight="1">
      <c r="A2111" s="3">
        <v>46488</v>
      </c>
      <c r="B2111" t="inlineStr" s="4">
        <is>
          <t>星期日</t>
        </is>
      </c>
      <c r="C2111" t="inlineStr" s="4">
        <is>
          <t>奶茶/咖啡</t>
        </is>
      </c>
      <c r="D2111" t="inlineStr" s="5">
        <is>
          <t>奶茶/咖啡</t>
        </is>
      </c>
      <c r="E2111" s="6"/>
      <c r="F2111" s="6"/>
      <c r="G2111" s="6">
        <f>IF(AND(E2111="",F2111=""),"",F2111-E2111)</f>
      </c>
      <c r="H2111" s="4"/>
      <c r="I2111" s="5"/>
    </row>
    <row r="2112" ht="21" customHeight="1">
      <c r="A2112" s="3">
        <v>46488</v>
      </c>
      <c r="B2112" t="inlineStr" s="4">
        <is>
          <t>星期日</t>
        </is>
      </c>
      <c r="C2112" t="inlineStr" s="4">
        <is>
          <t>其他</t>
        </is>
      </c>
      <c r="D2112" t="inlineStr" s="5">
        <is>
          <t>其他</t>
        </is>
      </c>
      <c r="E2112" s="6"/>
      <c r="F2112" s="6"/>
      <c r="G2112" s="6">
        <f>IF(AND(E2112="",F2112=""),"",F2112-E2112)</f>
      </c>
      <c r="H2112" s="4"/>
      <c r="I2112" s="5"/>
    </row>
    <row r="2113" ht="21" customHeight="1">
      <c r="A2113" s="3">
        <v>46488</v>
      </c>
      <c r="B2113" t="inlineStr" s="4">
        <is>
          <t>星期日</t>
        </is>
      </c>
      <c r="C2113" t="inlineStr" s="4">
        <is>
          <t>其他</t>
        </is>
      </c>
      <c r="D2113" t="inlineStr" s="5">
        <is>
          <t>其他</t>
        </is>
      </c>
      <c r="E2113" s="6"/>
      <c r="F2113" s="6"/>
      <c r="G2113" s="6">
        <f>IF(AND(E2113="",F2113=""),"",F2113-E2113)</f>
      </c>
      <c r="H2113" s="4"/>
      <c r="I2113" s="5"/>
    </row>
    <row r="2114" ht="23" customHeight="1">
      <c r="A2114" t="inlineStr" s="7">
        <is>
          <t>本周小计</t>
        </is>
      </c>
      <c r="B2114" s="7"/>
      <c r="C2114" s="7"/>
      <c r="D2114" s="7"/>
      <c r="E2114" s="8">
        <f>SUM(E2072:E2113)</f>
      </c>
      <c r="F2114" s="8">
        <f>SUM(F2072:F2113)</f>
      </c>
      <c r="G2114" s="8">
        <f>SUM(G2072:G2113)</f>
      </c>
      <c r="H2114" s="7"/>
      <c r="I2114" s="7"/>
    </row>
    <row r="2115" ht="18" customHeight="1">
      <c r="A2115" s="9"/>
      <c r="B2115" s="9"/>
      <c r="C2115" s="9"/>
      <c r="D2115" s="9"/>
      <c r="E2115" s="9"/>
      <c r="F2115" s="9"/>
      <c r="G2115" s="9"/>
      <c r="H2115" s="9"/>
      <c r="I2115" s="9"/>
    </row>
    <row r="2116" ht="18" customHeight="1">
      <c r="A2116" s="9"/>
      <c r="B2116" s="9"/>
      <c r="C2116" s="9"/>
      <c r="D2116" s="9"/>
      <c r="E2116" s="9"/>
      <c r="F2116" s="9"/>
      <c r="G2116" s="9"/>
      <c r="H2116" s="9"/>
      <c r="I2116" s="9"/>
    </row>
    <row r="2117" ht="26" customHeight="1">
      <c r="A2117" t="inlineStr" s="2">
        <is>
          <t>2027年4月｜第二周（4月12日 - 4月18日）</t>
        </is>
      </c>
      <c r="B2117" s="2"/>
      <c r="C2117" s="2"/>
      <c r="D2117" s="2"/>
      <c r="E2117" s="2"/>
      <c r="F2117" s="2"/>
      <c r="G2117" s="2"/>
      <c r="H2117" s="2"/>
      <c r="I2117" s="2"/>
    </row>
    <row r="2118" ht="22" customHeight="1">
      <c r="A2118" t="inlineStr" s="1">
        <is>
          <t>日期</t>
        </is>
      </c>
      <c r="B2118" t="inlineStr" s="1">
        <is>
          <t>星期</t>
        </is>
      </c>
      <c r="C2118" t="inlineStr" s="1">
        <is>
          <t>分类</t>
        </is>
      </c>
      <c r="D2118" t="inlineStr" s="1">
        <is>
          <t>事项</t>
        </is>
      </c>
      <c r="E2118" t="inlineStr" s="1">
        <is>
          <t>支出金额</t>
        </is>
      </c>
      <c r="F2118" t="inlineStr" s="1">
        <is>
          <t>收入金额</t>
        </is>
      </c>
      <c r="G2118" t="inlineStr" s="1">
        <is>
          <t>当笔净额</t>
        </is>
      </c>
      <c r="H2118" t="inlineStr" s="1">
        <is>
          <t>支付方式</t>
        </is>
      </c>
      <c r="I2118" t="inlineStr" s="1">
        <is>
          <t>备注</t>
        </is>
      </c>
    </row>
    <row r="2119" ht="21" customHeight="1">
      <c r="A2119" s="3">
        <v>46489</v>
      </c>
      <c r="B2119" t="inlineStr" s="4">
        <is>
          <t>星期一</t>
        </is>
      </c>
      <c r="C2119" t="inlineStr" s="4">
        <is>
          <t>餐饮</t>
        </is>
      </c>
      <c r="D2119" t="inlineStr" s="5">
        <is>
          <t>早餐</t>
        </is>
      </c>
      <c r="E2119" s="6"/>
      <c r="F2119" s="6"/>
      <c r="G2119" s="6">
        <f>IF(AND(E2119="",F2119=""),"",F2119-E2119)</f>
      </c>
      <c r="H2119" s="4"/>
      <c r="I2119" s="5"/>
    </row>
    <row r="2120" ht="21" customHeight="1">
      <c r="A2120" s="3">
        <v>46489</v>
      </c>
      <c r="B2120" t="inlineStr" s="4">
        <is>
          <t>星期一</t>
        </is>
      </c>
      <c r="C2120" t="inlineStr" s="4">
        <is>
          <t>餐饮</t>
        </is>
      </c>
      <c r="D2120" t="inlineStr" s="5">
        <is>
          <t>中餐</t>
        </is>
      </c>
      <c r="E2120" s="6"/>
      <c r="F2120" s="6"/>
      <c r="G2120" s="6">
        <f>IF(AND(E2120="",F2120=""),"",F2120-E2120)</f>
      </c>
      <c r="H2120" s="4"/>
      <c r="I2120" s="5"/>
    </row>
    <row r="2121" ht="21" customHeight="1">
      <c r="A2121" s="3">
        <v>46489</v>
      </c>
      <c r="B2121" t="inlineStr" s="4">
        <is>
          <t>星期一</t>
        </is>
      </c>
      <c r="C2121" t="inlineStr" s="4">
        <is>
          <t>餐饮</t>
        </is>
      </c>
      <c r="D2121" t="inlineStr" s="5">
        <is>
          <t>晚餐</t>
        </is>
      </c>
      <c r="E2121" s="6"/>
      <c r="F2121" s="6"/>
      <c r="G2121" s="6">
        <f>IF(AND(E2121="",F2121=""),"",F2121-E2121)</f>
      </c>
      <c r="H2121" s="4"/>
      <c r="I2121" s="5"/>
    </row>
    <row r="2122" ht="21" customHeight="1">
      <c r="A2122" s="3">
        <v>46489</v>
      </c>
      <c r="B2122" t="inlineStr" s="4">
        <is>
          <t>星期一</t>
        </is>
      </c>
      <c r="C2122" t="inlineStr" s="4">
        <is>
          <t>奶茶/咖啡</t>
        </is>
      </c>
      <c r="D2122" t="inlineStr" s="5">
        <is>
          <t>奶茶/咖啡</t>
        </is>
      </c>
      <c r="E2122" s="6"/>
      <c r="F2122" s="6"/>
      <c r="G2122" s="6">
        <f>IF(AND(E2122="",F2122=""),"",F2122-E2122)</f>
      </c>
      <c r="H2122" s="4"/>
      <c r="I2122" s="5"/>
    </row>
    <row r="2123" ht="21" customHeight="1">
      <c r="A2123" s="3">
        <v>46489</v>
      </c>
      <c r="B2123" t="inlineStr" s="4">
        <is>
          <t>星期一</t>
        </is>
      </c>
      <c r="C2123" t="inlineStr" s="4">
        <is>
          <t>其他</t>
        </is>
      </c>
      <c r="D2123" t="inlineStr" s="5">
        <is>
          <t>其他</t>
        </is>
      </c>
      <c r="E2123" s="6"/>
      <c r="F2123" s="6"/>
      <c r="G2123" s="6">
        <f>IF(AND(E2123="",F2123=""),"",F2123-E2123)</f>
      </c>
      <c r="H2123" s="4"/>
      <c r="I2123" s="5"/>
    </row>
    <row r="2124" ht="21" customHeight="1">
      <c r="A2124" s="3">
        <v>46489</v>
      </c>
      <c r="B2124" t="inlineStr" s="4">
        <is>
          <t>星期一</t>
        </is>
      </c>
      <c r="C2124" t="inlineStr" s="4">
        <is>
          <t>其他</t>
        </is>
      </c>
      <c r="D2124" t="inlineStr" s="5">
        <is>
          <t>其他</t>
        </is>
      </c>
      <c r="E2124" s="6"/>
      <c r="F2124" s="6"/>
      <c r="G2124" s="6">
        <f>IF(AND(E2124="",F2124=""),"",F2124-E2124)</f>
      </c>
      <c r="H2124" s="4"/>
      <c r="I2124" s="5"/>
    </row>
    <row r="2125" ht="21" customHeight="1">
      <c r="A2125" s="3">
        <v>46490</v>
      </c>
      <c r="B2125" t="inlineStr" s="4">
        <is>
          <t>星期二</t>
        </is>
      </c>
      <c r="C2125" t="inlineStr" s="4">
        <is>
          <t>餐饮</t>
        </is>
      </c>
      <c r="D2125" t="inlineStr" s="5">
        <is>
          <t>早餐</t>
        </is>
      </c>
      <c r="E2125" s="6"/>
      <c r="F2125" s="6"/>
      <c r="G2125" s="6">
        <f>IF(AND(E2125="",F2125=""),"",F2125-E2125)</f>
      </c>
      <c r="H2125" s="4"/>
      <c r="I2125" s="5"/>
    </row>
    <row r="2126" ht="21" customHeight="1">
      <c r="A2126" s="3">
        <v>46490</v>
      </c>
      <c r="B2126" t="inlineStr" s="4">
        <is>
          <t>星期二</t>
        </is>
      </c>
      <c r="C2126" t="inlineStr" s="4">
        <is>
          <t>餐饮</t>
        </is>
      </c>
      <c r="D2126" t="inlineStr" s="5">
        <is>
          <t>中餐</t>
        </is>
      </c>
      <c r="E2126" s="6"/>
      <c r="F2126" s="6"/>
      <c r="G2126" s="6">
        <f>IF(AND(E2126="",F2126=""),"",F2126-E2126)</f>
      </c>
      <c r="H2126" s="4"/>
      <c r="I2126" s="5"/>
    </row>
    <row r="2127" ht="21" customHeight="1">
      <c r="A2127" s="3">
        <v>46490</v>
      </c>
      <c r="B2127" t="inlineStr" s="4">
        <is>
          <t>星期二</t>
        </is>
      </c>
      <c r="C2127" t="inlineStr" s="4">
        <is>
          <t>餐饮</t>
        </is>
      </c>
      <c r="D2127" t="inlineStr" s="5">
        <is>
          <t>晚餐</t>
        </is>
      </c>
      <c r="E2127" s="6"/>
      <c r="F2127" s="6"/>
      <c r="G2127" s="6">
        <f>IF(AND(E2127="",F2127=""),"",F2127-E2127)</f>
      </c>
      <c r="H2127" s="4"/>
      <c r="I2127" s="5"/>
    </row>
    <row r="2128" ht="21" customHeight="1">
      <c r="A2128" s="3">
        <v>46490</v>
      </c>
      <c r="B2128" t="inlineStr" s="4">
        <is>
          <t>星期二</t>
        </is>
      </c>
      <c r="C2128" t="inlineStr" s="4">
        <is>
          <t>奶茶/咖啡</t>
        </is>
      </c>
      <c r="D2128" t="inlineStr" s="5">
        <is>
          <t>奶茶/咖啡</t>
        </is>
      </c>
      <c r="E2128" s="6"/>
      <c r="F2128" s="6"/>
      <c r="G2128" s="6">
        <f>IF(AND(E2128="",F2128=""),"",F2128-E2128)</f>
      </c>
      <c r="H2128" s="4"/>
      <c r="I2128" s="5"/>
    </row>
    <row r="2129" ht="21" customHeight="1">
      <c r="A2129" s="3">
        <v>46490</v>
      </c>
      <c r="B2129" t="inlineStr" s="4">
        <is>
          <t>星期二</t>
        </is>
      </c>
      <c r="C2129" t="inlineStr" s="4">
        <is>
          <t>其他</t>
        </is>
      </c>
      <c r="D2129" t="inlineStr" s="5">
        <is>
          <t>其他</t>
        </is>
      </c>
      <c r="E2129" s="6"/>
      <c r="F2129" s="6"/>
      <c r="G2129" s="6">
        <f>IF(AND(E2129="",F2129=""),"",F2129-E2129)</f>
      </c>
      <c r="H2129" s="4"/>
      <c r="I2129" s="5"/>
    </row>
    <row r="2130" ht="21" customHeight="1">
      <c r="A2130" s="3">
        <v>46490</v>
      </c>
      <c r="B2130" t="inlineStr" s="4">
        <is>
          <t>星期二</t>
        </is>
      </c>
      <c r="C2130" t="inlineStr" s="4">
        <is>
          <t>其他</t>
        </is>
      </c>
      <c r="D2130" t="inlineStr" s="5">
        <is>
          <t>其他</t>
        </is>
      </c>
      <c r="E2130" s="6"/>
      <c r="F2130" s="6"/>
      <c r="G2130" s="6">
        <f>IF(AND(E2130="",F2130=""),"",F2130-E2130)</f>
      </c>
      <c r="H2130" s="4"/>
      <c r="I2130" s="5"/>
    </row>
    <row r="2131" ht="21" customHeight="1">
      <c r="A2131" s="3">
        <v>46491</v>
      </c>
      <c r="B2131" t="inlineStr" s="4">
        <is>
          <t>星期三</t>
        </is>
      </c>
      <c r="C2131" t="inlineStr" s="4">
        <is>
          <t>餐饮</t>
        </is>
      </c>
      <c r="D2131" t="inlineStr" s="5">
        <is>
          <t>早餐</t>
        </is>
      </c>
      <c r="E2131" s="6"/>
      <c r="F2131" s="6"/>
      <c r="G2131" s="6">
        <f>IF(AND(E2131="",F2131=""),"",F2131-E2131)</f>
      </c>
      <c r="H2131" s="4"/>
      <c r="I2131" s="5"/>
    </row>
    <row r="2132" ht="21" customHeight="1">
      <c r="A2132" s="3">
        <v>46491</v>
      </c>
      <c r="B2132" t="inlineStr" s="4">
        <is>
          <t>星期三</t>
        </is>
      </c>
      <c r="C2132" t="inlineStr" s="4">
        <is>
          <t>餐饮</t>
        </is>
      </c>
      <c r="D2132" t="inlineStr" s="5">
        <is>
          <t>中餐</t>
        </is>
      </c>
      <c r="E2132" s="6"/>
      <c r="F2132" s="6"/>
      <c r="G2132" s="6">
        <f>IF(AND(E2132="",F2132=""),"",F2132-E2132)</f>
      </c>
      <c r="H2132" s="4"/>
      <c r="I2132" s="5"/>
    </row>
    <row r="2133" ht="21" customHeight="1">
      <c r="A2133" s="3">
        <v>46491</v>
      </c>
      <c r="B2133" t="inlineStr" s="4">
        <is>
          <t>星期三</t>
        </is>
      </c>
      <c r="C2133" t="inlineStr" s="4">
        <is>
          <t>餐饮</t>
        </is>
      </c>
      <c r="D2133" t="inlineStr" s="5">
        <is>
          <t>晚餐</t>
        </is>
      </c>
      <c r="E2133" s="6"/>
      <c r="F2133" s="6"/>
      <c r="G2133" s="6">
        <f>IF(AND(E2133="",F2133=""),"",F2133-E2133)</f>
      </c>
      <c r="H2133" s="4"/>
      <c r="I2133" s="5"/>
    </row>
    <row r="2134" ht="21" customHeight="1">
      <c r="A2134" s="3">
        <v>46491</v>
      </c>
      <c r="B2134" t="inlineStr" s="4">
        <is>
          <t>星期三</t>
        </is>
      </c>
      <c r="C2134" t="inlineStr" s="4">
        <is>
          <t>奶茶/咖啡</t>
        </is>
      </c>
      <c r="D2134" t="inlineStr" s="5">
        <is>
          <t>奶茶/咖啡</t>
        </is>
      </c>
      <c r="E2134" s="6"/>
      <c r="F2134" s="6"/>
      <c r="G2134" s="6">
        <f>IF(AND(E2134="",F2134=""),"",F2134-E2134)</f>
      </c>
      <c r="H2134" s="4"/>
      <c r="I2134" s="5"/>
    </row>
    <row r="2135" ht="21" customHeight="1">
      <c r="A2135" s="3">
        <v>46491</v>
      </c>
      <c r="B2135" t="inlineStr" s="4">
        <is>
          <t>星期三</t>
        </is>
      </c>
      <c r="C2135" t="inlineStr" s="4">
        <is>
          <t>其他</t>
        </is>
      </c>
      <c r="D2135" t="inlineStr" s="5">
        <is>
          <t>其他</t>
        </is>
      </c>
      <c r="E2135" s="6"/>
      <c r="F2135" s="6"/>
      <c r="G2135" s="6">
        <f>IF(AND(E2135="",F2135=""),"",F2135-E2135)</f>
      </c>
      <c r="H2135" s="4"/>
      <c r="I2135" s="5"/>
    </row>
    <row r="2136" ht="21" customHeight="1">
      <c r="A2136" s="3">
        <v>46491</v>
      </c>
      <c r="B2136" t="inlineStr" s="4">
        <is>
          <t>星期三</t>
        </is>
      </c>
      <c r="C2136" t="inlineStr" s="4">
        <is>
          <t>其他</t>
        </is>
      </c>
      <c r="D2136" t="inlineStr" s="5">
        <is>
          <t>其他</t>
        </is>
      </c>
      <c r="E2136" s="6"/>
      <c r="F2136" s="6"/>
      <c r="G2136" s="6">
        <f>IF(AND(E2136="",F2136=""),"",F2136-E2136)</f>
      </c>
      <c r="H2136" s="4"/>
      <c r="I2136" s="5"/>
    </row>
    <row r="2137" ht="21" customHeight="1">
      <c r="A2137" s="3">
        <v>46492</v>
      </c>
      <c r="B2137" t="inlineStr" s="4">
        <is>
          <t>星期四</t>
        </is>
      </c>
      <c r="C2137" t="inlineStr" s="4">
        <is>
          <t>餐饮</t>
        </is>
      </c>
      <c r="D2137" t="inlineStr" s="5">
        <is>
          <t>早餐</t>
        </is>
      </c>
      <c r="E2137" s="6"/>
      <c r="F2137" s="6"/>
      <c r="G2137" s="6">
        <f>IF(AND(E2137="",F2137=""),"",F2137-E2137)</f>
      </c>
      <c r="H2137" s="4"/>
      <c r="I2137" s="5"/>
    </row>
    <row r="2138" ht="21" customHeight="1">
      <c r="A2138" s="3">
        <v>46492</v>
      </c>
      <c r="B2138" t="inlineStr" s="4">
        <is>
          <t>星期四</t>
        </is>
      </c>
      <c r="C2138" t="inlineStr" s="4">
        <is>
          <t>餐饮</t>
        </is>
      </c>
      <c r="D2138" t="inlineStr" s="5">
        <is>
          <t>中餐</t>
        </is>
      </c>
      <c r="E2138" s="6"/>
      <c r="F2138" s="6"/>
      <c r="G2138" s="6">
        <f>IF(AND(E2138="",F2138=""),"",F2138-E2138)</f>
      </c>
      <c r="H2138" s="4"/>
      <c r="I2138" s="5"/>
    </row>
    <row r="2139" ht="21" customHeight="1">
      <c r="A2139" s="3">
        <v>46492</v>
      </c>
      <c r="B2139" t="inlineStr" s="4">
        <is>
          <t>星期四</t>
        </is>
      </c>
      <c r="C2139" t="inlineStr" s="4">
        <is>
          <t>餐饮</t>
        </is>
      </c>
      <c r="D2139" t="inlineStr" s="5">
        <is>
          <t>晚餐</t>
        </is>
      </c>
      <c r="E2139" s="6"/>
      <c r="F2139" s="6"/>
      <c r="G2139" s="6">
        <f>IF(AND(E2139="",F2139=""),"",F2139-E2139)</f>
      </c>
      <c r="H2139" s="4"/>
      <c r="I2139" s="5"/>
    </row>
    <row r="2140" ht="21" customHeight="1">
      <c r="A2140" s="3">
        <v>46492</v>
      </c>
      <c r="B2140" t="inlineStr" s="4">
        <is>
          <t>星期四</t>
        </is>
      </c>
      <c r="C2140" t="inlineStr" s="4">
        <is>
          <t>奶茶/咖啡</t>
        </is>
      </c>
      <c r="D2140" t="inlineStr" s="5">
        <is>
          <t>奶茶/咖啡</t>
        </is>
      </c>
      <c r="E2140" s="6"/>
      <c r="F2140" s="6"/>
      <c r="G2140" s="6">
        <f>IF(AND(E2140="",F2140=""),"",F2140-E2140)</f>
      </c>
      <c r="H2140" s="4"/>
      <c r="I2140" s="5"/>
    </row>
    <row r="2141" ht="21" customHeight="1">
      <c r="A2141" s="3">
        <v>46492</v>
      </c>
      <c r="B2141" t="inlineStr" s="4">
        <is>
          <t>星期四</t>
        </is>
      </c>
      <c r="C2141" t="inlineStr" s="4">
        <is>
          <t>其他</t>
        </is>
      </c>
      <c r="D2141" t="inlineStr" s="5">
        <is>
          <t>其他</t>
        </is>
      </c>
      <c r="E2141" s="6"/>
      <c r="F2141" s="6"/>
      <c r="G2141" s="6">
        <f>IF(AND(E2141="",F2141=""),"",F2141-E2141)</f>
      </c>
      <c r="H2141" s="4"/>
      <c r="I2141" s="5"/>
    </row>
    <row r="2142" ht="21" customHeight="1">
      <c r="A2142" s="3">
        <v>46492</v>
      </c>
      <c r="B2142" t="inlineStr" s="4">
        <is>
          <t>星期四</t>
        </is>
      </c>
      <c r="C2142" t="inlineStr" s="4">
        <is>
          <t>其他</t>
        </is>
      </c>
      <c r="D2142" t="inlineStr" s="5">
        <is>
          <t>其他</t>
        </is>
      </c>
      <c r="E2142" s="6"/>
      <c r="F2142" s="6"/>
      <c r="G2142" s="6">
        <f>IF(AND(E2142="",F2142=""),"",F2142-E2142)</f>
      </c>
      <c r="H2142" s="4"/>
      <c r="I2142" s="5"/>
    </row>
    <row r="2143" ht="21" customHeight="1">
      <c r="A2143" s="3">
        <v>46493</v>
      </c>
      <c r="B2143" t="inlineStr" s="4">
        <is>
          <t>星期五</t>
        </is>
      </c>
      <c r="C2143" t="inlineStr" s="4">
        <is>
          <t>餐饮</t>
        </is>
      </c>
      <c r="D2143" t="inlineStr" s="5">
        <is>
          <t>早餐</t>
        </is>
      </c>
      <c r="E2143" s="6"/>
      <c r="F2143" s="6"/>
      <c r="G2143" s="6">
        <f>IF(AND(E2143="",F2143=""),"",F2143-E2143)</f>
      </c>
      <c r="H2143" s="4"/>
      <c r="I2143" s="5"/>
    </row>
    <row r="2144" ht="21" customHeight="1">
      <c r="A2144" s="3">
        <v>46493</v>
      </c>
      <c r="B2144" t="inlineStr" s="4">
        <is>
          <t>星期五</t>
        </is>
      </c>
      <c r="C2144" t="inlineStr" s="4">
        <is>
          <t>餐饮</t>
        </is>
      </c>
      <c r="D2144" t="inlineStr" s="5">
        <is>
          <t>中餐</t>
        </is>
      </c>
      <c r="E2144" s="6"/>
      <c r="F2144" s="6"/>
      <c r="G2144" s="6">
        <f>IF(AND(E2144="",F2144=""),"",F2144-E2144)</f>
      </c>
      <c r="H2144" s="4"/>
      <c r="I2144" s="5"/>
    </row>
    <row r="2145" ht="21" customHeight="1">
      <c r="A2145" s="3">
        <v>46493</v>
      </c>
      <c r="B2145" t="inlineStr" s="4">
        <is>
          <t>星期五</t>
        </is>
      </c>
      <c r="C2145" t="inlineStr" s="4">
        <is>
          <t>餐饮</t>
        </is>
      </c>
      <c r="D2145" t="inlineStr" s="5">
        <is>
          <t>晚餐</t>
        </is>
      </c>
      <c r="E2145" s="6"/>
      <c r="F2145" s="6"/>
      <c r="G2145" s="6">
        <f>IF(AND(E2145="",F2145=""),"",F2145-E2145)</f>
      </c>
      <c r="H2145" s="4"/>
      <c r="I2145" s="5"/>
    </row>
    <row r="2146" ht="21" customHeight="1">
      <c r="A2146" s="3">
        <v>46493</v>
      </c>
      <c r="B2146" t="inlineStr" s="4">
        <is>
          <t>星期五</t>
        </is>
      </c>
      <c r="C2146" t="inlineStr" s="4">
        <is>
          <t>奶茶/咖啡</t>
        </is>
      </c>
      <c r="D2146" t="inlineStr" s="5">
        <is>
          <t>奶茶/咖啡</t>
        </is>
      </c>
      <c r="E2146" s="6"/>
      <c r="F2146" s="6"/>
      <c r="G2146" s="6">
        <f>IF(AND(E2146="",F2146=""),"",F2146-E2146)</f>
      </c>
      <c r="H2146" s="4"/>
      <c r="I2146" s="5"/>
    </row>
    <row r="2147" ht="21" customHeight="1">
      <c r="A2147" s="3">
        <v>46493</v>
      </c>
      <c r="B2147" t="inlineStr" s="4">
        <is>
          <t>星期五</t>
        </is>
      </c>
      <c r="C2147" t="inlineStr" s="4">
        <is>
          <t>其他</t>
        </is>
      </c>
      <c r="D2147" t="inlineStr" s="5">
        <is>
          <t>其他</t>
        </is>
      </c>
      <c r="E2147" s="6"/>
      <c r="F2147" s="6"/>
      <c r="G2147" s="6">
        <f>IF(AND(E2147="",F2147=""),"",F2147-E2147)</f>
      </c>
      <c r="H2147" s="4"/>
      <c r="I2147" s="5"/>
    </row>
    <row r="2148" ht="21" customHeight="1">
      <c r="A2148" s="3">
        <v>46493</v>
      </c>
      <c r="B2148" t="inlineStr" s="4">
        <is>
          <t>星期五</t>
        </is>
      </c>
      <c r="C2148" t="inlineStr" s="4">
        <is>
          <t>其他</t>
        </is>
      </c>
      <c r="D2148" t="inlineStr" s="5">
        <is>
          <t>其他</t>
        </is>
      </c>
      <c r="E2148" s="6"/>
      <c r="F2148" s="6"/>
      <c r="G2148" s="6">
        <f>IF(AND(E2148="",F2148=""),"",F2148-E2148)</f>
      </c>
      <c r="H2148" s="4"/>
      <c r="I2148" s="5"/>
    </row>
    <row r="2149" ht="21" customHeight="1">
      <c r="A2149" s="3">
        <v>46494</v>
      </c>
      <c r="B2149" t="inlineStr" s="4">
        <is>
          <t>星期六</t>
        </is>
      </c>
      <c r="C2149" t="inlineStr" s="4">
        <is>
          <t>餐饮</t>
        </is>
      </c>
      <c r="D2149" t="inlineStr" s="5">
        <is>
          <t>早餐</t>
        </is>
      </c>
      <c r="E2149" s="6"/>
      <c r="F2149" s="6"/>
      <c r="G2149" s="6">
        <f>IF(AND(E2149="",F2149=""),"",F2149-E2149)</f>
      </c>
      <c r="H2149" s="4"/>
      <c r="I2149" s="5"/>
    </row>
    <row r="2150" ht="21" customHeight="1">
      <c r="A2150" s="3">
        <v>46494</v>
      </c>
      <c r="B2150" t="inlineStr" s="4">
        <is>
          <t>星期六</t>
        </is>
      </c>
      <c r="C2150" t="inlineStr" s="4">
        <is>
          <t>餐饮</t>
        </is>
      </c>
      <c r="D2150" t="inlineStr" s="5">
        <is>
          <t>中餐</t>
        </is>
      </c>
      <c r="E2150" s="6"/>
      <c r="F2150" s="6"/>
      <c r="G2150" s="6">
        <f>IF(AND(E2150="",F2150=""),"",F2150-E2150)</f>
      </c>
      <c r="H2150" s="4"/>
      <c r="I2150" s="5"/>
    </row>
    <row r="2151" ht="21" customHeight="1">
      <c r="A2151" s="3">
        <v>46494</v>
      </c>
      <c r="B2151" t="inlineStr" s="4">
        <is>
          <t>星期六</t>
        </is>
      </c>
      <c r="C2151" t="inlineStr" s="4">
        <is>
          <t>餐饮</t>
        </is>
      </c>
      <c r="D2151" t="inlineStr" s="5">
        <is>
          <t>晚餐</t>
        </is>
      </c>
      <c r="E2151" s="6"/>
      <c r="F2151" s="6"/>
      <c r="G2151" s="6">
        <f>IF(AND(E2151="",F2151=""),"",F2151-E2151)</f>
      </c>
      <c r="H2151" s="4"/>
      <c r="I2151" s="5"/>
    </row>
    <row r="2152" ht="21" customHeight="1">
      <c r="A2152" s="3">
        <v>46494</v>
      </c>
      <c r="B2152" t="inlineStr" s="4">
        <is>
          <t>星期六</t>
        </is>
      </c>
      <c r="C2152" t="inlineStr" s="4">
        <is>
          <t>奶茶/咖啡</t>
        </is>
      </c>
      <c r="D2152" t="inlineStr" s="5">
        <is>
          <t>奶茶/咖啡</t>
        </is>
      </c>
      <c r="E2152" s="6"/>
      <c r="F2152" s="6"/>
      <c r="G2152" s="6">
        <f>IF(AND(E2152="",F2152=""),"",F2152-E2152)</f>
      </c>
      <c r="H2152" s="4"/>
      <c r="I2152" s="5"/>
    </row>
    <row r="2153" ht="21" customHeight="1">
      <c r="A2153" s="3">
        <v>46494</v>
      </c>
      <c r="B2153" t="inlineStr" s="4">
        <is>
          <t>星期六</t>
        </is>
      </c>
      <c r="C2153" t="inlineStr" s="4">
        <is>
          <t>其他</t>
        </is>
      </c>
      <c r="D2153" t="inlineStr" s="5">
        <is>
          <t>其他</t>
        </is>
      </c>
      <c r="E2153" s="6"/>
      <c r="F2153" s="6"/>
      <c r="G2153" s="6">
        <f>IF(AND(E2153="",F2153=""),"",F2153-E2153)</f>
      </c>
      <c r="H2153" s="4"/>
      <c r="I2153" s="5"/>
    </row>
    <row r="2154" ht="21" customHeight="1">
      <c r="A2154" s="3">
        <v>46494</v>
      </c>
      <c r="B2154" t="inlineStr" s="4">
        <is>
          <t>星期六</t>
        </is>
      </c>
      <c r="C2154" t="inlineStr" s="4">
        <is>
          <t>其他</t>
        </is>
      </c>
      <c r="D2154" t="inlineStr" s="5">
        <is>
          <t>其他</t>
        </is>
      </c>
      <c r="E2154" s="6"/>
      <c r="F2154" s="6"/>
      <c r="G2154" s="6">
        <f>IF(AND(E2154="",F2154=""),"",F2154-E2154)</f>
      </c>
      <c r="H2154" s="4"/>
      <c r="I2154" s="5"/>
    </row>
    <row r="2155" ht="21" customHeight="1">
      <c r="A2155" s="3">
        <v>46495</v>
      </c>
      <c r="B2155" t="inlineStr" s="4">
        <is>
          <t>星期日</t>
        </is>
      </c>
      <c r="C2155" t="inlineStr" s="4">
        <is>
          <t>餐饮</t>
        </is>
      </c>
      <c r="D2155" t="inlineStr" s="5">
        <is>
          <t>早餐</t>
        </is>
      </c>
      <c r="E2155" s="6"/>
      <c r="F2155" s="6"/>
      <c r="G2155" s="6">
        <f>IF(AND(E2155="",F2155=""),"",F2155-E2155)</f>
      </c>
      <c r="H2155" s="4"/>
      <c r="I2155" s="5"/>
    </row>
    <row r="2156" ht="21" customHeight="1">
      <c r="A2156" s="3">
        <v>46495</v>
      </c>
      <c r="B2156" t="inlineStr" s="4">
        <is>
          <t>星期日</t>
        </is>
      </c>
      <c r="C2156" t="inlineStr" s="4">
        <is>
          <t>餐饮</t>
        </is>
      </c>
      <c r="D2156" t="inlineStr" s="5">
        <is>
          <t>中餐</t>
        </is>
      </c>
      <c r="E2156" s="6"/>
      <c r="F2156" s="6"/>
      <c r="G2156" s="6">
        <f>IF(AND(E2156="",F2156=""),"",F2156-E2156)</f>
      </c>
      <c r="H2156" s="4"/>
      <c r="I2156" s="5"/>
    </row>
    <row r="2157" ht="21" customHeight="1">
      <c r="A2157" s="3">
        <v>46495</v>
      </c>
      <c r="B2157" t="inlineStr" s="4">
        <is>
          <t>星期日</t>
        </is>
      </c>
      <c r="C2157" t="inlineStr" s="4">
        <is>
          <t>餐饮</t>
        </is>
      </c>
      <c r="D2157" t="inlineStr" s="5">
        <is>
          <t>晚餐</t>
        </is>
      </c>
      <c r="E2157" s="6"/>
      <c r="F2157" s="6"/>
      <c r="G2157" s="6">
        <f>IF(AND(E2157="",F2157=""),"",F2157-E2157)</f>
      </c>
      <c r="H2157" s="4"/>
      <c r="I2157" s="5"/>
    </row>
    <row r="2158" ht="21" customHeight="1">
      <c r="A2158" s="3">
        <v>46495</v>
      </c>
      <c r="B2158" t="inlineStr" s="4">
        <is>
          <t>星期日</t>
        </is>
      </c>
      <c r="C2158" t="inlineStr" s="4">
        <is>
          <t>奶茶/咖啡</t>
        </is>
      </c>
      <c r="D2158" t="inlineStr" s="5">
        <is>
          <t>奶茶/咖啡</t>
        </is>
      </c>
      <c r="E2158" s="6"/>
      <c r="F2158" s="6"/>
      <c r="G2158" s="6">
        <f>IF(AND(E2158="",F2158=""),"",F2158-E2158)</f>
      </c>
      <c r="H2158" s="4"/>
      <c r="I2158" s="5"/>
    </row>
    <row r="2159" ht="21" customHeight="1">
      <c r="A2159" s="3">
        <v>46495</v>
      </c>
      <c r="B2159" t="inlineStr" s="4">
        <is>
          <t>星期日</t>
        </is>
      </c>
      <c r="C2159" t="inlineStr" s="4">
        <is>
          <t>其他</t>
        </is>
      </c>
      <c r="D2159" t="inlineStr" s="5">
        <is>
          <t>其他</t>
        </is>
      </c>
      <c r="E2159" s="6"/>
      <c r="F2159" s="6"/>
      <c r="G2159" s="6">
        <f>IF(AND(E2159="",F2159=""),"",F2159-E2159)</f>
      </c>
      <c r="H2159" s="4"/>
      <c r="I2159" s="5"/>
    </row>
    <row r="2160" ht="21" customHeight="1">
      <c r="A2160" s="3">
        <v>46495</v>
      </c>
      <c r="B2160" t="inlineStr" s="4">
        <is>
          <t>星期日</t>
        </is>
      </c>
      <c r="C2160" t="inlineStr" s="4">
        <is>
          <t>其他</t>
        </is>
      </c>
      <c r="D2160" t="inlineStr" s="5">
        <is>
          <t>其他</t>
        </is>
      </c>
      <c r="E2160" s="6"/>
      <c r="F2160" s="6"/>
      <c r="G2160" s="6">
        <f>IF(AND(E2160="",F2160=""),"",F2160-E2160)</f>
      </c>
      <c r="H2160" s="4"/>
      <c r="I2160" s="5"/>
    </row>
    <row r="2161" ht="23" customHeight="1">
      <c r="A2161" t="inlineStr" s="7">
        <is>
          <t>本周小计</t>
        </is>
      </c>
      <c r="B2161" s="7"/>
      <c r="C2161" s="7"/>
      <c r="D2161" s="7"/>
      <c r="E2161" s="8">
        <f>SUM(E2119:E2160)</f>
      </c>
      <c r="F2161" s="8">
        <f>SUM(F2119:F2160)</f>
      </c>
      <c r="G2161" s="8">
        <f>SUM(G2119:G2160)</f>
      </c>
      <c r="H2161" s="7"/>
      <c r="I2161" s="7"/>
    </row>
    <row r="2162" ht="18" customHeight="1">
      <c r="A2162" s="9"/>
      <c r="B2162" s="9"/>
      <c r="C2162" s="9"/>
      <c r="D2162" s="9"/>
      <c r="E2162" s="9"/>
      <c r="F2162" s="9"/>
      <c r="G2162" s="9"/>
      <c r="H2162" s="9"/>
      <c r="I2162" s="9"/>
    </row>
    <row r="2163" ht="18" customHeight="1">
      <c r="A2163" s="9"/>
      <c r="B2163" s="9"/>
      <c r="C2163" s="9"/>
      <c r="D2163" s="9"/>
      <c r="E2163" s="9"/>
      <c r="F2163" s="9"/>
      <c r="G2163" s="9"/>
      <c r="H2163" s="9"/>
      <c r="I2163" s="9"/>
    </row>
    <row r="2164" ht="26" customHeight="1">
      <c r="A2164" t="inlineStr" s="2">
        <is>
          <t>2027年4月｜第三周（4月19日 - 4月25日）</t>
        </is>
      </c>
      <c r="B2164" s="2"/>
      <c r="C2164" s="2"/>
      <c r="D2164" s="2"/>
      <c r="E2164" s="2"/>
      <c r="F2164" s="2"/>
      <c r="G2164" s="2"/>
      <c r="H2164" s="2"/>
      <c r="I2164" s="2"/>
    </row>
    <row r="2165" ht="22" customHeight="1">
      <c r="A2165" t="inlineStr" s="1">
        <is>
          <t>日期</t>
        </is>
      </c>
      <c r="B2165" t="inlineStr" s="1">
        <is>
          <t>星期</t>
        </is>
      </c>
      <c r="C2165" t="inlineStr" s="1">
        <is>
          <t>分类</t>
        </is>
      </c>
      <c r="D2165" t="inlineStr" s="1">
        <is>
          <t>事项</t>
        </is>
      </c>
      <c r="E2165" t="inlineStr" s="1">
        <is>
          <t>支出金额</t>
        </is>
      </c>
      <c r="F2165" t="inlineStr" s="1">
        <is>
          <t>收入金额</t>
        </is>
      </c>
      <c r="G2165" t="inlineStr" s="1">
        <is>
          <t>当笔净额</t>
        </is>
      </c>
      <c r="H2165" t="inlineStr" s="1">
        <is>
          <t>支付方式</t>
        </is>
      </c>
      <c r="I2165" t="inlineStr" s="1">
        <is>
          <t>备注</t>
        </is>
      </c>
    </row>
    <row r="2166" ht="21" customHeight="1">
      <c r="A2166" s="3">
        <v>46496</v>
      </c>
      <c r="B2166" t="inlineStr" s="4">
        <is>
          <t>星期一</t>
        </is>
      </c>
      <c r="C2166" t="inlineStr" s="4">
        <is>
          <t>餐饮</t>
        </is>
      </c>
      <c r="D2166" t="inlineStr" s="5">
        <is>
          <t>早餐</t>
        </is>
      </c>
      <c r="E2166" s="6"/>
      <c r="F2166" s="6"/>
      <c r="G2166" s="6">
        <f>IF(AND(E2166="",F2166=""),"",F2166-E2166)</f>
      </c>
      <c r="H2166" s="4"/>
      <c r="I2166" s="5"/>
    </row>
    <row r="2167" ht="21" customHeight="1">
      <c r="A2167" s="3">
        <v>46496</v>
      </c>
      <c r="B2167" t="inlineStr" s="4">
        <is>
          <t>星期一</t>
        </is>
      </c>
      <c r="C2167" t="inlineStr" s="4">
        <is>
          <t>餐饮</t>
        </is>
      </c>
      <c r="D2167" t="inlineStr" s="5">
        <is>
          <t>中餐</t>
        </is>
      </c>
      <c r="E2167" s="6"/>
      <c r="F2167" s="6"/>
      <c r="G2167" s="6">
        <f>IF(AND(E2167="",F2167=""),"",F2167-E2167)</f>
      </c>
      <c r="H2167" s="4"/>
      <c r="I2167" s="5"/>
    </row>
    <row r="2168" ht="21" customHeight="1">
      <c r="A2168" s="3">
        <v>46496</v>
      </c>
      <c r="B2168" t="inlineStr" s="4">
        <is>
          <t>星期一</t>
        </is>
      </c>
      <c r="C2168" t="inlineStr" s="4">
        <is>
          <t>餐饮</t>
        </is>
      </c>
      <c r="D2168" t="inlineStr" s="5">
        <is>
          <t>晚餐</t>
        </is>
      </c>
      <c r="E2168" s="6"/>
      <c r="F2168" s="6"/>
      <c r="G2168" s="6">
        <f>IF(AND(E2168="",F2168=""),"",F2168-E2168)</f>
      </c>
      <c r="H2168" s="4"/>
      <c r="I2168" s="5"/>
    </row>
    <row r="2169" ht="21" customHeight="1">
      <c r="A2169" s="3">
        <v>46496</v>
      </c>
      <c r="B2169" t="inlineStr" s="4">
        <is>
          <t>星期一</t>
        </is>
      </c>
      <c r="C2169" t="inlineStr" s="4">
        <is>
          <t>奶茶/咖啡</t>
        </is>
      </c>
      <c r="D2169" t="inlineStr" s="5">
        <is>
          <t>奶茶/咖啡</t>
        </is>
      </c>
      <c r="E2169" s="6"/>
      <c r="F2169" s="6"/>
      <c r="G2169" s="6">
        <f>IF(AND(E2169="",F2169=""),"",F2169-E2169)</f>
      </c>
      <c r="H2169" s="4"/>
      <c r="I2169" s="5"/>
    </row>
    <row r="2170" ht="21" customHeight="1">
      <c r="A2170" s="3">
        <v>46496</v>
      </c>
      <c r="B2170" t="inlineStr" s="4">
        <is>
          <t>星期一</t>
        </is>
      </c>
      <c r="C2170" t="inlineStr" s="4">
        <is>
          <t>其他</t>
        </is>
      </c>
      <c r="D2170" t="inlineStr" s="5">
        <is>
          <t>其他</t>
        </is>
      </c>
      <c r="E2170" s="6"/>
      <c r="F2170" s="6"/>
      <c r="G2170" s="6">
        <f>IF(AND(E2170="",F2170=""),"",F2170-E2170)</f>
      </c>
      <c r="H2170" s="4"/>
      <c r="I2170" s="5"/>
    </row>
    <row r="2171" ht="21" customHeight="1">
      <c r="A2171" s="3">
        <v>46496</v>
      </c>
      <c r="B2171" t="inlineStr" s="4">
        <is>
          <t>星期一</t>
        </is>
      </c>
      <c r="C2171" t="inlineStr" s="4">
        <is>
          <t>其他</t>
        </is>
      </c>
      <c r="D2171" t="inlineStr" s="5">
        <is>
          <t>其他</t>
        </is>
      </c>
      <c r="E2171" s="6"/>
      <c r="F2171" s="6"/>
      <c r="G2171" s="6">
        <f>IF(AND(E2171="",F2171=""),"",F2171-E2171)</f>
      </c>
      <c r="H2171" s="4"/>
      <c r="I2171" s="5"/>
    </row>
    <row r="2172" ht="21" customHeight="1">
      <c r="A2172" s="3">
        <v>46497</v>
      </c>
      <c r="B2172" t="inlineStr" s="4">
        <is>
          <t>星期二</t>
        </is>
      </c>
      <c r="C2172" t="inlineStr" s="4">
        <is>
          <t>餐饮</t>
        </is>
      </c>
      <c r="D2172" t="inlineStr" s="5">
        <is>
          <t>早餐</t>
        </is>
      </c>
      <c r="E2172" s="6"/>
      <c r="F2172" s="6"/>
      <c r="G2172" s="6">
        <f>IF(AND(E2172="",F2172=""),"",F2172-E2172)</f>
      </c>
      <c r="H2172" s="4"/>
      <c r="I2172" s="5"/>
    </row>
    <row r="2173" ht="21" customHeight="1">
      <c r="A2173" s="3">
        <v>46497</v>
      </c>
      <c r="B2173" t="inlineStr" s="4">
        <is>
          <t>星期二</t>
        </is>
      </c>
      <c r="C2173" t="inlineStr" s="4">
        <is>
          <t>餐饮</t>
        </is>
      </c>
      <c r="D2173" t="inlineStr" s="5">
        <is>
          <t>中餐</t>
        </is>
      </c>
      <c r="E2173" s="6"/>
      <c r="F2173" s="6"/>
      <c r="G2173" s="6">
        <f>IF(AND(E2173="",F2173=""),"",F2173-E2173)</f>
      </c>
      <c r="H2173" s="4"/>
      <c r="I2173" s="5"/>
    </row>
    <row r="2174" ht="21" customHeight="1">
      <c r="A2174" s="3">
        <v>46497</v>
      </c>
      <c r="B2174" t="inlineStr" s="4">
        <is>
          <t>星期二</t>
        </is>
      </c>
      <c r="C2174" t="inlineStr" s="4">
        <is>
          <t>餐饮</t>
        </is>
      </c>
      <c r="D2174" t="inlineStr" s="5">
        <is>
          <t>晚餐</t>
        </is>
      </c>
      <c r="E2174" s="6"/>
      <c r="F2174" s="6"/>
      <c r="G2174" s="6">
        <f>IF(AND(E2174="",F2174=""),"",F2174-E2174)</f>
      </c>
      <c r="H2174" s="4"/>
      <c r="I2174" s="5"/>
    </row>
    <row r="2175" ht="21" customHeight="1">
      <c r="A2175" s="3">
        <v>46497</v>
      </c>
      <c r="B2175" t="inlineStr" s="4">
        <is>
          <t>星期二</t>
        </is>
      </c>
      <c r="C2175" t="inlineStr" s="4">
        <is>
          <t>奶茶/咖啡</t>
        </is>
      </c>
      <c r="D2175" t="inlineStr" s="5">
        <is>
          <t>奶茶/咖啡</t>
        </is>
      </c>
      <c r="E2175" s="6"/>
      <c r="F2175" s="6"/>
      <c r="G2175" s="6">
        <f>IF(AND(E2175="",F2175=""),"",F2175-E2175)</f>
      </c>
      <c r="H2175" s="4"/>
      <c r="I2175" s="5"/>
    </row>
    <row r="2176" ht="21" customHeight="1">
      <c r="A2176" s="3">
        <v>46497</v>
      </c>
      <c r="B2176" t="inlineStr" s="4">
        <is>
          <t>星期二</t>
        </is>
      </c>
      <c r="C2176" t="inlineStr" s="4">
        <is>
          <t>其他</t>
        </is>
      </c>
      <c r="D2176" t="inlineStr" s="5">
        <is>
          <t>其他</t>
        </is>
      </c>
      <c r="E2176" s="6"/>
      <c r="F2176" s="6"/>
      <c r="G2176" s="6">
        <f>IF(AND(E2176="",F2176=""),"",F2176-E2176)</f>
      </c>
      <c r="H2176" s="4"/>
      <c r="I2176" s="5"/>
    </row>
    <row r="2177" ht="21" customHeight="1">
      <c r="A2177" s="3">
        <v>46497</v>
      </c>
      <c r="B2177" t="inlineStr" s="4">
        <is>
          <t>星期二</t>
        </is>
      </c>
      <c r="C2177" t="inlineStr" s="4">
        <is>
          <t>其他</t>
        </is>
      </c>
      <c r="D2177" t="inlineStr" s="5">
        <is>
          <t>其他</t>
        </is>
      </c>
      <c r="E2177" s="6"/>
      <c r="F2177" s="6"/>
      <c r="G2177" s="6">
        <f>IF(AND(E2177="",F2177=""),"",F2177-E2177)</f>
      </c>
      <c r="H2177" s="4"/>
      <c r="I2177" s="5"/>
    </row>
    <row r="2178" ht="21" customHeight="1">
      <c r="A2178" s="3">
        <v>46498</v>
      </c>
      <c r="B2178" t="inlineStr" s="4">
        <is>
          <t>星期三</t>
        </is>
      </c>
      <c r="C2178" t="inlineStr" s="4">
        <is>
          <t>餐饮</t>
        </is>
      </c>
      <c r="D2178" t="inlineStr" s="5">
        <is>
          <t>早餐</t>
        </is>
      </c>
      <c r="E2178" s="6"/>
      <c r="F2178" s="6"/>
      <c r="G2178" s="6">
        <f>IF(AND(E2178="",F2178=""),"",F2178-E2178)</f>
      </c>
      <c r="H2178" s="4"/>
      <c r="I2178" s="5"/>
    </row>
    <row r="2179" ht="21" customHeight="1">
      <c r="A2179" s="3">
        <v>46498</v>
      </c>
      <c r="B2179" t="inlineStr" s="4">
        <is>
          <t>星期三</t>
        </is>
      </c>
      <c r="C2179" t="inlineStr" s="4">
        <is>
          <t>餐饮</t>
        </is>
      </c>
      <c r="D2179" t="inlineStr" s="5">
        <is>
          <t>中餐</t>
        </is>
      </c>
      <c r="E2179" s="6"/>
      <c r="F2179" s="6"/>
      <c r="G2179" s="6">
        <f>IF(AND(E2179="",F2179=""),"",F2179-E2179)</f>
      </c>
      <c r="H2179" s="4"/>
      <c r="I2179" s="5"/>
    </row>
    <row r="2180" ht="21" customHeight="1">
      <c r="A2180" s="3">
        <v>46498</v>
      </c>
      <c r="B2180" t="inlineStr" s="4">
        <is>
          <t>星期三</t>
        </is>
      </c>
      <c r="C2180" t="inlineStr" s="4">
        <is>
          <t>餐饮</t>
        </is>
      </c>
      <c r="D2180" t="inlineStr" s="5">
        <is>
          <t>晚餐</t>
        </is>
      </c>
      <c r="E2180" s="6"/>
      <c r="F2180" s="6"/>
      <c r="G2180" s="6">
        <f>IF(AND(E2180="",F2180=""),"",F2180-E2180)</f>
      </c>
      <c r="H2180" s="4"/>
      <c r="I2180" s="5"/>
    </row>
    <row r="2181" ht="21" customHeight="1">
      <c r="A2181" s="3">
        <v>46498</v>
      </c>
      <c r="B2181" t="inlineStr" s="4">
        <is>
          <t>星期三</t>
        </is>
      </c>
      <c r="C2181" t="inlineStr" s="4">
        <is>
          <t>奶茶/咖啡</t>
        </is>
      </c>
      <c r="D2181" t="inlineStr" s="5">
        <is>
          <t>奶茶/咖啡</t>
        </is>
      </c>
      <c r="E2181" s="6"/>
      <c r="F2181" s="6"/>
      <c r="G2181" s="6">
        <f>IF(AND(E2181="",F2181=""),"",F2181-E2181)</f>
      </c>
      <c r="H2181" s="4"/>
      <c r="I2181" s="5"/>
    </row>
    <row r="2182" ht="21" customHeight="1">
      <c r="A2182" s="3">
        <v>46498</v>
      </c>
      <c r="B2182" t="inlineStr" s="4">
        <is>
          <t>星期三</t>
        </is>
      </c>
      <c r="C2182" t="inlineStr" s="4">
        <is>
          <t>其他</t>
        </is>
      </c>
      <c r="D2182" t="inlineStr" s="5">
        <is>
          <t>其他</t>
        </is>
      </c>
      <c r="E2182" s="6"/>
      <c r="F2182" s="6"/>
      <c r="G2182" s="6">
        <f>IF(AND(E2182="",F2182=""),"",F2182-E2182)</f>
      </c>
      <c r="H2182" s="4"/>
      <c r="I2182" s="5"/>
    </row>
    <row r="2183" ht="21" customHeight="1">
      <c r="A2183" s="3">
        <v>46498</v>
      </c>
      <c r="B2183" t="inlineStr" s="4">
        <is>
          <t>星期三</t>
        </is>
      </c>
      <c r="C2183" t="inlineStr" s="4">
        <is>
          <t>其他</t>
        </is>
      </c>
      <c r="D2183" t="inlineStr" s="5">
        <is>
          <t>其他</t>
        </is>
      </c>
      <c r="E2183" s="6"/>
      <c r="F2183" s="6"/>
      <c r="G2183" s="6">
        <f>IF(AND(E2183="",F2183=""),"",F2183-E2183)</f>
      </c>
      <c r="H2183" s="4"/>
      <c r="I2183" s="5"/>
    </row>
    <row r="2184" ht="21" customHeight="1">
      <c r="A2184" s="3">
        <v>46499</v>
      </c>
      <c r="B2184" t="inlineStr" s="4">
        <is>
          <t>星期四</t>
        </is>
      </c>
      <c r="C2184" t="inlineStr" s="4">
        <is>
          <t>餐饮</t>
        </is>
      </c>
      <c r="D2184" t="inlineStr" s="5">
        <is>
          <t>早餐</t>
        </is>
      </c>
      <c r="E2184" s="6"/>
      <c r="F2184" s="6"/>
      <c r="G2184" s="6">
        <f>IF(AND(E2184="",F2184=""),"",F2184-E2184)</f>
      </c>
      <c r="H2184" s="4"/>
      <c r="I2184" s="5"/>
    </row>
    <row r="2185" ht="21" customHeight="1">
      <c r="A2185" s="3">
        <v>46499</v>
      </c>
      <c r="B2185" t="inlineStr" s="4">
        <is>
          <t>星期四</t>
        </is>
      </c>
      <c r="C2185" t="inlineStr" s="4">
        <is>
          <t>餐饮</t>
        </is>
      </c>
      <c r="D2185" t="inlineStr" s="5">
        <is>
          <t>中餐</t>
        </is>
      </c>
      <c r="E2185" s="6"/>
      <c r="F2185" s="6"/>
      <c r="G2185" s="6">
        <f>IF(AND(E2185="",F2185=""),"",F2185-E2185)</f>
      </c>
      <c r="H2185" s="4"/>
      <c r="I2185" s="5"/>
    </row>
    <row r="2186" ht="21" customHeight="1">
      <c r="A2186" s="3">
        <v>46499</v>
      </c>
      <c r="B2186" t="inlineStr" s="4">
        <is>
          <t>星期四</t>
        </is>
      </c>
      <c r="C2186" t="inlineStr" s="4">
        <is>
          <t>餐饮</t>
        </is>
      </c>
      <c r="D2186" t="inlineStr" s="5">
        <is>
          <t>晚餐</t>
        </is>
      </c>
      <c r="E2186" s="6"/>
      <c r="F2186" s="6"/>
      <c r="G2186" s="6">
        <f>IF(AND(E2186="",F2186=""),"",F2186-E2186)</f>
      </c>
      <c r="H2186" s="4"/>
      <c r="I2186" s="5"/>
    </row>
    <row r="2187" ht="21" customHeight="1">
      <c r="A2187" s="3">
        <v>46499</v>
      </c>
      <c r="B2187" t="inlineStr" s="4">
        <is>
          <t>星期四</t>
        </is>
      </c>
      <c r="C2187" t="inlineStr" s="4">
        <is>
          <t>奶茶/咖啡</t>
        </is>
      </c>
      <c r="D2187" t="inlineStr" s="5">
        <is>
          <t>奶茶/咖啡</t>
        </is>
      </c>
      <c r="E2187" s="6"/>
      <c r="F2187" s="6"/>
      <c r="G2187" s="6">
        <f>IF(AND(E2187="",F2187=""),"",F2187-E2187)</f>
      </c>
      <c r="H2187" s="4"/>
      <c r="I2187" s="5"/>
    </row>
    <row r="2188" ht="21" customHeight="1">
      <c r="A2188" s="3">
        <v>46499</v>
      </c>
      <c r="B2188" t="inlineStr" s="4">
        <is>
          <t>星期四</t>
        </is>
      </c>
      <c r="C2188" t="inlineStr" s="4">
        <is>
          <t>其他</t>
        </is>
      </c>
      <c r="D2188" t="inlineStr" s="5">
        <is>
          <t>其他</t>
        </is>
      </c>
      <c r="E2188" s="6"/>
      <c r="F2188" s="6"/>
      <c r="G2188" s="6">
        <f>IF(AND(E2188="",F2188=""),"",F2188-E2188)</f>
      </c>
      <c r="H2188" s="4"/>
      <c r="I2188" s="5"/>
    </row>
    <row r="2189" ht="21" customHeight="1">
      <c r="A2189" s="3">
        <v>46499</v>
      </c>
      <c r="B2189" t="inlineStr" s="4">
        <is>
          <t>星期四</t>
        </is>
      </c>
      <c r="C2189" t="inlineStr" s="4">
        <is>
          <t>其他</t>
        </is>
      </c>
      <c r="D2189" t="inlineStr" s="5">
        <is>
          <t>其他</t>
        </is>
      </c>
      <c r="E2189" s="6"/>
      <c r="F2189" s="6"/>
      <c r="G2189" s="6">
        <f>IF(AND(E2189="",F2189=""),"",F2189-E2189)</f>
      </c>
      <c r="H2189" s="4"/>
      <c r="I2189" s="5"/>
    </row>
    <row r="2190" ht="21" customHeight="1">
      <c r="A2190" s="3">
        <v>46500</v>
      </c>
      <c r="B2190" t="inlineStr" s="4">
        <is>
          <t>星期五</t>
        </is>
      </c>
      <c r="C2190" t="inlineStr" s="4">
        <is>
          <t>餐饮</t>
        </is>
      </c>
      <c r="D2190" t="inlineStr" s="5">
        <is>
          <t>早餐</t>
        </is>
      </c>
      <c r="E2190" s="6"/>
      <c r="F2190" s="6"/>
      <c r="G2190" s="6">
        <f>IF(AND(E2190="",F2190=""),"",F2190-E2190)</f>
      </c>
      <c r="H2190" s="4"/>
      <c r="I2190" s="5"/>
    </row>
    <row r="2191" ht="21" customHeight="1">
      <c r="A2191" s="3">
        <v>46500</v>
      </c>
      <c r="B2191" t="inlineStr" s="4">
        <is>
          <t>星期五</t>
        </is>
      </c>
      <c r="C2191" t="inlineStr" s="4">
        <is>
          <t>餐饮</t>
        </is>
      </c>
      <c r="D2191" t="inlineStr" s="5">
        <is>
          <t>中餐</t>
        </is>
      </c>
      <c r="E2191" s="6"/>
      <c r="F2191" s="6"/>
      <c r="G2191" s="6">
        <f>IF(AND(E2191="",F2191=""),"",F2191-E2191)</f>
      </c>
      <c r="H2191" s="4"/>
      <c r="I2191" s="5"/>
    </row>
    <row r="2192" ht="21" customHeight="1">
      <c r="A2192" s="3">
        <v>46500</v>
      </c>
      <c r="B2192" t="inlineStr" s="4">
        <is>
          <t>星期五</t>
        </is>
      </c>
      <c r="C2192" t="inlineStr" s="4">
        <is>
          <t>餐饮</t>
        </is>
      </c>
      <c r="D2192" t="inlineStr" s="5">
        <is>
          <t>晚餐</t>
        </is>
      </c>
      <c r="E2192" s="6"/>
      <c r="F2192" s="6"/>
      <c r="G2192" s="6">
        <f>IF(AND(E2192="",F2192=""),"",F2192-E2192)</f>
      </c>
      <c r="H2192" s="4"/>
      <c r="I2192" s="5"/>
    </row>
    <row r="2193" ht="21" customHeight="1">
      <c r="A2193" s="3">
        <v>46500</v>
      </c>
      <c r="B2193" t="inlineStr" s="4">
        <is>
          <t>星期五</t>
        </is>
      </c>
      <c r="C2193" t="inlineStr" s="4">
        <is>
          <t>奶茶/咖啡</t>
        </is>
      </c>
      <c r="D2193" t="inlineStr" s="5">
        <is>
          <t>奶茶/咖啡</t>
        </is>
      </c>
      <c r="E2193" s="6"/>
      <c r="F2193" s="6"/>
      <c r="G2193" s="6">
        <f>IF(AND(E2193="",F2193=""),"",F2193-E2193)</f>
      </c>
      <c r="H2193" s="4"/>
      <c r="I2193" s="5"/>
    </row>
    <row r="2194" ht="21" customHeight="1">
      <c r="A2194" s="3">
        <v>46500</v>
      </c>
      <c r="B2194" t="inlineStr" s="4">
        <is>
          <t>星期五</t>
        </is>
      </c>
      <c r="C2194" t="inlineStr" s="4">
        <is>
          <t>其他</t>
        </is>
      </c>
      <c r="D2194" t="inlineStr" s="5">
        <is>
          <t>其他</t>
        </is>
      </c>
      <c r="E2194" s="6"/>
      <c r="F2194" s="6"/>
      <c r="G2194" s="6">
        <f>IF(AND(E2194="",F2194=""),"",F2194-E2194)</f>
      </c>
      <c r="H2194" s="4"/>
      <c r="I2194" s="5"/>
    </row>
    <row r="2195" ht="21" customHeight="1">
      <c r="A2195" s="3">
        <v>46500</v>
      </c>
      <c r="B2195" t="inlineStr" s="4">
        <is>
          <t>星期五</t>
        </is>
      </c>
      <c r="C2195" t="inlineStr" s="4">
        <is>
          <t>其他</t>
        </is>
      </c>
      <c r="D2195" t="inlineStr" s="5">
        <is>
          <t>其他</t>
        </is>
      </c>
      <c r="E2195" s="6"/>
      <c r="F2195" s="6"/>
      <c r="G2195" s="6">
        <f>IF(AND(E2195="",F2195=""),"",F2195-E2195)</f>
      </c>
      <c r="H2195" s="4"/>
      <c r="I2195" s="5"/>
    </row>
    <row r="2196" ht="21" customHeight="1">
      <c r="A2196" s="3">
        <v>46501</v>
      </c>
      <c r="B2196" t="inlineStr" s="4">
        <is>
          <t>星期六</t>
        </is>
      </c>
      <c r="C2196" t="inlineStr" s="4">
        <is>
          <t>餐饮</t>
        </is>
      </c>
      <c r="D2196" t="inlineStr" s="5">
        <is>
          <t>早餐</t>
        </is>
      </c>
      <c r="E2196" s="6"/>
      <c r="F2196" s="6"/>
      <c r="G2196" s="6">
        <f>IF(AND(E2196="",F2196=""),"",F2196-E2196)</f>
      </c>
      <c r="H2196" s="4"/>
      <c r="I2196" s="5"/>
    </row>
    <row r="2197" ht="21" customHeight="1">
      <c r="A2197" s="3">
        <v>46501</v>
      </c>
      <c r="B2197" t="inlineStr" s="4">
        <is>
          <t>星期六</t>
        </is>
      </c>
      <c r="C2197" t="inlineStr" s="4">
        <is>
          <t>餐饮</t>
        </is>
      </c>
      <c r="D2197" t="inlineStr" s="5">
        <is>
          <t>中餐</t>
        </is>
      </c>
      <c r="E2197" s="6"/>
      <c r="F2197" s="6"/>
      <c r="G2197" s="6">
        <f>IF(AND(E2197="",F2197=""),"",F2197-E2197)</f>
      </c>
      <c r="H2197" s="4"/>
      <c r="I2197" s="5"/>
    </row>
    <row r="2198" ht="21" customHeight="1">
      <c r="A2198" s="3">
        <v>46501</v>
      </c>
      <c r="B2198" t="inlineStr" s="4">
        <is>
          <t>星期六</t>
        </is>
      </c>
      <c r="C2198" t="inlineStr" s="4">
        <is>
          <t>餐饮</t>
        </is>
      </c>
      <c r="D2198" t="inlineStr" s="5">
        <is>
          <t>晚餐</t>
        </is>
      </c>
      <c r="E2198" s="6"/>
      <c r="F2198" s="6"/>
      <c r="G2198" s="6">
        <f>IF(AND(E2198="",F2198=""),"",F2198-E2198)</f>
      </c>
      <c r="H2198" s="4"/>
      <c r="I2198" s="5"/>
    </row>
    <row r="2199" ht="21" customHeight="1">
      <c r="A2199" s="3">
        <v>46501</v>
      </c>
      <c r="B2199" t="inlineStr" s="4">
        <is>
          <t>星期六</t>
        </is>
      </c>
      <c r="C2199" t="inlineStr" s="4">
        <is>
          <t>奶茶/咖啡</t>
        </is>
      </c>
      <c r="D2199" t="inlineStr" s="5">
        <is>
          <t>奶茶/咖啡</t>
        </is>
      </c>
      <c r="E2199" s="6"/>
      <c r="F2199" s="6"/>
      <c r="G2199" s="6">
        <f>IF(AND(E2199="",F2199=""),"",F2199-E2199)</f>
      </c>
      <c r="H2199" s="4"/>
      <c r="I2199" s="5"/>
    </row>
    <row r="2200" ht="21" customHeight="1">
      <c r="A2200" s="3">
        <v>46501</v>
      </c>
      <c r="B2200" t="inlineStr" s="4">
        <is>
          <t>星期六</t>
        </is>
      </c>
      <c r="C2200" t="inlineStr" s="4">
        <is>
          <t>其他</t>
        </is>
      </c>
      <c r="D2200" t="inlineStr" s="5">
        <is>
          <t>其他</t>
        </is>
      </c>
      <c r="E2200" s="6"/>
      <c r="F2200" s="6"/>
      <c r="G2200" s="6">
        <f>IF(AND(E2200="",F2200=""),"",F2200-E2200)</f>
      </c>
      <c r="H2200" s="4"/>
      <c r="I2200" s="5"/>
    </row>
    <row r="2201" ht="21" customHeight="1">
      <c r="A2201" s="3">
        <v>46501</v>
      </c>
      <c r="B2201" t="inlineStr" s="4">
        <is>
          <t>星期六</t>
        </is>
      </c>
      <c r="C2201" t="inlineStr" s="4">
        <is>
          <t>其他</t>
        </is>
      </c>
      <c r="D2201" t="inlineStr" s="5">
        <is>
          <t>其他</t>
        </is>
      </c>
      <c r="E2201" s="6"/>
      <c r="F2201" s="6"/>
      <c r="G2201" s="6">
        <f>IF(AND(E2201="",F2201=""),"",F2201-E2201)</f>
      </c>
      <c r="H2201" s="4"/>
      <c r="I2201" s="5"/>
    </row>
    <row r="2202" ht="21" customHeight="1">
      <c r="A2202" s="3">
        <v>46502</v>
      </c>
      <c r="B2202" t="inlineStr" s="4">
        <is>
          <t>星期日</t>
        </is>
      </c>
      <c r="C2202" t="inlineStr" s="4">
        <is>
          <t>餐饮</t>
        </is>
      </c>
      <c r="D2202" t="inlineStr" s="5">
        <is>
          <t>早餐</t>
        </is>
      </c>
      <c r="E2202" s="6"/>
      <c r="F2202" s="6"/>
      <c r="G2202" s="6">
        <f>IF(AND(E2202="",F2202=""),"",F2202-E2202)</f>
      </c>
      <c r="H2202" s="4"/>
      <c r="I2202" s="5"/>
    </row>
    <row r="2203" ht="21" customHeight="1">
      <c r="A2203" s="3">
        <v>46502</v>
      </c>
      <c r="B2203" t="inlineStr" s="4">
        <is>
          <t>星期日</t>
        </is>
      </c>
      <c r="C2203" t="inlineStr" s="4">
        <is>
          <t>餐饮</t>
        </is>
      </c>
      <c r="D2203" t="inlineStr" s="5">
        <is>
          <t>中餐</t>
        </is>
      </c>
      <c r="E2203" s="6"/>
      <c r="F2203" s="6"/>
      <c r="G2203" s="6">
        <f>IF(AND(E2203="",F2203=""),"",F2203-E2203)</f>
      </c>
      <c r="H2203" s="4"/>
      <c r="I2203" s="5"/>
    </row>
    <row r="2204" ht="21" customHeight="1">
      <c r="A2204" s="3">
        <v>46502</v>
      </c>
      <c r="B2204" t="inlineStr" s="4">
        <is>
          <t>星期日</t>
        </is>
      </c>
      <c r="C2204" t="inlineStr" s="4">
        <is>
          <t>餐饮</t>
        </is>
      </c>
      <c r="D2204" t="inlineStr" s="5">
        <is>
          <t>晚餐</t>
        </is>
      </c>
      <c r="E2204" s="6"/>
      <c r="F2204" s="6"/>
      <c r="G2204" s="6">
        <f>IF(AND(E2204="",F2204=""),"",F2204-E2204)</f>
      </c>
      <c r="H2204" s="4"/>
      <c r="I2204" s="5"/>
    </row>
    <row r="2205" ht="21" customHeight="1">
      <c r="A2205" s="3">
        <v>46502</v>
      </c>
      <c r="B2205" t="inlineStr" s="4">
        <is>
          <t>星期日</t>
        </is>
      </c>
      <c r="C2205" t="inlineStr" s="4">
        <is>
          <t>奶茶/咖啡</t>
        </is>
      </c>
      <c r="D2205" t="inlineStr" s="5">
        <is>
          <t>奶茶/咖啡</t>
        </is>
      </c>
      <c r="E2205" s="6"/>
      <c r="F2205" s="6"/>
      <c r="G2205" s="6">
        <f>IF(AND(E2205="",F2205=""),"",F2205-E2205)</f>
      </c>
      <c r="H2205" s="4"/>
      <c r="I2205" s="5"/>
    </row>
    <row r="2206" ht="21" customHeight="1">
      <c r="A2206" s="3">
        <v>46502</v>
      </c>
      <c r="B2206" t="inlineStr" s="4">
        <is>
          <t>星期日</t>
        </is>
      </c>
      <c r="C2206" t="inlineStr" s="4">
        <is>
          <t>其他</t>
        </is>
      </c>
      <c r="D2206" t="inlineStr" s="5">
        <is>
          <t>其他</t>
        </is>
      </c>
      <c r="E2206" s="6"/>
      <c r="F2206" s="6"/>
      <c r="G2206" s="6">
        <f>IF(AND(E2206="",F2206=""),"",F2206-E2206)</f>
      </c>
      <c r="H2206" s="4"/>
      <c r="I2206" s="5"/>
    </row>
    <row r="2207" ht="21" customHeight="1">
      <c r="A2207" s="3">
        <v>46502</v>
      </c>
      <c r="B2207" t="inlineStr" s="4">
        <is>
          <t>星期日</t>
        </is>
      </c>
      <c r="C2207" t="inlineStr" s="4">
        <is>
          <t>其他</t>
        </is>
      </c>
      <c r="D2207" t="inlineStr" s="5">
        <is>
          <t>其他</t>
        </is>
      </c>
      <c r="E2207" s="6"/>
      <c r="F2207" s="6"/>
      <c r="G2207" s="6">
        <f>IF(AND(E2207="",F2207=""),"",F2207-E2207)</f>
      </c>
      <c r="H2207" s="4"/>
      <c r="I2207" s="5"/>
    </row>
    <row r="2208" ht="23" customHeight="1">
      <c r="A2208" t="inlineStr" s="7">
        <is>
          <t>本周小计</t>
        </is>
      </c>
      <c r="B2208" s="7"/>
      <c r="C2208" s="7"/>
      <c r="D2208" s="7"/>
      <c r="E2208" s="8">
        <f>SUM(E2166:E2207)</f>
      </c>
      <c r="F2208" s="8">
        <f>SUM(F2166:F2207)</f>
      </c>
      <c r="G2208" s="8">
        <f>SUM(G2166:G2207)</f>
      </c>
      <c r="H2208" s="7"/>
      <c r="I2208" s="7"/>
    </row>
    <row r="2209" ht="18" customHeight="1">
      <c r="A2209" s="9"/>
      <c r="B2209" s="9"/>
      <c r="C2209" s="9"/>
      <c r="D2209" s="9"/>
      <c r="E2209" s="9"/>
      <c r="F2209" s="9"/>
      <c r="G2209" s="9"/>
      <c r="H2209" s="9"/>
      <c r="I2209" s="9"/>
    </row>
    <row r="2210" ht="18" customHeight="1">
      <c r="A2210" s="9"/>
      <c r="B2210" s="9"/>
      <c r="C2210" s="9"/>
      <c r="D2210" s="9"/>
      <c r="E2210" s="9"/>
      <c r="F2210" s="9"/>
      <c r="G2210" s="9"/>
      <c r="H2210" s="9"/>
      <c r="I2210" s="9"/>
    </row>
    <row r="2211" ht="26" customHeight="1">
      <c r="A2211" t="inlineStr" s="2">
        <is>
          <t>2027年4月-5月｜第四周（4月26日 - 5月2日）</t>
        </is>
      </c>
      <c r="B2211" s="2"/>
      <c r="C2211" s="2"/>
      <c r="D2211" s="2"/>
      <c r="E2211" s="2"/>
      <c r="F2211" s="2"/>
      <c r="G2211" s="2"/>
      <c r="H2211" s="2"/>
      <c r="I2211" s="2"/>
    </row>
    <row r="2212" ht="22" customHeight="1">
      <c r="A2212" t="inlineStr" s="1">
        <is>
          <t>日期</t>
        </is>
      </c>
      <c r="B2212" t="inlineStr" s="1">
        <is>
          <t>星期</t>
        </is>
      </c>
      <c r="C2212" t="inlineStr" s="1">
        <is>
          <t>分类</t>
        </is>
      </c>
      <c r="D2212" t="inlineStr" s="1">
        <is>
          <t>事项</t>
        </is>
      </c>
      <c r="E2212" t="inlineStr" s="1">
        <is>
          <t>支出金额</t>
        </is>
      </c>
      <c r="F2212" t="inlineStr" s="1">
        <is>
          <t>收入金额</t>
        </is>
      </c>
      <c r="G2212" t="inlineStr" s="1">
        <is>
          <t>当笔净额</t>
        </is>
      </c>
      <c r="H2212" t="inlineStr" s="1">
        <is>
          <t>支付方式</t>
        </is>
      </c>
      <c r="I2212" t="inlineStr" s="1">
        <is>
          <t>备注</t>
        </is>
      </c>
    </row>
    <row r="2213" ht="21" customHeight="1">
      <c r="A2213" s="3">
        <v>46503</v>
      </c>
      <c r="B2213" t="inlineStr" s="4">
        <is>
          <t>星期一</t>
        </is>
      </c>
      <c r="C2213" t="inlineStr" s="4">
        <is>
          <t>餐饮</t>
        </is>
      </c>
      <c r="D2213" t="inlineStr" s="5">
        <is>
          <t>早餐</t>
        </is>
      </c>
      <c r="E2213" s="6"/>
      <c r="F2213" s="6"/>
      <c r="G2213" s="6">
        <f>IF(AND(E2213="",F2213=""),"",F2213-E2213)</f>
      </c>
      <c r="H2213" s="4"/>
      <c r="I2213" s="5"/>
    </row>
    <row r="2214" ht="21" customHeight="1">
      <c r="A2214" s="3">
        <v>46503</v>
      </c>
      <c r="B2214" t="inlineStr" s="4">
        <is>
          <t>星期一</t>
        </is>
      </c>
      <c r="C2214" t="inlineStr" s="4">
        <is>
          <t>餐饮</t>
        </is>
      </c>
      <c r="D2214" t="inlineStr" s="5">
        <is>
          <t>中餐</t>
        </is>
      </c>
      <c r="E2214" s="6"/>
      <c r="F2214" s="6"/>
      <c r="G2214" s="6">
        <f>IF(AND(E2214="",F2214=""),"",F2214-E2214)</f>
      </c>
      <c r="H2214" s="4"/>
      <c r="I2214" s="5"/>
    </row>
    <row r="2215" ht="21" customHeight="1">
      <c r="A2215" s="3">
        <v>46503</v>
      </c>
      <c r="B2215" t="inlineStr" s="4">
        <is>
          <t>星期一</t>
        </is>
      </c>
      <c r="C2215" t="inlineStr" s="4">
        <is>
          <t>餐饮</t>
        </is>
      </c>
      <c r="D2215" t="inlineStr" s="5">
        <is>
          <t>晚餐</t>
        </is>
      </c>
      <c r="E2215" s="6"/>
      <c r="F2215" s="6"/>
      <c r="G2215" s="6">
        <f>IF(AND(E2215="",F2215=""),"",F2215-E2215)</f>
      </c>
      <c r="H2215" s="4"/>
      <c r="I2215" s="5"/>
    </row>
    <row r="2216" ht="21" customHeight="1">
      <c r="A2216" s="3">
        <v>46503</v>
      </c>
      <c r="B2216" t="inlineStr" s="4">
        <is>
          <t>星期一</t>
        </is>
      </c>
      <c r="C2216" t="inlineStr" s="4">
        <is>
          <t>奶茶/咖啡</t>
        </is>
      </c>
      <c r="D2216" t="inlineStr" s="5">
        <is>
          <t>奶茶/咖啡</t>
        </is>
      </c>
      <c r="E2216" s="6"/>
      <c r="F2216" s="6"/>
      <c r="G2216" s="6">
        <f>IF(AND(E2216="",F2216=""),"",F2216-E2216)</f>
      </c>
      <c r="H2216" s="4"/>
      <c r="I2216" s="5"/>
    </row>
    <row r="2217" ht="21" customHeight="1">
      <c r="A2217" s="3">
        <v>46503</v>
      </c>
      <c r="B2217" t="inlineStr" s="4">
        <is>
          <t>星期一</t>
        </is>
      </c>
      <c r="C2217" t="inlineStr" s="4">
        <is>
          <t>其他</t>
        </is>
      </c>
      <c r="D2217" t="inlineStr" s="5">
        <is>
          <t>其他</t>
        </is>
      </c>
      <c r="E2217" s="6"/>
      <c r="F2217" s="6"/>
      <c r="G2217" s="6">
        <f>IF(AND(E2217="",F2217=""),"",F2217-E2217)</f>
      </c>
      <c r="H2217" s="4"/>
      <c r="I2217" s="5"/>
    </row>
    <row r="2218" ht="21" customHeight="1">
      <c r="A2218" s="3">
        <v>46503</v>
      </c>
      <c r="B2218" t="inlineStr" s="4">
        <is>
          <t>星期一</t>
        </is>
      </c>
      <c r="C2218" t="inlineStr" s="4">
        <is>
          <t>其他</t>
        </is>
      </c>
      <c r="D2218" t="inlineStr" s="5">
        <is>
          <t>其他</t>
        </is>
      </c>
      <c r="E2218" s="6"/>
      <c r="F2218" s="6"/>
      <c r="G2218" s="6">
        <f>IF(AND(E2218="",F2218=""),"",F2218-E2218)</f>
      </c>
      <c r="H2218" s="4"/>
      <c r="I2218" s="5"/>
    </row>
    <row r="2219" ht="21" customHeight="1">
      <c r="A2219" s="3">
        <v>46504</v>
      </c>
      <c r="B2219" t="inlineStr" s="4">
        <is>
          <t>星期二</t>
        </is>
      </c>
      <c r="C2219" t="inlineStr" s="4">
        <is>
          <t>餐饮</t>
        </is>
      </c>
      <c r="D2219" t="inlineStr" s="5">
        <is>
          <t>早餐</t>
        </is>
      </c>
      <c r="E2219" s="6"/>
      <c r="F2219" s="6"/>
      <c r="G2219" s="6">
        <f>IF(AND(E2219="",F2219=""),"",F2219-E2219)</f>
      </c>
      <c r="H2219" s="4"/>
      <c r="I2219" s="5"/>
    </row>
    <row r="2220" ht="21" customHeight="1">
      <c r="A2220" s="3">
        <v>46504</v>
      </c>
      <c r="B2220" t="inlineStr" s="4">
        <is>
          <t>星期二</t>
        </is>
      </c>
      <c r="C2220" t="inlineStr" s="4">
        <is>
          <t>餐饮</t>
        </is>
      </c>
      <c r="D2220" t="inlineStr" s="5">
        <is>
          <t>中餐</t>
        </is>
      </c>
      <c r="E2220" s="6"/>
      <c r="F2220" s="6"/>
      <c r="G2220" s="6">
        <f>IF(AND(E2220="",F2220=""),"",F2220-E2220)</f>
      </c>
      <c r="H2220" s="4"/>
      <c r="I2220" s="5"/>
    </row>
    <row r="2221" ht="21" customHeight="1">
      <c r="A2221" s="3">
        <v>46504</v>
      </c>
      <c r="B2221" t="inlineStr" s="4">
        <is>
          <t>星期二</t>
        </is>
      </c>
      <c r="C2221" t="inlineStr" s="4">
        <is>
          <t>餐饮</t>
        </is>
      </c>
      <c r="D2221" t="inlineStr" s="5">
        <is>
          <t>晚餐</t>
        </is>
      </c>
      <c r="E2221" s="6"/>
      <c r="F2221" s="6"/>
      <c r="G2221" s="6">
        <f>IF(AND(E2221="",F2221=""),"",F2221-E2221)</f>
      </c>
      <c r="H2221" s="4"/>
      <c r="I2221" s="5"/>
    </row>
    <row r="2222" ht="21" customHeight="1">
      <c r="A2222" s="3">
        <v>46504</v>
      </c>
      <c r="B2222" t="inlineStr" s="4">
        <is>
          <t>星期二</t>
        </is>
      </c>
      <c r="C2222" t="inlineStr" s="4">
        <is>
          <t>奶茶/咖啡</t>
        </is>
      </c>
      <c r="D2222" t="inlineStr" s="5">
        <is>
          <t>奶茶/咖啡</t>
        </is>
      </c>
      <c r="E2222" s="6"/>
      <c r="F2222" s="6"/>
      <c r="G2222" s="6">
        <f>IF(AND(E2222="",F2222=""),"",F2222-E2222)</f>
      </c>
      <c r="H2222" s="4"/>
      <c r="I2222" s="5"/>
    </row>
    <row r="2223" ht="21" customHeight="1">
      <c r="A2223" s="3">
        <v>46504</v>
      </c>
      <c r="B2223" t="inlineStr" s="4">
        <is>
          <t>星期二</t>
        </is>
      </c>
      <c r="C2223" t="inlineStr" s="4">
        <is>
          <t>其他</t>
        </is>
      </c>
      <c r="D2223" t="inlineStr" s="5">
        <is>
          <t>其他</t>
        </is>
      </c>
      <c r="E2223" s="6"/>
      <c r="F2223" s="6"/>
      <c r="G2223" s="6">
        <f>IF(AND(E2223="",F2223=""),"",F2223-E2223)</f>
      </c>
      <c r="H2223" s="4"/>
      <c r="I2223" s="5"/>
    </row>
    <row r="2224" ht="21" customHeight="1">
      <c r="A2224" s="3">
        <v>46504</v>
      </c>
      <c r="B2224" t="inlineStr" s="4">
        <is>
          <t>星期二</t>
        </is>
      </c>
      <c r="C2224" t="inlineStr" s="4">
        <is>
          <t>其他</t>
        </is>
      </c>
      <c r="D2224" t="inlineStr" s="5">
        <is>
          <t>其他</t>
        </is>
      </c>
      <c r="E2224" s="6"/>
      <c r="F2224" s="6"/>
      <c r="G2224" s="6">
        <f>IF(AND(E2224="",F2224=""),"",F2224-E2224)</f>
      </c>
      <c r="H2224" s="4"/>
      <c r="I2224" s="5"/>
    </row>
    <row r="2225" ht="21" customHeight="1">
      <c r="A2225" s="3">
        <v>46505</v>
      </c>
      <c r="B2225" t="inlineStr" s="4">
        <is>
          <t>星期三</t>
        </is>
      </c>
      <c r="C2225" t="inlineStr" s="4">
        <is>
          <t>餐饮</t>
        </is>
      </c>
      <c r="D2225" t="inlineStr" s="5">
        <is>
          <t>早餐</t>
        </is>
      </c>
      <c r="E2225" s="6"/>
      <c r="F2225" s="6"/>
      <c r="G2225" s="6">
        <f>IF(AND(E2225="",F2225=""),"",F2225-E2225)</f>
      </c>
      <c r="H2225" s="4"/>
      <c r="I2225" s="5"/>
    </row>
    <row r="2226" ht="21" customHeight="1">
      <c r="A2226" s="3">
        <v>46505</v>
      </c>
      <c r="B2226" t="inlineStr" s="4">
        <is>
          <t>星期三</t>
        </is>
      </c>
      <c r="C2226" t="inlineStr" s="4">
        <is>
          <t>餐饮</t>
        </is>
      </c>
      <c r="D2226" t="inlineStr" s="5">
        <is>
          <t>中餐</t>
        </is>
      </c>
      <c r="E2226" s="6"/>
      <c r="F2226" s="6"/>
      <c r="G2226" s="6">
        <f>IF(AND(E2226="",F2226=""),"",F2226-E2226)</f>
      </c>
      <c r="H2226" s="4"/>
      <c r="I2226" s="5"/>
    </row>
    <row r="2227" ht="21" customHeight="1">
      <c r="A2227" s="3">
        <v>46505</v>
      </c>
      <c r="B2227" t="inlineStr" s="4">
        <is>
          <t>星期三</t>
        </is>
      </c>
      <c r="C2227" t="inlineStr" s="4">
        <is>
          <t>餐饮</t>
        </is>
      </c>
      <c r="D2227" t="inlineStr" s="5">
        <is>
          <t>晚餐</t>
        </is>
      </c>
      <c r="E2227" s="6"/>
      <c r="F2227" s="6"/>
      <c r="G2227" s="6">
        <f>IF(AND(E2227="",F2227=""),"",F2227-E2227)</f>
      </c>
      <c r="H2227" s="4"/>
      <c r="I2227" s="5"/>
    </row>
    <row r="2228" ht="21" customHeight="1">
      <c r="A2228" s="3">
        <v>46505</v>
      </c>
      <c r="B2228" t="inlineStr" s="4">
        <is>
          <t>星期三</t>
        </is>
      </c>
      <c r="C2228" t="inlineStr" s="4">
        <is>
          <t>奶茶/咖啡</t>
        </is>
      </c>
      <c r="D2228" t="inlineStr" s="5">
        <is>
          <t>奶茶/咖啡</t>
        </is>
      </c>
      <c r="E2228" s="6"/>
      <c r="F2228" s="6"/>
      <c r="G2228" s="6">
        <f>IF(AND(E2228="",F2228=""),"",F2228-E2228)</f>
      </c>
      <c r="H2228" s="4"/>
      <c r="I2228" s="5"/>
    </row>
    <row r="2229" ht="21" customHeight="1">
      <c r="A2229" s="3">
        <v>46505</v>
      </c>
      <c r="B2229" t="inlineStr" s="4">
        <is>
          <t>星期三</t>
        </is>
      </c>
      <c r="C2229" t="inlineStr" s="4">
        <is>
          <t>其他</t>
        </is>
      </c>
      <c r="D2229" t="inlineStr" s="5">
        <is>
          <t>其他</t>
        </is>
      </c>
      <c r="E2229" s="6"/>
      <c r="F2229" s="6"/>
      <c r="G2229" s="6">
        <f>IF(AND(E2229="",F2229=""),"",F2229-E2229)</f>
      </c>
      <c r="H2229" s="4"/>
      <c r="I2229" s="5"/>
    </row>
    <row r="2230" ht="21" customHeight="1">
      <c r="A2230" s="3">
        <v>46505</v>
      </c>
      <c r="B2230" t="inlineStr" s="4">
        <is>
          <t>星期三</t>
        </is>
      </c>
      <c r="C2230" t="inlineStr" s="4">
        <is>
          <t>其他</t>
        </is>
      </c>
      <c r="D2230" t="inlineStr" s="5">
        <is>
          <t>其他</t>
        </is>
      </c>
      <c r="E2230" s="6"/>
      <c r="F2230" s="6"/>
      <c r="G2230" s="6">
        <f>IF(AND(E2230="",F2230=""),"",F2230-E2230)</f>
      </c>
      <c r="H2230" s="4"/>
      <c r="I2230" s="5"/>
    </row>
    <row r="2231" ht="21" customHeight="1">
      <c r="A2231" s="3">
        <v>46506</v>
      </c>
      <c r="B2231" t="inlineStr" s="4">
        <is>
          <t>星期四</t>
        </is>
      </c>
      <c r="C2231" t="inlineStr" s="4">
        <is>
          <t>餐饮</t>
        </is>
      </c>
      <c r="D2231" t="inlineStr" s="5">
        <is>
          <t>早餐</t>
        </is>
      </c>
      <c r="E2231" s="6"/>
      <c r="F2231" s="6"/>
      <c r="G2231" s="6">
        <f>IF(AND(E2231="",F2231=""),"",F2231-E2231)</f>
      </c>
      <c r="H2231" s="4"/>
      <c r="I2231" s="5"/>
    </row>
    <row r="2232" ht="21" customHeight="1">
      <c r="A2232" s="3">
        <v>46506</v>
      </c>
      <c r="B2232" t="inlineStr" s="4">
        <is>
          <t>星期四</t>
        </is>
      </c>
      <c r="C2232" t="inlineStr" s="4">
        <is>
          <t>餐饮</t>
        </is>
      </c>
      <c r="D2232" t="inlineStr" s="5">
        <is>
          <t>中餐</t>
        </is>
      </c>
      <c r="E2232" s="6"/>
      <c r="F2232" s="6"/>
      <c r="G2232" s="6">
        <f>IF(AND(E2232="",F2232=""),"",F2232-E2232)</f>
      </c>
      <c r="H2232" s="4"/>
      <c r="I2232" s="5"/>
    </row>
    <row r="2233" ht="21" customHeight="1">
      <c r="A2233" s="3">
        <v>46506</v>
      </c>
      <c r="B2233" t="inlineStr" s="4">
        <is>
          <t>星期四</t>
        </is>
      </c>
      <c r="C2233" t="inlineStr" s="4">
        <is>
          <t>餐饮</t>
        </is>
      </c>
      <c r="D2233" t="inlineStr" s="5">
        <is>
          <t>晚餐</t>
        </is>
      </c>
      <c r="E2233" s="6"/>
      <c r="F2233" s="6"/>
      <c r="G2233" s="6">
        <f>IF(AND(E2233="",F2233=""),"",F2233-E2233)</f>
      </c>
      <c r="H2233" s="4"/>
      <c r="I2233" s="5"/>
    </row>
    <row r="2234" ht="21" customHeight="1">
      <c r="A2234" s="3">
        <v>46506</v>
      </c>
      <c r="B2234" t="inlineStr" s="4">
        <is>
          <t>星期四</t>
        </is>
      </c>
      <c r="C2234" t="inlineStr" s="4">
        <is>
          <t>奶茶/咖啡</t>
        </is>
      </c>
      <c r="D2234" t="inlineStr" s="5">
        <is>
          <t>奶茶/咖啡</t>
        </is>
      </c>
      <c r="E2234" s="6"/>
      <c r="F2234" s="6"/>
      <c r="G2234" s="6">
        <f>IF(AND(E2234="",F2234=""),"",F2234-E2234)</f>
      </c>
      <c r="H2234" s="4"/>
      <c r="I2234" s="5"/>
    </row>
    <row r="2235" ht="21" customHeight="1">
      <c r="A2235" s="3">
        <v>46506</v>
      </c>
      <c r="B2235" t="inlineStr" s="4">
        <is>
          <t>星期四</t>
        </is>
      </c>
      <c r="C2235" t="inlineStr" s="4">
        <is>
          <t>其他</t>
        </is>
      </c>
      <c r="D2235" t="inlineStr" s="5">
        <is>
          <t>其他</t>
        </is>
      </c>
      <c r="E2235" s="6"/>
      <c r="F2235" s="6"/>
      <c r="G2235" s="6">
        <f>IF(AND(E2235="",F2235=""),"",F2235-E2235)</f>
      </c>
      <c r="H2235" s="4"/>
      <c r="I2235" s="5"/>
    </row>
    <row r="2236" ht="21" customHeight="1">
      <c r="A2236" s="3">
        <v>46506</v>
      </c>
      <c r="B2236" t="inlineStr" s="4">
        <is>
          <t>星期四</t>
        </is>
      </c>
      <c r="C2236" t="inlineStr" s="4">
        <is>
          <t>其他</t>
        </is>
      </c>
      <c r="D2236" t="inlineStr" s="5">
        <is>
          <t>其他</t>
        </is>
      </c>
      <c r="E2236" s="6"/>
      <c r="F2236" s="6"/>
      <c r="G2236" s="6">
        <f>IF(AND(E2236="",F2236=""),"",F2236-E2236)</f>
      </c>
      <c r="H2236" s="4"/>
      <c r="I2236" s="5"/>
    </row>
    <row r="2237" ht="21" customHeight="1">
      <c r="A2237" s="3">
        <v>46507</v>
      </c>
      <c r="B2237" t="inlineStr" s="4">
        <is>
          <t>星期五</t>
        </is>
      </c>
      <c r="C2237" t="inlineStr" s="4">
        <is>
          <t>餐饮</t>
        </is>
      </c>
      <c r="D2237" t="inlineStr" s="5">
        <is>
          <t>早餐</t>
        </is>
      </c>
      <c r="E2237" s="6"/>
      <c r="F2237" s="6"/>
      <c r="G2237" s="6">
        <f>IF(AND(E2237="",F2237=""),"",F2237-E2237)</f>
      </c>
      <c r="H2237" s="4"/>
      <c r="I2237" s="5"/>
    </row>
    <row r="2238" ht="21" customHeight="1">
      <c r="A2238" s="3">
        <v>46507</v>
      </c>
      <c r="B2238" t="inlineStr" s="4">
        <is>
          <t>星期五</t>
        </is>
      </c>
      <c r="C2238" t="inlineStr" s="4">
        <is>
          <t>餐饮</t>
        </is>
      </c>
      <c r="D2238" t="inlineStr" s="5">
        <is>
          <t>中餐</t>
        </is>
      </c>
      <c r="E2238" s="6"/>
      <c r="F2238" s="6"/>
      <c r="G2238" s="6">
        <f>IF(AND(E2238="",F2238=""),"",F2238-E2238)</f>
      </c>
      <c r="H2238" s="4"/>
      <c r="I2238" s="5"/>
    </row>
    <row r="2239" ht="21" customHeight="1">
      <c r="A2239" s="3">
        <v>46507</v>
      </c>
      <c r="B2239" t="inlineStr" s="4">
        <is>
          <t>星期五</t>
        </is>
      </c>
      <c r="C2239" t="inlineStr" s="4">
        <is>
          <t>餐饮</t>
        </is>
      </c>
      <c r="D2239" t="inlineStr" s="5">
        <is>
          <t>晚餐</t>
        </is>
      </c>
      <c r="E2239" s="6"/>
      <c r="F2239" s="6"/>
      <c r="G2239" s="6">
        <f>IF(AND(E2239="",F2239=""),"",F2239-E2239)</f>
      </c>
      <c r="H2239" s="4"/>
      <c r="I2239" s="5"/>
    </row>
    <row r="2240" ht="21" customHeight="1">
      <c r="A2240" s="3">
        <v>46507</v>
      </c>
      <c r="B2240" t="inlineStr" s="4">
        <is>
          <t>星期五</t>
        </is>
      </c>
      <c r="C2240" t="inlineStr" s="4">
        <is>
          <t>奶茶/咖啡</t>
        </is>
      </c>
      <c r="D2240" t="inlineStr" s="5">
        <is>
          <t>奶茶/咖啡</t>
        </is>
      </c>
      <c r="E2240" s="6"/>
      <c r="F2240" s="6"/>
      <c r="G2240" s="6">
        <f>IF(AND(E2240="",F2240=""),"",F2240-E2240)</f>
      </c>
      <c r="H2240" s="4"/>
      <c r="I2240" s="5"/>
    </row>
    <row r="2241" ht="21" customHeight="1">
      <c r="A2241" s="3">
        <v>46507</v>
      </c>
      <c r="B2241" t="inlineStr" s="4">
        <is>
          <t>星期五</t>
        </is>
      </c>
      <c r="C2241" t="inlineStr" s="4">
        <is>
          <t>其他</t>
        </is>
      </c>
      <c r="D2241" t="inlineStr" s="5">
        <is>
          <t>其他</t>
        </is>
      </c>
      <c r="E2241" s="6"/>
      <c r="F2241" s="6"/>
      <c r="G2241" s="6">
        <f>IF(AND(E2241="",F2241=""),"",F2241-E2241)</f>
      </c>
      <c r="H2241" s="4"/>
      <c r="I2241" s="5"/>
    </row>
    <row r="2242" ht="21" customHeight="1">
      <c r="A2242" s="3">
        <v>46507</v>
      </c>
      <c r="B2242" t="inlineStr" s="4">
        <is>
          <t>星期五</t>
        </is>
      </c>
      <c r="C2242" t="inlineStr" s="4">
        <is>
          <t>其他</t>
        </is>
      </c>
      <c r="D2242" t="inlineStr" s="5">
        <is>
          <t>其他</t>
        </is>
      </c>
      <c r="E2242" s="6"/>
      <c r="F2242" s="6"/>
      <c r="G2242" s="6">
        <f>IF(AND(E2242="",F2242=""),"",F2242-E2242)</f>
      </c>
      <c r="H2242" s="4"/>
      <c r="I2242" s="5"/>
    </row>
    <row r="2243" ht="21" customHeight="1">
      <c r="A2243" s="3">
        <v>46508</v>
      </c>
      <c r="B2243" t="inlineStr" s="4">
        <is>
          <t>星期六</t>
        </is>
      </c>
      <c r="C2243" t="inlineStr" s="4">
        <is>
          <t>餐饮</t>
        </is>
      </c>
      <c r="D2243" t="inlineStr" s="5">
        <is>
          <t>早餐</t>
        </is>
      </c>
      <c r="E2243" s="6"/>
      <c r="F2243" s="6"/>
      <c r="G2243" s="6">
        <f>IF(AND(E2243="",F2243=""),"",F2243-E2243)</f>
      </c>
      <c r="H2243" s="4"/>
      <c r="I2243" s="5"/>
    </row>
    <row r="2244" ht="21" customHeight="1">
      <c r="A2244" s="3">
        <v>46508</v>
      </c>
      <c r="B2244" t="inlineStr" s="4">
        <is>
          <t>星期六</t>
        </is>
      </c>
      <c r="C2244" t="inlineStr" s="4">
        <is>
          <t>餐饮</t>
        </is>
      </c>
      <c r="D2244" t="inlineStr" s="5">
        <is>
          <t>中餐</t>
        </is>
      </c>
      <c r="E2244" s="6"/>
      <c r="F2244" s="6"/>
      <c r="G2244" s="6">
        <f>IF(AND(E2244="",F2244=""),"",F2244-E2244)</f>
      </c>
      <c r="H2244" s="4"/>
      <c r="I2244" s="5"/>
    </row>
    <row r="2245" ht="21" customHeight="1">
      <c r="A2245" s="3">
        <v>46508</v>
      </c>
      <c r="B2245" t="inlineStr" s="4">
        <is>
          <t>星期六</t>
        </is>
      </c>
      <c r="C2245" t="inlineStr" s="4">
        <is>
          <t>餐饮</t>
        </is>
      </c>
      <c r="D2245" t="inlineStr" s="5">
        <is>
          <t>晚餐</t>
        </is>
      </c>
      <c r="E2245" s="6"/>
      <c r="F2245" s="6"/>
      <c r="G2245" s="6">
        <f>IF(AND(E2245="",F2245=""),"",F2245-E2245)</f>
      </c>
      <c r="H2245" s="4"/>
      <c r="I2245" s="5"/>
    </row>
    <row r="2246" ht="21" customHeight="1">
      <c r="A2246" s="3">
        <v>46508</v>
      </c>
      <c r="B2246" t="inlineStr" s="4">
        <is>
          <t>星期六</t>
        </is>
      </c>
      <c r="C2246" t="inlineStr" s="4">
        <is>
          <t>奶茶/咖啡</t>
        </is>
      </c>
      <c r="D2246" t="inlineStr" s="5">
        <is>
          <t>奶茶/咖啡</t>
        </is>
      </c>
      <c r="E2246" s="6"/>
      <c r="F2246" s="6"/>
      <c r="G2246" s="6">
        <f>IF(AND(E2246="",F2246=""),"",F2246-E2246)</f>
      </c>
      <c r="H2246" s="4"/>
      <c r="I2246" s="5"/>
    </row>
    <row r="2247" ht="21" customHeight="1">
      <c r="A2247" s="3">
        <v>46508</v>
      </c>
      <c r="B2247" t="inlineStr" s="4">
        <is>
          <t>星期六</t>
        </is>
      </c>
      <c r="C2247" t="inlineStr" s="4">
        <is>
          <t>其他</t>
        </is>
      </c>
      <c r="D2247" t="inlineStr" s="5">
        <is>
          <t>其他</t>
        </is>
      </c>
      <c r="E2247" s="6"/>
      <c r="F2247" s="6"/>
      <c r="G2247" s="6">
        <f>IF(AND(E2247="",F2247=""),"",F2247-E2247)</f>
      </c>
      <c r="H2247" s="4"/>
      <c r="I2247" s="5"/>
    </row>
    <row r="2248" ht="21" customHeight="1">
      <c r="A2248" s="3">
        <v>46508</v>
      </c>
      <c r="B2248" t="inlineStr" s="4">
        <is>
          <t>星期六</t>
        </is>
      </c>
      <c r="C2248" t="inlineStr" s="4">
        <is>
          <t>其他</t>
        </is>
      </c>
      <c r="D2248" t="inlineStr" s="5">
        <is>
          <t>其他</t>
        </is>
      </c>
      <c r="E2248" s="6"/>
      <c r="F2248" s="6"/>
      <c r="G2248" s="6">
        <f>IF(AND(E2248="",F2248=""),"",F2248-E2248)</f>
      </c>
      <c r="H2248" s="4"/>
      <c r="I2248" s="5"/>
    </row>
    <row r="2249" ht="21" customHeight="1">
      <c r="A2249" s="3">
        <v>46509</v>
      </c>
      <c r="B2249" t="inlineStr" s="4">
        <is>
          <t>星期日</t>
        </is>
      </c>
      <c r="C2249" t="inlineStr" s="4">
        <is>
          <t>餐饮</t>
        </is>
      </c>
      <c r="D2249" t="inlineStr" s="5">
        <is>
          <t>早餐</t>
        </is>
      </c>
      <c r="E2249" s="6"/>
      <c r="F2249" s="6"/>
      <c r="G2249" s="6">
        <f>IF(AND(E2249="",F2249=""),"",F2249-E2249)</f>
      </c>
      <c r="H2249" s="4"/>
      <c r="I2249" s="5"/>
    </row>
    <row r="2250" ht="21" customHeight="1">
      <c r="A2250" s="3">
        <v>46509</v>
      </c>
      <c r="B2250" t="inlineStr" s="4">
        <is>
          <t>星期日</t>
        </is>
      </c>
      <c r="C2250" t="inlineStr" s="4">
        <is>
          <t>餐饮</t>
        </is>
      </c>
      <c r="D2250" t="inlineStr" s="5">
        <is>
          <t>中餐</t>
        </is>
      </c>
      <c r="E2250" s="6"/>
      <c r="F2250" s="6"/>
      <c r="G2250" s="6">
        <f>IF(AND(E2250="",F2250=""),"",F2250-E2250)</f>
      </c>
      <c r="H2250" s="4"/>
      <c r="I2250" s="5"/>
    </row>
    <row r="2251" ht="21" customHeight="1">
      <c r="A2251" s="3">
        <v>46509</v>
      </c>
      <c r="B2251" t="inlineStr" s="4">
        <is>
          <t>星期日</t>
        </is>
      </c>
      <c r="C2251" t="inlineStr" s="4">
        <is>
          <t>餐饮</t>
        </is>
      </c>
      <c r="D2251" t="inlineStr" s="5">
        <is>
          <t>晚餐</t>
        </is>
      </c>
      <c r="E2251" s="6"/>
      <c r="F2251" s="6"/>
      <c r="G2251" s="6">
        <f>IF(AND(E2251="",F2251=""),"",F2251-E2251)</f>
      </c>
      <c r="H2251" s="4"/>
      <c r="I2251" s="5"/>
    </row>
    <row r="2252" ht="21" customHeight="1">
      <c r="A2252" s="3">
        <v>46509</v>
      </c>
      <c r="B2252" t="inlineStr" s="4">
        <is>
          <t>星期日</t>
        </is>
      </c>
      <c r="C2252" t="inlineStr" s="4">
        <is>
          <t>奶茶/咖啡</t>
        </is>
      </c>
      <c r="D2252" t="inlineStr" s="5">
        <is>
          <t>奶茶/咖啡</t>
        </is>
      </c>
      <c r="E2252" s="6"/>
      <c r="F2252" s="6"/>
      <c r="G2252" s="6">
        <f>IF(AND(E2252="",F2252=""),"",F2252-E2252)</f>
      </c>
      <c r="H2252" s="4"/>
      <c r="I2252" s="5"/>
    </row>
    <row r="2253" ht="21" customHeight="1">
      <c r="A2253" s="3">
        <v>46509</v>
      </c>
      <c r="B2253" t="inlineStr" s="4">
        <is>
          <t>星期日</t>
        </is>
      </c>
      <c r="C2253" t="inlineStr" s="4">
        <is>
          <t>其他</t>
        </is>
      </c>
      <c r="D2253" t="inlineStr" s="5">
        <is>
          <t>其他</t>
        </is>
      </c>
      <c r="E2253" s="6"/>
      <c r="F2253" s="6"/>
      <c r="G2253" s="6">
        <f>IF(AND(E2253="",F2253=""),"",F2253-E2253)</f>
      </c>
      <c r="H2253" s="4"/>
      <c r="I2253" s="5"/>
    </row>
    <row r="2254" ht="21" customHeight="1">
      <c r="A2254" s="3">
        <v>46509</v>
      </c>
      <c r="B2254" t="inlineStr" s="4">
        <is>
          <t>星期日</t>
        </is>
      </c>
      <c r="C2254" t="inlineStr" s="4">
        <is>
          <t>其他</t>
        </is>
      </c>
      <c r="D2254" t="inlineStr" s="5">
        <is>
          <t>其他</t>
        </is>
      </c>
      <c r="E2254" s="6"/>
      <c r="F2254" s="6"/>
      <c r="G2254" s="6">
        <f>IF(AND(E2254="",F2254=""),"",F2254-E2254)</f>
      </c>
      <c r="H2254" s="4"/>
      <c r="I2254" s="5"/>
    </row>
    <row r="2255" ht="23" customHeight="1">
      <c r="A2255" t="inlineStr" s="7">
        <is>
          <t>本周小计</t>
        </is>
      </c>
      <c r="B2255" s="7"/>
      <c r="C2255" s="7"/>
      <c r="D2255" s="7"/>
      <c r="E2255" s="8">
        <f>SUM(E2213:E2254)</f>
      </c>
      <c r="F2255" s="8">
        <f>SUM(F2213:F2254)</f>
      </c>
      <c r="G2255" s="8">
        <f>SUM(G2213:G2254)</f>
      </c>
      <c r="H2255" s="7"/>
      <c r="I2255" s="7"/>
    </row>
    <row r="2256" ht="18" customHeight="1">
      <c r="A2256" s="9"/>
      <c r="B2256" s="9"/>
      <c r="C2256" s="9"/>
      <c r="D2256" s="9"/>
      <c r="E2256" s="9"/>
      <c r="F2256" s="9"/>
      <c r="G2256" s="9"/>
      <c r="H2256" s="9"/>
      <c r="I2256" s="9"/>
    </row>
    <row r="2257" ht="18" customHeight="1">
      <c r="A2257" s="9"/>
      <c r="B2257" s="9"/>
      <c r="C2257" s="9"/>
      <c r="D2257" s="9"/>
      <c r="E2257" s="9"/>
      <c r="F2257" s="9"/>
      <c r="G2257" s="9"/>
      <c r="H2257" s="9"/>
      <c r="I2257" s="9"/>
    </row>
    <row r="2258" ht="26" customHeight="1">
      <c r="A2258" t="inlineStr" s="2">
        <is>
          <t>2027年5月｜第一周（5月3日 - 5月9日）</t>
        </is>
      </c>
      <c r="B2258" s="2"/>
      <c r="C2258" s="2"/>
      <c r="D2258" s="2"/>
      <c r="E2258" s="2"/>
      <c r="F2258" s="2"/>
      <c r="G2258" s="2"/>
      <c r="H2258" s="2"/>
      <c r="I2258" s="2"/>
    </row>
    <row r="2259" ht="22" customHeight="1">
      <c r="A2259" t="inlineStr" s="1">
        <is>
          <t>日期</t>
        </is>
      </c>
      <c r="B2259" t="inlineStr" s="1">
        <is>
          <t>星期</t>
        </is>
      </c>
      <c r="C2259" t="inlineStr" s="1">
        <is>
          <t>分类</t>
        </is>
      </c>
      <c r="D2259" t="inlineStr" s="1">
        <is>
          <t>事项</t>
        </is>
      </c>
      <c r="E2259" t="inlineStr" s="1">
        <is>
          <t>支出金额</t>
        </is>
      </c>
      <c r="F2259" t="inlineStr" s="1">
        <is>
          <t>收入金额</t>
        </is>
      </c>
      <c r="G2259" t="inlineStr" s="1">
        <is>
          <t>当笔净额</t>
        </is>
      </c>
      <c r="H2259" t="inlineStr" s="1">
        <is>
          <t>支付方式</t>
        </is>
      </c>
      <c r="I2259" t="inlineStr" s="1">
        <is>
          <t>备注</t>
        </is>
      </c>
    </row>
    <row r="2260" ht="21" customHeight="1">
      <c r="A2260" s="3">
        <v>46510</v>
      </c>
      <c r="B2260" t="inlineStr" s="4">
        <is>
          <t>星期一</t>
        </is>
      </c>
      <c r="C2260" t="inlineStr" s="4">
        <is>
          <t>餐饮</t>
        </is>
      </c>
      <c r="D2260" t="inlineStr" s="5">
        <is>
          <t>早餐</t>
        </is>
      </c>
      <c r="E2260" s="6"/>
      <c r="F2260" s="6"/>
      <c r="G2260" s="6">
        <f>IF(AND(E2260="",F2260=""),"",F2260-E2260)</f>
      </c>
      <c r="H2260" s="4"/>
      <c r="I2260" s="5"/>
    </row>
    <row r="2261" ht="21" customHeight="1">
      <c r="A2261" s="3">
        <v>46510</v>
      </c>
      <c r="B2261" t="inlineStr" s="4">
        <is>
          <t>星期一</t>
        </is>
      </c>
      <c r="C2261" t="inlineStr" s="4">
        <is>
          <t>餐饮</t>
        </is>
      </c>
      <c r="D2261" t="inlineStr" s="5">
        <is>
          <t>中餐</t>
        </is>
      </c>
      <c r="E2261" s="6"/>
      <c r="F2261" s="6"/>
      <c r="G2261" s="6">
        <f>IF(AND(E2261="",F2261=""),"",F2261-E2261)</f>
      </c>
      <c r="H2261" s="4"/>
      <c r="I2261" s="5"/>
    </row>
    <row r="2262" ht="21" customHeight="1">
      <c r="A2262" s="3">
        <v>46510</v>
      </c>
      <c r="B2262" t="inlineStr" s="4">
        <is>
          <t>星期一</t>
        </is>
      </c>
      <c r="C2262" t="inlineStr" s="4">
        <is>
          <t>餐饮</t>
        </is>
      </c>
      <c r="D2262" t="inlineStr" s="5">
        <is>
          <t>晚餐</t>
        </is>
      </c>
      <c r="E2262" s="6"/>
      <c r="F2262" s="6"/>
      <c r="G2262" s="6">
        <f>IF(AND(E2262="",F2262=""),"",F2262-E2262)</f>
      </c>
      <c r="H2262" s="4"/>
      <c r="I2262" s="5"/>
    </row>
    <row r="2263" ht="21" customHeight="1">
      <c r="A2263" s="3">
        <v>46510</v>
      </c>
      <c r="B2263" t="inlineStr" s="4">
        <is>
          <t>星期一</t>
        </is>
      </c>
      <c r="C2263" t="inlineStr" s="4">
        <is>
          <t>奶茶/咖啡</t>
        </is>
      </c>
      <c r="D2263" t="inlineStr" s="5">
        <is>
          <t>奶茶/咖啡</t>
        </is>
      </c>
      <c r="E2263" s="6"/>
      <c r="F2263" s="6"/>
      <c r="G2263" s="6">
        <f>IF(AND(E2263="",F2263=""),"",F2263-E2263)</f>
      </c>
      <c r="H2263" s="4"/>
      <c r="I2263" s="5"/>
    </row>
    <row r="2264" ht="21" customHeight="1">
      <c r="A2264" s="3">
        <v>46510</v>
      </c>
      <c r="B2264" t="inlineStr" s="4">
        <is>
          <t>星期一</t>
        </is>
      </c>
      <c r="C2264" t="inlineStr" s="4">
        <is>
          <t>其他</t>
        </is>
      </c>
      <c r="D2264" t="inlineStr" s="5">
        <is>
          <t>其他</t>
        </is>
      </c>
      <c r="E2264" s="6"/>
      <c r="F2264" s="6"/>
      <c r="G2264" s="6">
        <f>IF(AND(E2264="",F2264=""),"",F2264-E2264)</f>
      </c>
      <c r="H2264" s="4"/>
      <c r="I2264" s="5"/>
    </row>
    <row r="2265" ht="21" customHeight="1">
      <c r="A2265" s="3">
        <v>46510</v>
      </c>
      <c r="B2265" t="inlineStr" s="4">
        <is>
          <t>星期一</t>
        </is>
      </c>
      <c r="C2265" t="inlineStr" s="4">
        <is>
          <t>其他</t>
        </is>
      </c>
      <c r="D2265" t="inlineStr" s="5">
        <is>
          <t>其他</t>
        </is>
      </c>
      <c r="E2265" s="6"/>
      <c r="F2265" s="6"/>
      <c r="G2265" s="6">
        <f>IF(AND(E2265="",F2265=""),"",F2265-E2265)</f>
      </c>
      <c r="H2265" s="4"/>
      <c r="I2265" s="5"/>
    </row>
    <row r="2266" ht="21" customHeight="1">
      <c r="A2266" s="3">
        <v>46511</v>
      </c>
      <c r="B2266" t="inlineStr" s="4">
        <is>
          <t>星期二</t>
        </is>
      </c>
      <c r="C2266" t="inlineStr" s="4">
        <is>
          <t>餐饮</t>
        </is>
      </c>
      <c r="D2266" t="inlineStr" s="5">
        <is>
          <t>早餐</t>
        </is>
      </c>
      <c r="E2266" s="6"/>
      <c r="F2266" s="6"/>
      <c r="G2266" s="6">
        <f>IF(AND(E2266="",F2266=""),"",F2266-E2266)</f>
      </c>
      <c r="H2266" s="4"/>
      <c r="I2266" s="5"/>
    </row>
    <row r="2267" ht="21" customHeight="1">
      <c r="A2267" s="3">
        <v>46511</v>
      </c>
      <c r="B2267" t="inlineStr" s="4">
        <is>
          <t>星期二</t>
        </is>
      </c>
      <c r="C2267" t="inlineStr" s="4">
        <is>
          <t>餐饮</t>
        </is>
      </c>
      <c r="D2267" t="inlineStr" s="5">
        <is>
          <t>中餐</t>
        </is>
      </c>
      <c r="E2267" s="6"/>
      <c r="F2267" s="6"/>
      <c r="G2267" s="6">
        <f>IF(AND(E2267="",F2267=""),"",F2267-E2267)</f>
      </c>
      <c r="H2267" s="4"/>
      <c r="I2267" s="5"/>
    </row>
    <row r="2268" ht="21" customHeight="1">
      <c r="A2268" s="3">
        <v>46511</v>
      </c>
      <c r="B2268" t="inlineStr" s="4">
        <is>
          <t>星期二</t>
        </is>
      </c>
      <c r="C2268" t="inlineStr" s="4">
        <is>
          <t>餐饮</t>
        </is>
      </c>
      <c r="D2268" t="inlineStr" s="5">
        <is>
          <t>晚餐</t>
        </is>
      </c>
      <c r="E2268" s="6"/>
      <c r="F2268" s="6"/>
      <c r="G2268" s="6">
        <f>IF(AND(E2268="",F2268=""),"",F2268-E2268)</f>
      </c>
      <c r="H2268" s="4"/>
      <c r="I2268" s="5"/>
    </row>
    <row r="2269" ht="21" customHeight="1">
      <c r="A2269" s="3">
        <v>46511</v>
      </c>
      <c r="B2269" t="inlineStr" s="4">
        <is>
          <t>星期二</t>
        </is>
      </c>
      <c r="C2269" t="inlineStr" s="4">
        <is>
          <t>奶茶/咖啡</t>
        </is>
      </c>
      <c r="D2269" t="inlineStr" s="5">
        <is>
          <t>奶茶/咖啡</t>
        </is>
      </c>
      <c r="E2269" s="6"/>
      <c r="F2269" s="6"/>
      <c r="G2269" s="6">
        <f>IF(AND(E2269="",F2269=""),"",F2269-E2269)</f>
      </c>
      <c r="H2269" s="4"/>
      <c r="I2269" s="5"/>
    </row>
    <row r="2270" ht="21" customHeight="1">
      <c r="A2270" s="3">
        <v>46511</v>
      </c>
      <c r="B2270" t="inlineStr" s="4">
        <is>
          <t>星期二</t>
        </is>
      </c>
      <c r="C2270" t="inlineStr" s="4">
        <is>
          <t>其他</t>
        </is>
      </c>
      <c r="D2270" t="inlineStr" s="5">
        <is>
          <t>其他</t>
        </is>
      </c>
      <c r="E2270" s="6"/>
      <c r="F2270" s="6"/>
      <c r="G2270" s="6">
        <f>IF(AND(E2270="",F2270=""),"",F2270-E2270)</f>
      </c>
      <c r="H2270" s="4"/>
      <c r="I2270" s="5"/>
    </row>
    <row r="2271" ht="21" customHeight="1">
      <c r="A2271" s="3">
        <v>46511</v>
      </c>
      <c r="B2271" t="inlineStr" s="4">
        <is>
          <t>星期二</t>
        </is>
      </c>
      <c r="C2271" t="inlineStr" s="4">
        <is>
          <t>其他</t>
        </is>
      </c>
      <c r="D2271" t="inlineStr" s="5">
        <is>
          <t>其他</t>
        </is>
      </c>
      <c r="E2271" s="6"/>
      <c r="F2271" s="6"/>
      <c r="G2271" s="6">
        <f>IF(AND(E2271="",F2271=""),"",F2271-E2271)</f>
      </c>
      <c r="H2271" s="4"/>
      <c r="I2271" s="5"/>
    </row>
    <row r="2272" ht="21" customHeight="1">
      <c r="A2272" s="3">
        <v>46512</v>
      </c>
      <c r="B2272" t="inlineStr" s="4">
        <is>
          <t>星期三</t>
        </is>
      </c>
      <c r="C2272" t="inlineStr" s="4">
        <is>
          <t>餐饮</t>
        </is>
      </c>
      <c r="D2272" t="inlineStr" s="5">
        <is>
          <t>早餐</t>
        </is>
      </c>
      <c r="E2272" s="6"/>
      <c r="F2272" s="6"/>
      <c r="G2272" s="6">
        <f>IF(AND(E2272="",F2272=""),"",F2272-E2272)</f>
      </c>
      <c r="H2272" s="4"/>
      <c r="I2272" s="5"/>
    </row>
    <row r="2273" ht="21" customHeight="1">
      <c r="A2273" s="3">
        <v>46512</v>
      </c>
      <c r="B2273" t="inlineStr" s="4">
        <is>
          <t>星期三</t>
        </is>
      </c>
      <c r="C2273" t="inlineStr" s="4">
        <is>
          <t>餐饮</t>
        </is>
      </c>
      <c r="D2273" t="inlineStr" s="5">
        <is>
          <t>中餐</t>
        </is>
      </c>
      <c r="E2273" s="6"/>
      <c r="F2273" s="6"/>
      <c r="G2273" s="6">
        <f>IF(AND(E2273="",F2273=""),"",F2273-E2273)</f>
      </c>
      <c r="H2273" s="4"/>
      <c r="I2273" s="5"/>
    </row>
    <row r="2274" ht="21" customHeight="1">
      <c r="A2274" s="3">
        <v>46512</v>
      </c>
      <c r="B2274" t="inlineStr" s="4">
        <is>
          <t>星期三</t>
        </is>
      </c>
      <c r="C2274" t="inlineStr" s="4">
        <is>
          <t>餐饮</t>
        </is>
      </c>
      <c r="D2274" t="inlineStr" s="5">
        <is>
          <t>晚餐</t>
        </is>
      </c>
      <c r="E2274" s="6"/>
      <c r="F2274" s="6"/>
      <c r="G2274" s="6">
        <f>IF(AND(E2274="",F2274=""),"",F2274-E2274)</f>
      </c>
      <c r="H2274" s="4"/>
      <c r="I2274" s="5"/>
    </row>
    <row r="2275" ht="21" customHeight="1">
      <c r="A2275" s="3">
        <v>46512</v>
      </c>
      <c r="B2275" t="inlineStr" s="4">
        <is>
          <t>星期三</t>
        </is>
      </c>
      <c r="C2275" t="inlineStr" s="4">
        <is>
          <t>奶茶/咖啡</t>
        </is>
      </c>
      <c r="D2275" t="inlineStr" s="5">
        <is>
          <t>奶茶/咖啡</t>
        </is>
      </c>
      <c r="E2275" s="6"/>
      <c r="F2275" s="6"/>
      <c r="G2275" s="6">
        <f>IF(AND(E2275="",F2275=""),"",F2275-E2275)</f>
      </c>
      <c r="H2275" s="4"/>
      <c r="I2275" s="5"/>
    </row>
    <row r="2276" ht="21" customHeight="1">
      <c r="A2276" s="3">
        <v>46512</v>
      </c>
      <c r="B2276" t="inlineStr" s="4">
        <is>
          <t>星期三</t>
        </is>
      </c>
      <c r="C2276" t="inlineStr" s="4">
        <is>
          <t>其他</t>
        </is>
      </c>
      <c r="D2276" t="inlineStr" s="5">
        <is>
          <t>其他</t>
        </is>
      </c>
      <c r="E2276" s="6"/>
      <c r="F2276" s="6"/>
      <c r="G2276" s="6">
        <f>IF(AND(E2276="",F2276=""),"",F2276-E2276)</f>
      </c>
      <c r="H2276" s="4"/>
      <c r="I2276" s="5"/>
    </row>
    <row r="2277" ht="21" customHeight="1">
      <c r="A2277" s="3">
        <v>46512</v>
      </c>
      <c r="B2277" t="inlineStr" s="4">
        <is>
          <t>星期三</t>
        </is>
      </c>
      <c r="C2277" t="inlineStr" s="4">
        <is>
          <t>其他</t>
        </is>
      </c>
      <c r="D2277" t="inlineStr" s="5">
        <is>
          <t>其他</t>
        </is>
      </c>
      <c r="E2277" s="6"/>
      <c r="F2277" s="6"/>
      <c r="G2277" s="6">
        <f>IF(AND(E2277="",F2277=""),"",F2277-E2277)</f>
      </c>
      <c r="H2277" s="4"/>
      <c r="I2277" s="5"/>
    </row>
    <row r="2278" ht="21" customHeight="1">
      <c r="A2278" s="3">
        <v>46513</v>
      </c>
      <c r="B2278" t="inlineStr" s="4">
        <is>
          <t>星期四</t>
        </is>
      </c>
      <c r="C2278" t="inlineStr" s="4">
        <is>
          <t>餐饮</t>
        </is>
      </c>
      <c r="D2278" t="inlineStr" s="5">
        <is>
          <t>早餐</t>
        </is>
      </c>
      <c r="E2278" s="6"/>
      <c r="F2278" s="6"/>
      <c r="G2278" s="6">
        <f>IF(AND(E2278="",F2278=""),"",F2278-E2278)</f>
      </c>
      <c r="H2278" s="4"/>
      <c r="I2278" s="5"/>
    </row>
    <row r="2279" ht="21" customHeight="1">
      <c r="A2279" s="3">
        <v>46513</v>
      </c>
      <c r="B2279" t="inlineStr" s="4">
        <is>
          <t>星期四</t>
        </is>
      </c>
      <c r="C2279" t="inlineStr" s="4">
        <is>
          <t>餐饮</t>
        </is>
      </c>
      <c r="D2279" t="inlineStr" s="5">
        <is>
          <t>中餐</t>
        </is>
      </c>
      <c r="E2279" s="6"/>
      <c r="F2279" s="6"/>
      <c r="G2279" s="6">
        <f>IF(AND(E2279="",F2279=""),"",F2279-E2279)</f>
      </c>
      <c r="H2279" s="4"/>
      <c r="I2279" s="5"/>
    </row>
    <row r="2280" ht="21" customHeight="1">
      <c r="A2280" s="3">
        <v>46513</v>
      </c>
      <c r="B2280" t="inlineStr" s="4">
        <is>
          <t>星期四</t>
        </is>
      </c>
      <c r="C2280" t="inlineStr" s="4">
        <is>
          <t>餐饮</t>
        </is>
      </c>
      <c r="D2280" t="inlineStr" s="5">
        <is>
          <t>晚餐</t>
        </is>
      </c>
      <c r="E2280" s="6"/>
      <c r="F2280" s="6"/>
      <c r="G2280" s="6">
        <f>IF(AND(E2280="",F2280=""),"",F2280-E2280)</f>
      </c>
      <c r="H2280" s="4"/>
      <c r="I2280" s="5"/>
    </row>
    <row r="2281" ht="21" customHeight="1">
      <c r="A2281" s="3">
        <v>46513</v>
      </c>
      <c r="B2281" t="inlineStr" s="4">
        <is>
          <t>星期四</t>
        </is>
      </c>
      <c r="C2281" t="inlineStr" s="4">
        <is>
          <t>奶茶/咖啡</t>
        </is>
      </c>
      <c r="D2281" t="inlineStr" s="5">
        <is>
          <t>奶茶/咖啡</t>
        </is>
      </c>
      <c r="E2281" s="6"/>
      <c r="F2281" s="6"/>
      <c r="G2281" s="6">
        <f>IF(AND(E2281="",F2281=""),"",F2281-E2281)</f>
      </c>
      <c r="H2281" s="4"/>
      <c r="I2281" s="5"/>
    </row>
    <row r="2282" ht="21" customHeight="1">
      <c r="A2282" s="3">
        <v>46513</v>
      </c>
      <c r="B2282" t="inlineStr" s="4">
        <is>
          <t>星期四</t>
        </is>
      </c>
      <c r="C2282" t="inlineStr" s="4">
        <is>
          <t>其他</t>
        </is>
      </c>
      <c r="D2282" t="inlineStr" s="5">
        <is>
          <t>其他</t>
        </is>
      </c>
      <c r="E2282" s="6"/>
      <c r="F2282" s="6"/>
      <c r="G2282" s="6">
        <f>IF(AND(E2282="",F2282=""),"",F2282-E2282)</f>
      </c>
      <c r="H2282" s="4"/>
      <c r="I2282" s="5"/>
    </row>
    <row r="2283" ht="21" customHeight="1">
      <c r="A2283" s="3">
        <v>46513</v>
      </c>
      <c r="B2283" t="inlineStr" s="4">
        <is>
          <t>星期四</t>
        </is>
      </c>
      <c r="C2283" t="inlineStr" s="4">
        <is>
          <t>其他</t>
        </is>
      </c>
      <c r="D2283" t="inlineStr" s="5">
        <is>
          <t>其他</t>
        </is>
      </c>
      <c r="E2283" s="6"/>
      <c r="F2283" s="6"/>
      <c r="G2283" s="6">
        <f>IF(AND(E2283="",F2283=""),"",F2283-E2283)</f>
      </c>
      <c r="H2283" s="4"/>
      <c r="I2283" s="5"/>
    </row>
    <row r="2284" ht="21" customHeight="1">
      <c r="A2284" s="3">
        <v>46514</v>
      </c>
      <c r="B2284" t="inlineStr" s="4">
        <is>
          <t>星期五</t>
        </is>
      </c>
      <c r="C2284" t="inlineStr" s="4">
        <is>
          <t>餐饮</t>
        </is>
      </c>
      <c r="D2284" t="inlineStr" s="5">
        <is>
          <t>早餐</t>
        </is>
      </c>
      <c r="E2284" s="6"/>
      <c r="F2284" s="6"/>
      <c r="G2284" s="6">
        <f>IF(AND(E2284="",F2284=""),"",F2284-E2284)</f>
      </c>
      <c r="H2284" s="4"/>
      <c r="I2284" s="5"/>
    </row>
    <row r="2285" ht="21" customHeight="1">
      <c r="A2285" s="3">
        <v>46514</v>
      </c>
      <c r="B2285" t="inlineStr" s="4">
        <is>
          <t>星期五</t>
        </is>
      </c>
      <c r="C2285" t="inlineStr" s="4">
        <is>
          <t>餐饮</t>
        </is>
      </c>
      <c r="D2285" t="inlineStr" s="5">
        <is>
          <t>中餐</t>
        </is>
      </c>
      <c r="E2285" s="6"/>
      <c r="F2285" s="6"/>
      <c r="G2285" s="6">
        <f>IF(AND(E2285="",F2285=""),"",F2285-E2285)</f>
      </c>
      <c r="H2285" s="4"/>
      <c r="I2285" s="5"/>
    </row>
    <row r="2286" ht="21" customHeight="1">
      <c r="A2286" s="3">
        <v>46514</v>
      </c>
      <c r="B2286" t="inlineStr" s="4">
        <is>
          <t>星期五</t>
        </is>
      </c>
      <c r="C2286" t="inlineStr" s="4">
        <is>
          <t>餐饮</t>
        </is>
      </c>
      <c r="D2286" t="inlineStr" s="5">
        <is>
          <t>晚餐</t>
        </is>
      </c>
      <c r="E2286" s="6"/>
      <c r="F2286" s="6"/>
      <c r="G2286" s="6">
        <f>IF(AND(E2286="",F2286=""),"",F2286-E2286)</f>
      </c>
      <c r="H2286" s="4"/>
      <c r="I2286" s="5"/>
    </row>
    <row r="2287" ht="21" customHeight="1">
      <c r="A2287" s="3">
        <v>46514</v>
      </c>
      <c r="B2287" t="inlineStr" s="4">
        <is>
          <t>星期五</t>
        </is>
      </c>
      <c r="C2287" t="inlineStr" s="4">
        <is>
          <t>奶茶/咖啡</t>
        </is>
      </c>
      <c r="D2287" t="inlineStr" s="5">
        <is>
          <t>奶茶/咖啡</t>
        </is>
      </c>
      <c r="E2287" s="6"/>
      <c r="F2287" s="6"/>
      <c r="G2287" s="6">
        <f>IF(AND(E2287="",F2287=""),"",F2287-E2287)</f>
      </c>
      <c r="H2287" s="4"/>
      <c r="I2287" s="5"/>
    </row>
    <row r="2288" ht="21" customHeight="1">
      <c r="A2288" s="3">
        <v>46514</v>
      </c>
      <c r="B2288" t="inlineStr" s="4">
        <is>
          <t>星期五</t>
        </is>
      </c>
      <c r="C2288" t="inlineStr" s="4">
        <is>
          <t>其他</t>
        </is>
      </c>
      <c r="D2288" t="inlineStr" s="5">
        <is>
          <t>其他</t>
        </is>
      </c>
      <c r="E2288" s="6"/>
      <c r="F2288" s="6"/>
      <c r="G2288" s="6">
        <f>IF(AND(E2288="",F2288=""),"",F2288-E2288)</f>
      </c>
      <c r="H2288" s="4"/>
      <c r="I2288" s="5"/>
    </row>
    <row r="2289" ht="21" customHeight="1">
      <c r="A2289" s="3">
        <v>46514</v>
      </c>
      <c r="B2289" t="inlineStr" s="4">
        <is>
          <t>星期五</t>
        </is>
      </c>
      <c r="C2289" t="inlineStr" s="4">
        <is>
          <t>其他</t>
        </is>
      </c>
      <c r="D2289" t="inlineStr" s="5">
        <is>
          <t>其他</t>
        </is>
      </c>
      <c r="E2289" s="6"/>
      <c r="F2289" s="6"/>
      <c r="G2289" s="6">
        <f>IF(AND(E2289="",F2289=""),"",F2289-E2289)</f>
      </c>
      <c r="H2289" s="4"/>
      <c r="I2289" s="5"/>
    </row>
    <row r="2290" ht="21" customHeight="1">
      <c r="A2290" s="3">
        <v>46515</v>
      </c>
      <c r="B2290" t="inlineStr" s="4">
        <is>
          <t>星期六</t>
        </is>
      </c>
      <c r="C2290" t="inlineStr" s="4">
        <is>
          <t>餐饮</t>
        </is>
      </c>
      <c r="D2290" t="inlineStr" s="5">
        <is>
          <t>早餐</t>
        </is>
      </c>
      <c r="E2290" s="6"/>
      <c r="F2290" s="6"/>
      <c r="G2290" s="6">
        <f>IF(AND(E2290="",F2290=""),"",F2290-E2290)</f>
      </c>
      <c r="H2290" s="4"/>
      <c r="I2290" s="5"/>
    </row>
    <row r="2291" ht="21" customHeight="1">
      <c r="A2291" s="3">
        <v>46515</v>
      </c>
      <c r="B2291" t="inlineStr" s="4">
        <is>
          <t>星期六</t>
        </is>
      </c>
      <c r="C2291" t="inlineStr" s="4">
        <is>
          <t>餐饮</t>
        </is>
      </c>
      <c r="D2291" t="inlineStr" s="5">
        <is>
          <t>中餐</t>
        </is>
      </c>
      <c r="E2291" s="6"/>
      <c r="F2291" s="6"/>
      <c r="G2291" s="6">
        <f>IF(AND(E2291="",F2291=""),"",F2291-E2291)</f>
      </c>
      <c r="H2291" s="4"/>
      <c r="I2291" s="5"/>
    </row>
    <row r="2292" ht="21" customHeight="1">
      <c r="A2292" s="3">
        <v>46515</v>
      </c>
      <c r="B2292" t="inlineStr" s="4">
        <is>
          <t>星期六</t>
        </is>
      </c>
      <c r="C2292" t="inlineStr" s="4">
        <is>
          <t>餐饮</t>
        </is>
      </c>
      <c r="D2292" t="inlineStr" s="5">
        <is>
          <t>晚餐</t>
        </is>
      </c>
      <c r="E2292" s="6"/>
      <c r="F2292" s="6"/>
      <c r="G2292" s="6">
        <f>IF(AND(E2292="",F2292=""),"",F2292-E2292)</f>
      </c>
      <c r="H2292" s="4"/>
      <c r="I2292" s="5"/>
    </row>
    <row r="2293" ht="21" customHeight="1">
      <c r="A2293" s="3">
        <v>46515</v>
      </c>
      <c r="B2293" t="inlineStr" s="4">
        <is>
          <t>星期六</t>
        </is>
      </c>
      <c r="C2293" t="inlineStr" s="4">
        <is>
          <t>奶茶/咖啡</t>
        </is>
      </c>
      <c r="D2293" t="inlineStr" s="5">
        <is>
          <t>奶茶/咖啡</t>
        </is>
      </c>
      <c r="E2293" s="6"/>
      <c r="F2293" s="6"/>
      <c r="G2293" s="6">
        <f>IF(AND(E2293="",F2293=""),"",F2293-E2293)</f>
      </c>
      <c r="H2293" s="4"/>
      <c r="I2293" s="5"/>
    </row>
    <row r="2294" ht="21" customHeight="1">
      <c r="A2294" s="3">
        <v>46515</v>
      </c>
      <c r="B2294" t="inlineStr" s="4">
        <is>
          <t>星期六</t>
        </is>
      </c>
      <c r="C2294" t="inlineStr" s="4">
        <is>
          <t>其他</t>
        </is>
      </c>
      <c r="D2294" t="inlineStr" s="5">
        <is>
          <t>其他</t>
        </is>
      </c>
      <c r="E2294" s="6"/>
      <c r="F2294" s="6"/>
      <c r="G2294" s="6">
        <f>IF(AND(E2294="",F2294=""),"",F2294-E2294)</f>
      </c>
      <c r="H2294" s="4"/>
      <c r="I2294" s="5"/>
    </row>
    <row r="2295" ht="21" customHeight="1">
      <c r="A2295" s="3">
        <v>46515</v>
      </c>
      <c r="B2295" t="inlineStr" s="4">
        <is>
          <t>星期六</t>
        </is>
      </c>
      <c r="C2295" t="inlineStr" s="4">
        <is>
          <t>其他</t>
        </is>
      </c>
      <c r="D2295" t="inlineStr" s="5">
        <is>
          <t>其他</t>
        </is>
      </c>
      <c r="E2295" s="6"/>
      <c r="F2295" s="6"/>
      <c r="G2295" s="6">
        <f>IF(AND(E2295="",F2295=""),"",F2295-E2295)</f>
      </c>
      <c r="H2295" s="4"/>
      <c r="I2295" s="5"/>
    </row>
    <row r="2296" ht="21" customHeight="1">
      <c r="A2296" s="3">
        <v>46516</v>
      </c>
      <c r="B2296" t="inlineStr" s="4">
        <is>
          <t>星期日</t>
        </is>
      </c>
      <c r="C2296" t="inlineStr" s="4">
        <is>
          <t>餐饮</t>
        </is>
      </c>
      <c r="D2296" t="inlineStr" s="5">
        <is>
          <t>早餐</t>
        </is>
      </c>
      <c r="E2296" s="6"/>
      <c r="F2296" s="6"/>
      <c r="G2296" s="6">
        <f>IF(AND(E2296="",F2296=""),"",F2296-E2296)</f>
      </c>
      <c r="H2296" s="4"/>
      <c r="I2296" s="5"/>
    </row>
    <row r="2297" ht="21" customHeight="1">
      <c r="A2297" s="3">
        <v>46516</v>
      </c>
      <c r="B2297" t="inlineStr" s="4">
        <is>
          <t>星期日</t>
        </is>
      </c>
      <c r="C2297" t="inlineStr" s="4">
        <is>
          <t>餐饮</t>
        </is>
      </c>
      <c r="D2297" t="inlineStr" s="5">
        <is>
          <t>中餐</t>
        </is>
      </c>
      <c r="E2297" s="6"/>
      <c r="F2297" s="6"/>
      <c r="G2297" s="6">
        <f>IF(AND(E2297="",F2297=""),"",F2297-E2297)</f>
      </c>
      <c r="H2297" s="4"/>
      <c r="I2297" s="5"/>
    </row>
    <row r="2298" ht="21" customHeight="1">
      <c r="A2298" s="3">
        <v>46516</v>
      </c>
      <c r="B2298" t="inlineStr" s="4">
        <is>
          <t>星期日</t>
        </is>
      </c>
      <c r="C2298" t="inlineStr" s="4">
        <is>
          <t>餐饮</t>
        </is>
      </c>
      <c r="D2298" t="inlineStr" s="5">
        <is>
          <t>晚餐</t>
        </is>
      </c>
      <c r="E2298" s="6"/>
      <c r="F2298" s="6"/>
      <c r="G2298" s="6">
        <f>IF(AND(E2298="",F2298=""),"",F2298-E2298)</f>
      </c>
      <c r="H2298" s="4"/>
      <c r="I2298" s="5"/>
    </row>
    <row r="2299" ht="21" customHeight="1">
      <c r="A2299" s="3">
        <v>46516</v>
      </c>
      <c r="B2299" t="inlineStr" s="4">
        <is>
          <t>星期日</t>
        </is>
      </c>
      <c r="C2299" t="inlineStr" s="4">
        <is>
          <t>奶茶/咖啡</t>
        </is>
      </c>
      <c r="D2299" t="inlineStr" s="5">
        <is>
          <t>奶茶/咖啡</t>
        </is>
      </c>
      <c r="E2299" s="6"/>
      <c r="F2299" s="6"/>
      <c r="G2299" s="6">
        <f>IF(AND(E2299="",F2299=""),"",F2299-E2299)</f>
      </c>
      <c r="H2299" s="4"/>
      <c r="I2299" s="5"/>
    </row>
    <row r="2300" ht="21" customHeight="1">
      <c r="A2300" s="3">
        <v>46516</v>
      </c>
      <c r="B2300" t="inlineStr" s="4">
        <is>
          <t>星期日</t>
        </is>
      </c>
      <c r="C2300" t="inlineStr" s="4">
        <is>
          <t>其他</t>
        </is>
      </c>
      <c r="D2300" t="inlineStr" s="5">
        <is>
          <t>其他</t>
        </is>
      </c>
      <c r="E2300" s="6"/>
      <c r="F2300" s="6"/>
      <c r="G2300" s="6">
        <f>IF(AND(E2300="",F2300=""),"",F2300-E2300)</f>
      </c>
      <c r="H2300" s="4"/>
      <c r="I2300" s="5"/>
    </row>
    <row r="2301" ht="21" customHeight="1">
      <c r="A2301" s="3">
        <v>46516</v>
      </c>
      <c r="B2301" t="inlineStr" s="4">
        <is>
          <t>星期日</t>
        </is>
      </c>
      <c r="C2301" t="inlineStr" s="4">
        <is>
          <t>其他</t>
        </is>
      </c>
      <c r="D2301" t="inlineStr" s="5">
        <is>
          <t>其他</t>
        </is>
      </c>
      <c r="E2301" s="6"/>
      <c r="F2301" s="6"/>
      <c r="G2301" s="6">
        <f>IF(AND(E2301="",F2301=""),"",F2301-E2301)</f>
      </c>
      <c r="H2301" s="4"/>
      <c r="I2301" s="5"/>
    </row>
    <row r="2302" ht="23" customHeight="1">
      <c r="A2302" t="inlineStr" s="7">
        <is>
          <t>本周小计</t>
        </is>
      </c>
      <c r="B2302" s="7"/>
      <c r="C2302" s="7"/>
      <c r="D2302" s="7"/>
      <c r="E2302" s="8">
        <f>SUM(E2260:E2301)</f>
      </c>
      <c r="F2302" s="8">
        <f>SUM(F2260:F2301)</f>
      </c>
      <c r="G2302" s="8">
        <f>SUM(G2260:G2301)</f>
      </c>
      <c r="H2302" s="7"/>
      <c r="I2302" s="7"/>
    </row>
    <row r="2303" ht="18" customHeight="1">
      <c r="A2303" s="9"/>
      <c r="B2303" s="9"/>
      <c r="C2303" s="9"/>
      <c r="D2303" s="9"/>
      <c r="E2303" s="9"/>
      <c r="F2303" s="9"/>
      <c r="G2303" s="9"/>
      <c r="H2303" s="9"/>
      <c r="I2303" s="9"/>
    </row>
    <row r="2304" ht="18" customHeight="1">
      <c r="A2304" s="9"/>
      <c r="B2304" s="9"/>
      <c r="C2304" s="9"/>
      <c r="D2304" s="9"/>
      <c r="E2304" s="9"/>
      <c r="F2304" s="9"/>
      <c r="G2304" s="9"/>
      <c r="H2304" s="9"/>
      <c r="I2304" s="9"/>
    </row>
    <row r="2305" ht="26" customHeight="1">
      <c r="A2305" t="inlineStr" s="2">
        <is>
          <t>2027年5月｜第二周（5月10日 - 5月16日）</t>
        </is>
      </c>
      <c r="B2305" s="2"/>
      <c r="C2305" s="2"/>
      <c r="D2305" s="2"/>
      <c r="E2305" s="2"/>
      <c r="F2305" s="2"/>
      <c r="G2305" s="2"/>
      <c r="H2305" s="2"/>
      <c r="I2305" s="2"/>
    </row>
    <row r="2306" ht="22" customHeight="1">
      <c r="A2306" t="inlineStr" s="1">
        <is>
          <t>日期</t>
        </is>
      </c>
      <c r="B2306" t="inlineStr" s="1">
        <is>
          <t>星期</t>
        </is>
      </c>
      <c r="C2306" t="inlineStr" s="1">
        <is>
          <t>分类</t>
        </is>
      </c>
      <c r="D2306" t="inlineStr" s="1">
        <is>
          <t>事项</t>
        </is>
      </c>
      <c r="E2306" t="inlineStr" s="1">
        <is>
          <t>支出金额</t>
        </is>
      </c>
      <c r="F2306" t="inlineStr" s="1">
        <is>
          <t>收入金额</t>
        </is>
      </c>
      <c r="G2306" t="inlineStr" s="1">
        <is>
          <t>当笔净额</t>
        </is>
      </c>
      <c r="H2306" t="inlineStr" s="1">
        <is>
          <t>支付方式</t>
        </is>
      </c>
      <c r="I2306" t="inlineStr" s="1">
        <is>
          <t>备注</t>
        </is>
      </c>
    </row>
    <row r="2307" ht="21" customHeight="1">
      <c r="A2307" s="3">
        <v>46517</v>
      </c>
      <c r="B2307" t="inlineStr" s="4">
        <is>
          <t>星期一</t>
        </is>
      </c>
      <c r="C2307" t="inlineStr" s="4">
        <is>
          <t>餐饮</t>
        </is>
      </c>
      <c r="D2307" t="inlineStr" s="5">
        <is>
          <t>早餐</t>
        </is>
      </c>
      <c r="E2307" s="6"/>
      <c r="F2307" s="6"/>
      <c r="G2307" s="6">
        <f>IF(AND(E2307="",F2307=""),"",F2307-E2307)</f>
      </c>
      <c r="H2307" s="4"/>
      <c r="I2307" s="5"/>
    </row>
    <row r="2308" ht="21" customHeight="1">
      <c r="A2308" s="3">
        <v>46517</v>
      </c>
      <c r="B2308" t="inlineStr" s="4">
        <is>
          <t>星期一</t>
        </is>
      </c>
      <c r="C2308" t="inlineStr" s="4">
        <is>
          <t>餐饮</t>
        </is>
      </c>
      <c r="D2308" t="inlineStr" s="5">
        <is>
          <t>中餐</t>
        </is>
      </c>
      <c r="E2308" s="6"/>
      <c r="F2308" s="6"/>
      <c r="G2308" s="6">
        <f>IF(AND(E2308="",F2308=""),"",F2308-E2308)</f>
      </c>
      <c r="H2308" s="4"/>
      <c r="I2308" s="5"/>
    </row>
    <row r="2309" ht="21" customHeight="1">
      <c r="A2309" s="3">
        <v>46517</v>
      </c>
      <c r="B2309" t="inlineStr" s="4">
        <is>
          <t>星期一</t>
        </is>
      </c>
      <c r="C2309" t="inlineStr" s="4">
        <is>
          <t>餐饮</t>
        </is>
      </c>
      <c r="D2309" t="inlineStr" s="5">
        <is>
          <t>晚餐</t>
        </is>
      </c>
      <c r="E2309" s="6"/>
      <c r="F2309" s="6"/>
      <c r="G2309" s="6">
        <f>IF(AND(E2309="",F2309=""),"",F2309-E2309)</f>
      </c>
      <c r="H2309" s="4"/>
      <c r="I2309" s="5"/>
    </row>
    <row r="2310" ht="21" customHeight="1">
      <c r="A2310" s="3">
        <v>46517</v>
      </c>
      <c r="B2310" t="inlineStr" s="4">
        <is>
          <t>星期一</t>
        </is>
      </c>
      <c r="C2310" t="inlineStr" s="4">
        <is>
          <t>奶茶/咖啡</t>
        </is>
      </c>
      <c r="D2310" t="inlineStr" s="5">
        <is>
          <t>奶茶/咖啡</t>
        </is>
      </c>
      <c r="E2310" s="6"/>
      <c r="F2310" s="6"/>
      <c r="G2310" s="6">
        <f>IF(AND(E2310="",F2310=""),"",F2310-E2310)</f>
      </c>
      <c r="H2310" s="4"/>
      <c r="I2310" s="5"/>
    </row>
    <row r="2311" ht="21" customHeight="1">
      <c r="A2311" s="3">
        <v>46517</v>
      </c>
      <c r="B2311" t="inlineStr" s="4">
        <is>
          <t>星期一</t>
        </is>
      </c>
      <c r="C2311" t="inlineStr" s="4">
        <is>
          <t>其他</t>
        </is>
      </c>
      <c r="D2311" t="inlineStr" s="5">
        <is>
          <t>其他</t>
        </is>
      </c>
      <c r="E2311" s="6"/>
      <c r="F2311" s="6"/>
      <c r="G2311" s="6">
        <f>IF(AND(E2311="",F2311=""),"",F2311-E2311)</f>
      </c>
      <c r="H2311" s="4"/>
      <c r="I2311" s="5"/>
    </row>
    <row r="2312" ht="21" customHeight="1">
      <c r="A2312" s="3">
        <v>46517</v>
      </c>
      <c r="B2312" t="inlineStr" s="4">
        <is>
          <t>星期一</t>
        </is>
      </c>
      <c r="C2312" t="inlineStr" s="4">
        <is>
          <t>其他</t>
        </is>
      </c>
      <c r="D2312" t="inlineStr" s="5">
        <is>
          <t>其他</t>
        </is>
      </c>
      <c r="E2312" s="6"/>
      <c r="F2312" s="6"/>
      <c r="G2312" s="6">
        <f>IF(AND(E2312="",F2312=""),"",F2312-E2312)</f>
      </c>
      <c r="H2312" s="4"/>
      <c r="I2312" s="5"/>
    </row>
    <row r="2313" ht="21" customHeight="1">
      <c r="A2313" s="3">
        <v>46518</v>
      </c>
      <c r="B2313" t="inlineStr" s="4">
        <is>
          <t>星期二</t>
        </is>
      </c>
      <c r="C2313" t="inlineStr" s="4">
        <is>
          <t>餐饮</t>
        </is>
      </c>
      <c r="D2313" t="inlineStr" s="5">
        <is>
          <t>早餐</t>
        </is>
      </c>
      <c r="E2313" s="6"/>
      <c r="F2313" s="6"/>
      <c r="G2313" s="6">
        <f>IF(AND(E2313="",F2313=""),"",F2313-E2313)</f>
      </c>
      <c r="H2313" s="4"/>
      <c r="I2313" s="5"/>
    </row>
    <row r="2314" ht="21" customHeight="1">
      <c r="A2314" s="3">
        <v>46518</v>
      </c>
      <c r="B2314" t="inlineStr" s="4">
        <is>
          <t>星期二</t>
        </is>
      </c>
      <c r="C2314" t="inlineStr" s="4">
        <is>
          <t>餐饮</t>
        </is>
      </c>
      <c r="D2314" t="inlineStr" s="5">
        <is>
          <t>中餐</t>
        </is>
      </c>
      <c r="E2314" s="6"/>
      <c r="F2314" s="6"/>
      <c r="G2314" s="6">
        <f>IF(AND(E2314="",F2314=""),"",F2314-E2314)</f>
      </c>
      <c r="H2314" s="4"/>
      <c r="I2314" s="5"/>
    </row>
    <row r="2315" ht="21" customHeight="1">
      <c r="A2315" s="3">
        <v>46518</v>
      </c>
      <c r="B2315" t="inlineStr" s="4">
        <is>
          <t>星期二</t>
        </is>
      </c>
      <c r="C2315" t="inlineStr" s="4">
        <is>
          <t>餐饮</t>
        </is>
      </c>
      <c r="D2315" t="inlineStr" s="5">
        <is>
          <t>晚餐</t>
        </is>
      </c>
      <c r="E2315" s="6"/>
      <c r="F2315" s="6"/>
      <c r="G2315" s="6">
        <f>IF(AND(E2315="",F2315=""),"",F2315-E2315)</f>
      </c>
      <c r="H2315" s="4"/>
      <c r="I2315" s="5"/>
    </row>
    <row r="2316" ht="21" customHeight="1">
      <c r="A2316" s="3">
        <v>46518</v>
      </c>
      <c r="B2316" t="inlineStr" s="4">
        <is>
          <t>星期二</t>
        </is>
      </c>
      <c r="C2316" t="inlineStr" s="4">
        <is>
          <t>奶茶/咖啡</t>
        </is>
      </c>
      <c r="D2316" t="inlineStr" s="5">
        <is>
          <t>奶茶/咖啡</t>
        </is>
      </c>
      <c r="E2316" s="6"/>
      <c r="F2316" s="6"/>
      <c r="G2316" s="6">
        <f>IF(AND(E2316="",F2316=""),"",F2316-E2316)</f>
      </c>
      <c r="H2316" s="4"/>
      <c r="I2316" s="5"/>
    </row>
    <row r="2317" ht="21" customHeight="1">
      <c r="A2317" s="3">
        <v>46518</v>
      </c>
      <c r="B2317" t="inlineStr" s="4">
        <is>
          <t>星期二</t>
        </is>
      </c>
      <c r="C2317" t="inlineStr" s="4">
        <is>
          <t>其他</t>
        </is>
      </c>
      <c r="D2317" t="inlineStr" s="5">
        <is>
          <t>其他</t>
        </is>
      </c>
      <c r="E2317" s="6"/>
      <c r="F2317" s="6"/>
      <c r="G2317" s="6">
        <f>IF(AND(E2317="",F2317=""),"",F2317-E2317)</f>
      </c>
      <c r="H2317" s="4"/>
      <c r="I2317" s="5"/>
    </row>
    <row r="2318" ht="21" customHeight="1">
      <c r="A2318" s="3">
        <v>46518</v>
      </c>
      <c r="B2318" t="inlineStr" s="4">
        <is>
          <t>星期二</t>
        </is>
      </c>
      <c r="C2318" t="inlineStr" s="4">
        <is>
          <t>其他</t>
        </is>
      </c>
      <c r="D2318" t="inlineStr" s="5">
        <is>
          <t>其他</t>
        </is>
      </c>
      <c r="E2318" s="6"/>
      <c r="F2318" s="6"/>
      <c r="G2318" s="6">
        <f>IF(AND(E2318="",F2318=""),"",F2318-E2318)</f>
      </c>
      <c r="H2318" s="4"/>
      <c r="I2318" s="5"/>
    </row>
    <row r="2319" ht="21" customHeight="1">
      <c r="A2319" s="3">
        <v>46519</v>
      </c>
      <c r="B2319" t="inlineStr" s="4">
        <is>
          <t>星期三</t>
        </is>
      </c>
      <c r="C2319" t="inlineStr" s="4">
        <is>
          <t>餐饮</t>
        </is>
      </c>
      <c r="D2319" t="inlineStr" s="5">
        <is>
          <t>早餐</t>
        </is>
      </c>
      <c r="E2319" s="6"/>
      <c r="F2319" s="6"/>
      <c r="G2319" s="6">
        <f>IF(AND(E2319="",F2319=""),"",F2319-E2319)</f>
      </c>
      <c r="H2319" s="4"/>
      <c r="I2319" s="5"/>
    </row>
    <row r="2320" ht="21" customHeight="1">
      <c r="A2320" s="3">
        <v>46519</v>
      </c>
      <c r="B2320" t="inlineStr" s="4">
        <is>
          <t>星期三</t>
        </is>
      </c>
      <c r="C2320" t="inlineStr" s="4">
        <is>
          <t>餐饮</t>
        </is>
      </c>
      <c r="D2320" t="inlineStr" s="5">
        <is>
          <t>中餐</t>
        </is>
      </c>
      <c r="E2320" s="6"/>
      <c r="F2320" s="6"/>
      <c r="G2320" s="6">
        <f>IF(AND(E2320="",F2320=""),"",F2320-E2320)</f>
      </c>
      <c r="H2320" s="4"/>
      <c r="I2320" s="5"/>
    </row>
    <row r="2321" ht="21" customHeight="1">
      <c r="A2321" s="3">
        <v>46519</v>
      </c>
      <c r="B2321" t="inlineStr" s="4">
        <is>
          <t>星期三</t>
        </is>
      </c>
      <c r="C2321" t="inlineStr" s="4">
        <is>
          <t>餐饮</t>
        </is>
      </c>
      <c r="D2321" t="inlineStr" s="5">
        <is>
          <t>晚餐</t>
        </is>
      </c>
      <c r="E2321" s="6"/>
      <c r="F2321" s="6"/>
      <c r="G2321" s="6">
        <f>IF(AND(E2321="",F2321=""),"",F2321-E2321)</f>
      </c>
      <c r="H2321" s="4"/>
      <c r="I2321" s="5"/>
    </row>
    <row r="2322" ht="21" customHeight="1">
      <c r="A2322" s="3">
        <v>46519</v>
      </c>
      <c r="B2322" t="inlineStr" s="4">
        <is>
          <t>星期三</t>
        </is>
      </c>
      <c r="C2322" t="inlineStr" s="4">
        <is>
          <t>奶茶/咖啡</t>
        </is>
      </c>
      <c r="D2322" t="inlineStr" s="5">
        <is>
          <t>奶茶/咖啡</t>
        </is>
      </c>
      <c r="E2322" s="6"/>
      <c r="F2322" s="6"/>
      <c r="G2322" s="6">
        <f>IF(AND(E2322="",F2322=""),"",F2322-E2322)</f>
      </c>
      <c r="H2322" s="4"/>
      <c r="I2322" s="5"/>
    </row>
    <row r="2323" ht="21" customHeight="1">
      <c r="A2323" s="3">
        <v>46519</v>
      </c>
      <c r="B2323" t="inlineStr" s="4">
        <is>
          <t>星期三</t>
        </is>
      </c>
      <c r="C2323" t="inlineStr" s="4">
        <is>
          <t>其他</t>
        </is>
      </c>
      <c r="D2323" t="inlineStr" s="5">
        <is>
          <t>其他</t>
        </is>
      </c>
      <c r="E2323" s="6"/>
      <c r="F2323" s="6"/>
      <c r="G2323" s="6">
        <f>IF(AND(E2323="",F2323=""),"",F2323-E2323)</f>
      </c>
      <c r="H2323" s="4"/>
      <c r="I2323" s="5"/>
    </row>
    <row r="2324" ht="21" customHeight="1">
      <c r="A2324" s="3">
        <v>46519</v>
      </c>
      <c r="B2324" t="inlineStr" s="4">
        <is>
          <t>星期三</t>
        </is>
      </c>
      <c r="C2324" t="inlineStr" s="4">
        <is>
          <t>其他</t>
        </is>
      </c>
      <c r="D2324" t="inlineStr" s="5">
        <is>
          <t>其他</t>
        </is>
      </c>
      <c r="E2324" s="6"/>
      <c r="F2324" s="6"/>
      <c r="G2324" s="6">
        <f>IF(AND(E2324="",F2324=""),"",F2324-E2324)</f>
      </c>
      <c r="H2324" s="4"/>
      <c r="I2324" s="5"/>
    </row>
    <row r="2325" ht="21" customHeight="1">
      <c r="A2325" s="3">
        <v>46520</v>
      </c>
      <c r="B2325" t="inlineStr" s="4">
        <is>
          <t>星期四</t>
        </is>
      </c>
      <c r="C2325" t="inlineStr" s="4">
        <is>
          <t>餐饮</t>
        </is>
      </c>
      <c r="D2325" t="inlineStr" s="5">
        <is>
          <t>早餐</t>
        </is>
      </c>
      <c r="E2325" s="6"/>
      <c r="F2325" s="6"/>
      <c r="G2325" s="6">
        <f>IF(AND(E2325="",F2325=""),"",F2325-E2325)</f>
      </c>
      <c r="H2325" s="4"/>
      <c r="I2325" s="5"/>
    </row>
    <row r="2326" ht="21" customHeight="1">
      <c r="A2326" s="3">
        <v>46520</v>
      </c>
      <c r="B2326" t="inlineStr" s="4">
        <is>
          <t>星期四</t>
        </is>
      </c>
      <c r="C2326" t="inlineStr" s="4">
        <is>
          <t>餐饮</t>
        </is>
      </c>
      <c r="D2326" t="inlineStr" s="5">
        <is>
          <t>中餐</t>
        </is>
      </c>
      <c r="E2326" s="6"/>
      <c r="F2326" s="6"/>
      <c r="G2326" s="6">
        <f>IF(AND(E2326="",F2326=""),"",F2326-E2326)</f>
      </c>
      <c r="H2326" s="4"/>
      <c r="I2326" s="5"/>
    </row>
    <row r="2327" ht="21" customHeight="1">
      <c r="A2327" s="3">
        <v>46520</v>
      </c>
      <c r="B2327" t="inlineStr" s="4">
        <is>
          <t>星期四</t>
        </is>
      </c>
      <c r="C2327" t="inlineStr" s="4">
        <is>
          <t>餐饮</t>
        </is>
      </c>
      <c r="D2327" t="inlineStr" s="5">
        <is>
          <t>晚餐</t>
        </is>
      </c>
      <c r="E2327" s="6"/>
      <c r="F2327" s="6"/>
      <c r="G2327" s="6">
        <f>IF(AND(E2327="",F2327=""),"",F2327-E2327)</f>
      </c>
      <c r="H2327" s="4"/>
      <c r="I2327" s="5"/>
    </row>
    <row r="2328" ht="21" customHeight="1">
      <c r="A2328" s="3">
        <v>46520</v>
      </c>
      <c r="B2328" t="inlineStr" s="4">
        <is>
          <t>星期四</t>
        </is>
      </c>
      <c r="C2328" t="inlineStr" s="4">
        <is>
          <t>奶茶/咖啡</t>
        </is>
      </c>
      <c r="D2328" t="inlineStr" s="5">
        <is>
          <t>奶茶/咖啡</t>
        </is>
      </c>
      <c r="E2328" s="6"/>
      <c r="F2328" s="6"/>
      <c r="G2328" s="6">
        <f>IF(AND(E2328="",F2328=""),"",F2328-E2328)</f>
      </c>
      <c r="H2328" s="4"/>
      <c r="I2328" s="5"/>
    </row>
    <row r="2329" ht="21" customHeight="1">
      <c r="A2329" s="3">
        <v>46520</v>
      </c>
      <c r="B2329" t="inlineStr" s="4">
        <is>
          <t>星期四</t>
        </is>
      </c>
      <c r="C2329" t="inlineStr" s="4">
        <is>
          <t>其他</t>
        </is>
      </c>
      <c r="D2329" t="inlineStr" s="5">
        <is>
          <t>其他</t>
        </is>
      </c>
      <c r="E2329" s="6"/>
      <c r="F2329" s="6"/>
      <c r="G2329" s="6">
        <f>IF(AND(E2329="",F2329=""),"",F2329-E2329)</f>
      </c>
      <c r="H2329" s="4"/>
      <c r="I2329" s="5"/>
    </row>
    <row r="2330" ht="21" customHeight="1">
      <c r="A2330" s="3">
        <v>46520</v>
      </c>
      <c r="B2330" t="inlineStr" s="4">
        <is>
          <t>星期四</t>
        </is>
      </c>
      <c r="C2330" t="inlineStr" s="4">
        <is>
          <t>其他</t>
        </is>
      </c>
      <c r="D2330" t="inlineStr" s="5">
        <is>
          <t>其他</t>
        </is>
      </c>
      <c r="E2330" s="6"/>
      <c r="F2330" s="6"/>
      <c r="G2330" s="6">
        <f>IF(AND(E2330="",F2330=""),"",F2330-E2330)</f>
      </c>
      <c r="H2330" s="4"/>
      <c r="I2330" s="5"/>
    </row>
    <row r="2331" ht="21" customHeight="1">
      <c r="A2331" s="3">
        <v>46521</v>
      </c>
      <c r="B2331" t="inlineStr" s="4">
        <is>
          <t>星期五</t>
        </is>
      </c>
      <c r="C2331" t="inlineStr" s="4">
        <is>
          <t>餐饮</t>
        </is>
      </c>
      <c r="D2331" t="inlineStr" s="5">
        <is>
          <t>早餐</t>
        </is>
      </c>
      <c r="E2331" s="6"/>
      <c r="F2331" s="6"/>
      <c r="G2331" s="6">
        <f>IF(AND(E2331="",F2331=""),"",F2331-E2331)</f>
      </c>
      <c r="H2331" s="4"/>
      <c r="I2331" s="5"/>
    </row>
    <row r="2332" ht="21" customHeight="1">
      <c r="A2332" s="3">
        <v>46521</v>
      </c>
      <c r="B2332" t="inlineStr" s="4">
        <is>
          <t>星期五</t>
        </is>
      </c>
      <c r="C2332" t="inlineStr" s="4">
        <is>
          <t>餐饮</t>
        </is>
      </c>
      <c r="D2332" t="inlineStr" s="5">
        <is>
          <t>中餐</t>
        </is>
      </c>
      <c r="E2332" s="6"/>
      <c r="F2332" s="6"/>
      <c r="G2332" s="6">
        <f>IF(AND(E2332="",F2332=""),"",F2332-E2332)</f>
      </c>
      <c r="H2332" s="4"/>
      <c r="I2332" s="5"/>
    </row>
    <row r="2333" ht="21" customHeight="1">
      <c r="A2333" s="3">
        <v>46521</v>
      </c>
      <c r="B2333" t="inlineStr" s="4">
        <is>
          <t>星期五</t>
        </is>
      </c>
      <c r="C2333" t="inlineStr" s="4">
        <is>
          <t>餐饮</t>
        </is>
      </c>
      <c r="D2333" t="inlineStr" s="5">
        <is>
          <t>晚餐</t>
        </is>
      </c>
      <c r="E2333" s="6"/>
      <c r="F2333" s="6"/>
      <c r="G2333" s="6">
        <f>IF(AND(E2333="",F2333=""),"",F2333-E2333)</f>
      </c>
      <c r="H2333" s="4"/>
      <c r="I2333" s="5"/>
    </row>
    <row r="2334" ht="21" customHeight="1">
      <c r="A2334" s="3">
        <v>46521</v>
      </c>
      <c r="B2334" t="inlineStr" s="4">
        <is>
          <t>星期五</t>
        </is>
      </c>
      <c r="C2334" t="inlineStr" s="4">
        <is>
          <t>奶茶/咖啡</t>
        </is>
      </c>
      <c r="D2334" t="inlineStr" s="5">
        <is>
          <t>奶茶/咖啡</t>
        </is>
      </c>
      <c r="E2334" s="6"/>
      <c r="F2334" s="6"/>
      <c r="G2334" s="6">
        <f>IF(AND(E2334="",F2334=""),"",F2334-E2334)</f>
      </c>
      <c r="H2334" s="4"/>
      <c r="I2334" s="5"/>
    </row>
    <row r="2335" ht="21" customHeight="1">
      <c r="A2335" s="3">
        <v>46521</v>
      </c>
      <c r="B2335" t="inlineStr" s="4">
        <is>
          <t>星期五</t>
        </is>
      </c>
      <c r="C2335" t="inlineStr" s="4">
        <is>
          <t>其他</t>
        </is>
      </c>
      <c r="D2335" t="inlineStr" s="5">
        <is>
          <t>其他</t>
        </is>
      </c>
      <c r="E2335" s="6"/>
      <c r="F2335" s="6"/>
      <c r="G2335" s="6">
        <f>IF(AND(E2335="",F2335=""),"",F2335-E2335)</f>
      </c>
      <c r="H2335" s="4"/>
      <c r="I2335" s="5"/>
    </row>
    <row r="2336" ht="21" customHeight="1">
      <c r="A2336" s="3">
        <v>46521</v>
      </c>
      <c r="B2336" t="inlineStr" s="4">
        <is>
          <t>星期五</t>
        </is>
      </c>
      <c r="C2336" t="inlineStr" s="4">
        <is>
          <t>其他</t>
        </is>
      </c>
      <c r="D2336" t="inlineStr" s="5">
        <is>
          <t>其他</t>
        </is>
      </c>
      <c r="E2336" s="6"/>
      <c r="F2336" s="6"/>
      <c r="G2336" s="6">
        <f>IF(AND(E2336="",F2336=""),"",F2336-E2336)</f>
      </c>
      <c r="H2336" s="4"/>
      <c r="I2336" s="5"/>
    </row>
    <row r="2337" ht="21" customHeight="1">
      <c r="A2337" s="3">
        <v>46522</v>
      </c>
      <c r="B2337" t="inlineStr" s="4">
        <is>
          <t>星期六</t>
        </is>
      </c>
      <c r="C2337" t="inlineStr" s="4">
        <is>
          <t>餐饮</t>
        </is>
      </c>
      <c r="D2337" t="inlineStr" s="5">
        <is>
          <t>早餐</t>
        </is>
      </c>
      <c r="E2337" s="6"/>
      <c r="F2337" s="6"/>
      <c r="G2337" s="6">
        <f>IF(AND(E2337="",F2337=""),"",F2337-E2337)</f>
      </c>
      <c r="H2337" s="4"/>
      <c r="I2337" s="5"/>
    </row>
    <row r="2338" ht="21" customHeight="1">
      <c r="A2338" s="3">
        <v>46522</v>
      </c>
      <c r="B2338" t="inlineStr" s="4">
        <is>
          <t>星期六</t>
        </is>
      </c>
      <c r="C2338" t="inlineStr" s="4">
        <is>
          <t>餐饮</t>
        </is>
      </c>
      <c r="D2338" t="inlineStr" s="5">
        <is>
          <t>中餐</t>
        </is>
      </c>
      <c r="E2338" s="6"/>
      <c r="F2338" s="6"/>
      <c r="G2338" s="6">
        <f>IF(AND(E2338="",F2338=""),"",F2338-E2338)</f>
      </c>
      <c r="H2338" s="4"/>
      <c r="I2338" s="5"/>
    </row>
    <row r="2339" ht="21" customHeight="1">
      <c r="A2339" s="3">
        <v>46522</v>
      </c>
      <c r="B2339" t="inlineStr" s="4">
        <is>
          <t>星期六</t>
        </is>
      </c>
      <c r="C2339" t="inlineStr" s="4">
        <is>
          <t>餐饮</t>
        </is>
      </c>
      <c r="D2339" t="inlineStr" s="5">
        <is>
          <t>晚餐</t>
        </is>
      </c>
      <c r="E2339" s="6"/>
      <c r="F2339" s="6"/>
      <c r="G2339" s="6">
        <f>IF(AND(E2339="",F2339=""),"",F2339-E2339)</f>
      </c>
      <c r="H2339" s="4"/>
      <c r="I2339" s="5"/>
    </row>
    <row r="2340" ht="21" customHeight="1">
      <c r="A2340" s="3">
        <v>46522</v>
      </c>
      <c r="B2340" t="inlineStr" s="4">
        <is>
          <t>星期六</t>
        </is>
      </c>
      <c r="C2340" t="inlineStr" s="4">
        <is>
          <t>奶茶/咖啡</t>
        </is>
      </c>
      <c r="D2340" t="inlineStr" s="5">
        <is>
          <t>奶茶/咖啡</t>
        </is>
      </c>
      <c r="E2340" s="6"/>
      <c r="F2340" s="6"/>
      <c r="G2340" s="6">
        <f>IF(AND(E2340="",F2340=""),"",F2340-E2340)</f>
      </c>
      <c r="H2340" s="4"/>
      <c r="I2340" s="5"/>
    </row>
    <row r="2341" ht="21" customHeight="1">
      <c r="A2341" s="3">
        <v>46522</v>
      </c>
      <c r="B2341" t="inlineStr" s="4">
        <is>
          <t>星期六</t>
        </is>
      </c>
      <c r="C2341" t="inlineStr" s="4">
        <is>
          <t>其他</t>
        </is>
      </c>
      <c r="D2341" t="inlineStr" s="5">
        <is>
          <t>其他</t>
        </is>
      </c>
      <c r="E2341" s="6"/>
      <c r="F2341" s="6"/>
      <c r="G2341" s="6">
        <f>IF(AND(E2341="",F2341=""),"",F2341-E2341)</f>
      </c>
      <c r="H2341" s="4"/>
      <c r="I2341" s="5"/>
    </row>
    <row r="2342" ht="21" customHeight="1">
      <c r="A2342" s="3">
        <v>46522</v>
      </c>
      <c r="B2342" t="inlineStr" s="4">
        <is>
          <t>星期六</t>
        </is>
      </c>
      <c r="C2342" t="inlineStr" s="4">
        <is>
          <t>其他</t>
        </is>
      </c>
      <c r="D2342" t="inlineStr" s="5">
        <is>
          <t>其他</t>
        </is>
      </c>
      <c r="E2342" s="6"/>
      <c r="F2342" s="6"/>
      <c r="G2342" s="6">
        <f>IF(AND(E2342="",F2342=""),"",F2342-E2342)</f>
      </c>
      <c r="H2342" s="4"/>
      <c r="I2342" s="5"/>
    </row>
    <row r="2343" ht="21" customHeight="1">
      <c r="A2343" s="3">
        <v>46523</v>
      </c>
      <c r="B2343" t="inlineStr" s="4">
        <is>
          <t>星期日</t>
        </is>
      </c>
      <c r="C2343" t="inlineStr" s="4">
        <is>
          <t>餐饮</t>
        </is>
      </c>
      <c r="D2343" t="inlineStr" s="5">
        <is>
          <t>早餐</t>
        </is>
      </c>
      <c r="E2343" s="6"/>
      <c r="F2343" s="6"/>
      <c r="G2343" s="6">
        <f>IF(AND(E2343="",F2343=""),"",F2343-E2343)</f>
      </c>
      <c r="H2343" s="4"/>
      <c r="I2343" s="5"/>
    </row>
    <row r="2344" ht="21" customHeight="1">
      <c r="A2344" s="3">
        <v>46523</v>
      </c>
      <c r="B2344" t="inlineStr" s="4">
        <is>
          <t>星期日</t>
        </is>
      </c>
      <c r="C2344" t="inlineStr" s="4">
        <is>
          <t>餐饮</t>
        </is>
      </c>
      <c r="D2344" t="inlineStr" s="5">
        <is>
          <t>中餐</t>
        </is>
      </c>
      <c r="E2344" s="6"/>
      <c r="F2344" s="6"/>
      <c r="G2344" s="6">
        <f>IF(AND(E2344="",F2344=""),"",F2344-E2344)</f>
      </c>
      <c r="H2344" s="4"/>
      <c r="I2344" s="5"/>
    </row>
    <row r="2345" ht="21" customHeight="1">
      <c r="A2345" s="3">
        <v>46523</v>
      </c>
      <c r="B2345" t="inlineStr" s="4">
        <is>
          <t>星期日</t>
        </is>
      </c>
      <c r="C2345" t="inlineStr" s="4">
        <is>
          <t>餐饮</t>
        </is>
      </c>
      <c r="D2345" t="inlineStr" s="5">
        <is>
          <t>晚餐</t>
        </is>
      </c>
      <c r="E2345" s="6"/>
      <c r="F2345" s="6"/>
      <c r="G2345" s="6">
        <f>IF(AND(E2345="",F2345=""),"",F2345-E2345)</f>
      </c>
      <c r="H2345" s="4"/>
      <c r="I2345" s="5"/>
    </row>
    <row r="2346" ht="21" customHeight="1">
      <c r="A2346" s="3">
        <v>46523</v>
      </c>
      <c r="B2346" t="inlineStr" s="4">
        <is>
          <t>星期日</t>
        </is>
      </c>
      <c r="C2346" t="inlineStr" s="4">
        <is>
          <t>奶茶/咖啡</t>
        </is>
      </c>
      <c r="D2346" t="inlineStr" s="5">
        <is>
          <t>奶茶/咖啡</t>
        </is>
      </c>
      <c r="E2346" s="6"/>
      <c r="F2346" s="6"/>
      <c r="G2346" s="6">
        <f>IF(AND(E2346="",F2346=""),"",F2346-E2346)</f>
      </c>
      <c r="H2346" s="4"/>
      <c r="I2346" s="5"/>
    </row>
    <row r="2347" ht="21" customHeight="1">
      <c r="A2347" s="3">
        <v>46523</v>
      </c>
      <c r="B2347" t="inlineStr" s="4">
        <is>
          <t>星期日</t>
        </is>
      </c>
      <c r="C2347" t="inlineStr" s="4">
        <is>
          <t>其他</t>
        </is>
      </c>
      <c r="D2347" t="inlineStr" s="5">
        <is>
          <t>其他</t>
        </is>
      </c>
      <c r="E2347" s="6"/>
      <c r="F2347" s="6"/>
      <c r="G2347" s="6">
        <f>IF(AND(E2347="",F2347=""),"",F2347-E2347)</f>
      </c>
      <c r="H2347" s="4"/>
      <c r="I2347" s="5"/>
    </row>
    <row r="2348" ht="21" customHeight="1">
      <c r="A2348" s="3">
        <v>46523</v>
      </c>
      <c r="B2348" t="inlineStr" s="4">
        <is>
          <t>星期日</t>
        </is>
      </c>
      <c r="C2348" t="inlineStr" s="4">
        <is>
          <t>其他</t>
        </is>
      </c>
      <c r="D2348" t="inlineStr" s="5">
        <is>
          <t>其他</t>
        </is>
      </c>
      <c r="E2348" s="6"/>
      <c r="F2348" s="6"/>
      <c r="G2348" s="6">
        <f>IF(AND(E2348="",F2348=""),"",F2348-E2348)</f>
      </c>
      <c r="H2348" s="4"/>
      <c r="I2348" s="5"/>
    </row>
    <row r="2349" ht="23" customHeight="1">
      <c r="A2349" t="inlineStr" s="7">
        <is>
          <t>本周小计</t>
        </is>
      </c>
      <c r="B2349" s="7"/>
      <c r="C2349" s="7"/>
      <c r="D2349" s="7"/>
      <c r="E2349" s="8">
        <f>SUM(E2307:E2348)</f>
      </c>
      <c r="F2349" s="8">
        <f>SUM(F2307:F2348)</f>
      </c>
      <c r="G2349" s="8">
        <f>SUM(G2307:G2348)</f>
      </c>
      <c r="H2349" s="7"/>
      <c r="I2349" s="7"/>
    </row>
    <row r="2350" ht="18" customHeight="1">
      <c r="A2350" s="9"/>
      <c r="B2350" s="9"/>
      <c r="C2350" s="9"/>
      <c r="D2350" s="9"/>
      <c r="E2350" s="9"/>
      <c r="F2350" s="9"/>
      <c r="G2350" s="9"/>
      <c r="H2350" s="9"/>
      <c r="I2350" s="9"/>
    </row>
    <row r="2351" ht="18" customHeight="1">
      <c r="A2351" s="9"/>
      <c r="B2351" s="9"/>
      <c r="C2351" s="9"/>
      <c r="D2351" s="9"/>
      <c r="E2351" s="9"/>
      <c r="F2351" s="9"/>
      <c r="G2351" s="9"/>
      <c r="H2351" s="9"/>
      <c r="I2351" s="9"/>
    </row>
    <row r="2352" ht="26" customHeight="1">
      <c r="A2352" t="inlineStr" s="2">
        <is>
          <t>2027年5月｜第三周（5月17日 - 5月23日）</t>
        </is>
      </c>
      <c r="B2352" s="2"/>
      <c r="C2352" s="2"/>
      <c r="D2352" s="2"/>
      <c r="E2352" s="2"/>
      <c r="F2352" s="2"/>
      <c r="G2352" s="2"/>
      <c r="H2352" s="2"/>
      <c r="I2352" s="2"/>
    </row>
    <row r="2353" ht="22" customHeight="1">
      <c r="A2353" t="inlineStr" s="1">
        <is>
          <t>日期</t>
        </is>
      </c>
      <c r="B2353" t="inlineStr" s="1">
        <is>
          <t>星期</t>
        </is>
      </c>
      <c r="C2353" t="inlineStr" s="1">
        <is>
          <t>分类</t>
        </is>
      </c>
      <c r="D2353" t="inlineStr" s="1">
        <is>
          <t>事项</t>
        </is>
      </c>
      <c r="E2353" t="inlineStr" s="1">
        <is>
          <t>支出金额</t>
        </is>
      </c>
      <c r="F2353" t="inlineStr" s="1">
        <is>
          <t>收入金额</t>
        </is>
      </c>
      <c r="G2353" t="inlineStr" s="1">
        <is>
          <t>当笔净额</t>
        </is>
      </c>
      <c r="H2353" t="inlineStr" s="1">
        <is>
          <t>支付方式</t>
        </is>
      </c>
      <c r="I2353" t="inlineStr" s="1">
        <is>
          <t>备注</t>
        </is>
      </c>
    </row>
    <row r="2354" ht="21" customHeight="1">
      <c r="A2354" s="3">
        <v>46524</v>
      </c>
      <c r="B2354" t="inlineStr" s="4">
        <is>
          <t>星期一</t>
        </is>
      </c>
      <c r="C2354" t="inlineStr" s="4">
        <is>
          <t>餐饮</t>
        </is>
      </c>
      <c r="D2354" t="inlineStr" s="5">
        <is>
          <t>早餐</t>
        </is>
      </c>
      <c r="E2354" s="6"/>
      <c r="F2354" s="6"/>
      <c r="G2354" s="6">
        <f>IF(AND(E2354="",F2354=""),"",F2354-E2354)</f>
      </c>
      <c r="H2354" s="4"/>
      <c r="I2354" s="5"/>
    </row>
    <row r="2355" ht="21" customHeight="1">
      <c r="A2355" s="3">
        <v>46524</v>
      </c>
      <c r="B2355" t="inlineStr" s="4">
        <is>
          <t>星期一</t>
        </is>
      </c>
      <c r="C2355" t="inlineStr" s="4">
        <is>
          <t>餐饮</t>
        </is>
      </c>
      <c r="D2355" t="inlineStr" s="5">
        <is>
          <t>中餐</t>
        </is>
      </c>
      <c r="E2355" s="6"/>
      <c r="F2355" s="6"/>
      <c r="G2355" s="6">
        <f>IF(AND(E2355="",F2355=""),"",F2355-E2355)</f>
      </c>
      <c r="H2355" s="4"/>
      <c r="I2355" s="5"/>
    </row>
    <row r="2356" ht="21" customHeight="1">
      <c r="A2356" s="3">
        <v>46524</v>
      </c>
      <c r="B2356" t="inlineStr" s="4">
        <is>
          <t>星期一</t>
        </is>
      </c>
      <c r="C2356" t="inlineStr" s="4">
        <is>
          <t>餐饮</t>
        </is>
      </c>
      <c r="D2356" t="inlineStr" s="5">
        <is>
          <t>晚餐</t>
        </is>
      </c>
      <c r="E2356" s="6"/>
      <c r="F2356" s="6"/>
      <c r="G2356" s="6">
        <f>IF(AND(E2356="",F2356=""),"",F2356-E2356)</f>
      </c>
      <c r="H2356" s="4"/>
      <c r="I2356" s="5"/>
    </row>
    <row r="2357" ht="21" customHeight="1">
      <c r="A2357" s="3">
        <v>46524</v>
      </c>
      <c r="B2357" t="inlineStr" s="4">
        <is>
          <t>星期一</t>
        </is>
      </c>
      <c r="C2357" t="inlineStr" s="4">
        <is>
          <t>奶茶/咖啡</t>
        </is>
      </c>
      <c r="D2357" t="inlineStr" s="5">
        <is>
          <t>奶茶/咖啡</t>
        </is>
      </c>
      <c r="E2357" s="6"/>
      <c r="F2357" s="6"/>
      <c r="G2357" s="6">
        <f>IF(AND(E2357="",F2357=""),"",F2357-E2357)</f>
      </c>
      <c r="H2357" s="4"/>
      <c r="I2357" s="5"/>
    </row>
    <row r="2358" ht="21" customHeight="1">
      <c r="A2358" s="3">
        <v>46524</v>
      </c>
      <c r="B2358" t="inlineStr" s="4">
        <is>
          <t>星期一</t>
        </is>
      </c>
      <c r="C2358" t="inlineStr" s="4">
        <is>
          <t>其他</t>
        </is>
      </c>
      <c r="D2358" t="inlineStr" s="5">
        <is>
          <t>其他</t>
        </is>
      </c>
      <c r="E2358" s="6"/>
      <c r="F2358" s="6"/>
      <c r="G2358" s="6">
        <f>IF(AND(E2358="",F2358=""),"",F2358-E2358)</f>
      </c>
      <c r="H2358" s="4"/>
      <c r="I2358" s="5"/>
    </row>
    <row r="2359" ht="21" customHeight="1">
      <c r="A2359" s="3">
        <v>46524</v>
      </c>
      <c r="B2359" t="inlineStr" s="4">
        <is>
          <t>星期一</t>
        </is>
      </c>
      <c r="C2359" t="inlineStr" s="4">
        <is>
          <t>其他</t>
        </is>
      </c>
      <c r="D2359" t="inlineStr" s="5">
        <is>
          <t>其他</t>
        </is>
      </c>
      <c r="E2359" s="6"/>
      <c r="F2359" s="6"/>
      <c r="G2359" s="6">
        <f>IF(AND(E2359="",F2359=""),"",F2359-E2359)</f>
      </c>
      <c r="H2359" s="4"/>
      <c r="I2359" s="5"/>
    </row>
    <row r="2360" ht="21" customHeight="1">
      <c r="A2360" s="3">
        <v>46525</v>
      </c>
      <c r="B2360" t="inlineStr" s="4">
        <is>
          <t>星期二</t>
        </is>
      </c>
      <c r="C2360" t="inlineStr" s="4">
        <is>
          <t>餐饮</t>
        </is>
      </c>
      <c r="D2360" t="inlineStr" s="5">
        <is>
          <t>早餐</t>
        </is>
      </c>
      <c r="E2360" s="6"/>
      <c r="F2360" s="6"/>
      <c r="G2360" s="6">
        <f>IF(AND(E2360="",F2360=""),"",F2360-E2360)</f>
      </c>
      <c r="H2360" s="4"/>
      <c r="I2360" s="5"/>
    </row>
    <row r="2361" ht="21" customHeight="1">
      <c r="A2361" s="3">
        <v>46525</v>
      </c>
      <c r="B2361" t="inlineStr" s="4">
        <is>
          <t>星期二</t>
        </is>
      </c>
      <c r="C2361" t="inlineStr" s="4">
        <is>
          <t>餐饮</t>
        </is>
      </c>
      <c r="D2361" t="inlineStr" s="5">
        <is>
          <t>中餐</t>
        </is>
      </c>
      <c r="E2361" s="6"/>
      <c r="F2361" s="6"/>
      <c r="G2361" s="6">
        <f>IF(AND(E2361="",F2361=""),"",F2361-E2361)</f>
      </c>
      <c r="H2361" s="4"/>
      <c r="I2361" s="5"/>
    </row>
    <row r="2362" ht="21" customHeight="1">
      <c r="A2362" s="3">
        <v>46525</v>
      </c>
      <c r="B2362" t="inlineStr" s="4">
        <is>
          <t>星期二</t>
        </is>
      </c>
      <c r="C2362" t="inlineStr" s="4">
        <is>
          <t>餐饮</t>
        </is>
      </c>
      <c r="D2362" t="inlineStr" s="5">
        <is>
          <t>晚餐</t>
        </is>
      </c>
      <c r="E2362" s="6"/>
      <c r="F2362" s="6"/>
      <c r="G2362" s="6">
        <f>IF(AND(E2362="",F2362=""),"",F2362-E2362)</f>
      </c>
      <c r="H2362" s="4"/>
      <c r="I2362" s="5"/>
    </row>
    <row r="2363" ht="21" customHeight="1">
      <c r="A2363" s="3">
        <v>46525</v>
      </c>
      <c r="B2363" t="inlineStr" s="4">
        <is>
          <t>星期二</t>
        </is>
      </c>
      <c r="C2363" t="inlineStr" s="4">
        <is>
          <t>奶茶/咖啡</t>
        </is>
      </c>
      <c r="D2363" t="inlineStr" s="5">
        <is>
          <t>奶茶/咖啡</t>
        </is>
      </c>
      <c r="E2363" s="6"/>
      <c r="F2363" s="6"/>
      <c r="G2363" s="6">
        <f>IF(AND(E2363="",F2363=""),"",F2363-E2363)</f>
      </c>
      <c r="H2363" s="4"/>
      <c r="I2363" s="5"/>
    </row>
    <row r="2364" ht="21" customHeight="1">
      <c r="A2364" s="3">
        <v>46525</v>
      </c>
      <c r="B2364" t="inlineStr" s="4">
        <is>
          <t>星期二</t>
        </is>
      </c>
      <c r="C2364" t="inlineStr" s="4">
        <is>
          <t>其他</t>
        </is>
      </c>
      <c r="D2364" t="inlineStr" s="5">
        <is>
          <t>其他</t>
        </is>
      </c>
      <c r="E2364" s="6"/>
      <c r="F2364" s="6"/>
      <c r="G2364" s="6">
        <f>IF(AND(E2364="",F2364=""),"",F2364-E2364)</f>
      </c>
      <c r="H2364" s="4"/>
      <c r="I2364" s="5"/>
    </row>
    <row r="2365" ht="21" customHeight="1">
      <c r="A2365" s="3">
        <v>46525</v>
      </c>
      <c r="B2365" t="inlineStr" s="4">
        <is>
          <t>星期二</t>
        </is>
      </c>
      <c r="C2365" t="inlineStr" s="4">
        <is>
          <t>其他</t>
        </is>
      </c>
      <c r="D2365" t="inlineStr" s="5">
        <is>
          <t>其他</t>
        </is>
      </c>
      <c r="E2365" s="6"/>
      <c r="F2365" s="6"/>
      <c r="G2365" s="6">
        <f>IF(AND(E2365="",F2365=""),"",F2365-E2365)</f>
      </c>
      <c r="H2365" s="4"/>
      <c r="I2365" s="5"/>
    </row>
    <row r="2366" ht="21" customHeight="1">
      <c r="A2366" s="3">
        <v>46526</v>
      </c>
      <c r="B2366" t="inlineStr" s="4">
        <is>
          <t>星期三</t>
        </is>
      </c>
      <c r="C2366" t="inlineStr" s="4">
        <is>
          <t>餐饮</t>
        </is>
      </c>
      <c r="D2366" t="inlineStr" s="5">
        <is>
          <t>早餐</t>
        </is>
      </c>
      <c r="E2366" s="6"/>
      <c r="F2366" s="6"/>
      <c r="G2366" s="6">
        <f>IF(AND(E2366="",F2366=""),"",F2366-E2366)</f>
      </c>
      <c r="H2366" s="4"/>
      <c r="I2366" s="5"/>
    </row>
    <row r="2367" ht="21" customHeight="1">
      <c r="A2367" s="3">
        <v>46526</v>
      </c>
      <c r="B2367" t="inlineStr" s="4">
        <is>
          <t>星期三</t>
        </is>
      </c>
      <c r="C2367" t="inlineStr" s="4">
        <is>
          <t>餐饮</t>
        </is>
      </c>
      <c r="D2367" t="inlineStr" s="5">
        <is>
          <t>中餐</t>
        </is>
      </c>
      <c r="E2367" s="6"/>
      <c r="F2367" s="6"/>
      <c r="G2367" s="6">
        <f>IF(AND(E2367="",F2367=""),"",F2367-E2367)</f>
      </c>
      <c r="H2367" s="4"/>
      <c r="I2367" s="5"/>
    </row>
    <row r="2368" ht="21" customHeight="1">
      <c r="A2368" s="3">
        <v>46526</v>
      </c>
      <c r="B2368" t="inlineStr" s="4">
        <is>
          <t>星期三</t>
        </is>
      </c>
      <c r="C2368" t="inlineStr" s="4">
        <is>
          <t>餐饮</t>
        </is>
      </c>
      <c r="D2368" t="inlineStr" s="5">
        <is>
          <t>晚餐</t>
        </is>
      </c>
      <c r="E2368" s="6"/>
      <c r="F2368" s="6"/>
      <c r="G2368" s="6">
        <f>IF(AND(E2368="",F2368=""),"",F2368-E2368)</f>
      </c>
      <c r="H2368" s="4"/>
      <c r="I2368" s="5"/>
    </row>
    <row r="2369" ht="21" customHeight="1">
      <c r="A2369" s="3">
        <v>46526</v>
      </c>
      <c r="B2369" t="inlineStr" s="4">
        <is>
          <t>星期三</t>
        </is>
      </c>
      <c r="C2369" t="inlineStr" s="4">
        <is>
          <t>奶茶/咖啡</t>
        </is>
      </c>
      <c r="D2369" t="inlineStr" s="5">
        <is>
          <t>奶茶/咖啡</t>
        </is>
      </c>
      <c r="E2369" s="6"/>
      <c r="F2369" s="6"/>
      <c r="G2369" s="6">
        <f>IF(AND(E2369="",F2369=""),"",F2369-E2369)</f>
      </c>
      <c r="H2369" s="4"/>
      <c r="I2369" s="5"/>
    </row>
    <row r="2370" ht="21" customHeight="1">
      <c r="A2370" s="3">
        <v>46526</v>
      </c>
      <c r="B2370" t="inlineStr" s="4">
        <is>
          <t>星期三</t>
        </is>
      </c>
      <c r="C2370" t="inlineStr" s="4">
        <is>
          <t>其他</t>
        </is>
      </c>
      <c r="D2370" t="inlineStr" s="5">
        <is>
          <t>其他</t>
        </is>
      </c>
      <c r="E2370" s="6"/>
      <c r="F2370" s="6"/>
      <c r="G2370" s="6">
        <f>IF(AND(E2370="",F2370=""),"",F2370-E2370)</f>
      </c>
      <c r="H2370" s="4"/>
      <c r="I2370" s="5"/>
    </row>
    <row r="2371" ht="21" customHeight="1">
      <c r="A2371" s="3">
        <v>46526</v>
      </c>
      <c r="B2371" t="inlineStr" s="4">
        <is>
          <t>星期三</t>
        </is>
      </c>
      <c r="C2371" t="inlineStr" s="4">
        <is>
          <t>其他</t>
        </is>
      </c>
      <c r="D2371" t="inlineStr" s="5">
        <is>
          <t>其他</t>
        </is>
      </c>
      <c r="E2371" s="6"/>
      <c r="F2371" s="6"/>
      <c r="G2371" s="6">
        <f>IF(AND(E2371="",F2371=""),"",F2371-E2371)</f>
      </c>
      <c r="H2371" s="4"/>
      <c r="I2371" s="5"/>
    </row>
    <row r="2372" ht="21" customHeight="1">
      <c r="A2372" s="3">
        <v>46527</v>
      </c>
      <c r="B2372" t="inlineStr" s="4">
        <is>
          <t>星期四</t>
        </is>
      </c>
      <c r="C2372" t="inlineStr" s="4">
        <is>
          <t>餐饮</t>
        </is>
      </c>
      <c r="D2372" t="inlineStr" s="5">
        <is>
          <t>早餐</t>
        </is>
      </c>
      <c r="E2372" s="6"/>
      <c r="F2372" s="6"/>
      <c r="G2372" s="6">
        <f>IF(AND(E2372="",F2372=""),"",F2372-E2372)</f>
      </c>
      <c r="H2372" s="4"/>
      <c r="I2372" s="5"/>
    </row>
    <row r="2373" ht="21" customHeight="1">
      <c r="A2373" s="3">
        <v>46527</v>
      </c>
      <c r="B2373" t="inlineStr" s="4">
        <is>
          <t>星期四</t>
        </is>
      </c>
      <c r="C2373" t="inlineStr" s="4">
        <is>
          <t>餐饮</t>
        </is>
      </c>
      <c r="D2373" t="inlineStr" s="5">
        <is>
          <t>中餐</t>
        </is>
      </c>
      <c r="E2373" s="6"/>
      <c r="F2373" s="6"/>
      <c r="G2373" s="6">
        <f>IF(AND(E2373="",F2373=""),"",F2373-E2373)</f>
      </c>
      <c r="H2373" s="4"/>
      <c r="I2373" s="5"/>
    </row>
    <row r="2374" ht="21" customHeight="1">
      <c r="A2374" s="3">
        <v>46527</v>
      </c>
      <c r="B2374" t="inlineStr" s="4">
        <is>
          <t>星期四</t>
        </is>
      </c>
      <c r="C2374" t="inlineStr" s="4">
        <is>
          <t>餐饮</t>
        </is>
      </c>
      <c r="D2374" t="inlineStr" s="5">
        <is>
          <t>晚餐</t>
        </is>
      </c>
      <c r="E2374" s="6"/>
      <c r="F2374" s="6"/>
      <c r="G2374" s="6">
        <f>IF(AND(E2374="",F2374=""),"",F2374-E2374)</f>
      </c>
      <c r="H2374" s="4"/>
      <c r="I2374" s="5"/>
    </row>
    <row r="2375" ht="21" customHeight="1">
      <c r="A2375" s="3">
        <v>46527</v>
      </c>
      <c r="B2375" t="inlineStr" s="4">
        <is>
          <t>星期四</t>
        </is>
      </c>
      <c r="C2375" t="inlineStr" s="4">
        <is>
          <t>奶茶/咖啡</t>
        </is>
      </c>
      <c r="D2375" t="inlineStr" s="5">
        <is>
          <t>奶茶/咖啡</t>
        </is>
      </c>
      <c r="E2375" s="6"/>
      <c r="F2375" s="6"/>
      <c r="G2375" s="6">
        <f>IF(AND(E2375="",F2375=""),"",F2375-E2375)</f>
      </c>
      <c r="H2375" s="4"/>
      <c r="I2375" s="5"/>
    </row>
    <row r="2376" ht="21" customHeight="1">
      <c r="A2376" s="3">
        <v>46527</v>
      </c>
      <c r="B2376" t="inlineStr" s="4">
        <is>
          <t>星期四</t>
        </is>
      </c>
      <c r="C2376" t="inlineStr" s="4">
        <is>
          <t>其他</t>
        </is>
      </c>
      <c r="D2376" t="inlineStr" s="5">
        <is>
          <t>其他</t>
        </is>
      </c>
      <c r="E2376" s="6"/>
      <c r="F2376" s="6"/>
      <c r="G2376" s="6">
        <f>IF(AND(E2376="",F2376=""),"",F2376-E2376)</f>
      </c>
      <c r="H2376" s="4"/>
      <c r="I2376" s="5"/>
    </row>
    <row r="2377" ht="21" customHeight="1">
      <c r="A2377" s="3">
        <v>46527</v>
      </c>
      <c r="B2377" t="inlineStr" s="4">
        <is>
          <t>星期四</t>
        </is>
      </c>
      <c r="C2377" t="inlineStr" s="4">
        <is>
          <t>其他</t>
        </is>
      </c>
      <c r="D2377" t="inlineStr" s="5">
        <is>
          <t>其他</t>
        </is>
      </c>
      <c r="E2377" s="6"/>
      <c r="F2377" s="6"/>
      <c r="G2377" s="6">
        <f>IF(AND(E2377="",F2377=""),"",F2377-E2377)</f>
      </c>
      <c r="H2377" s="4"/>
      <c r="I2377" s="5"/>
    </row>
    <row r="2378" ht="21" customHeight="1">
      <c r="A2378" s="3">
        <v>46528</v>
      </c>
      <c r="B2378" t="inlineStr" s="4">
        <is>
          <t>星期五</t>
        </is>
      </c>
      <c r="C2378" t="inlineStr" s="4">
        <is>
          <t>餐饮</t>
        </is>
      </c>
      <c r="D2378" t="inlineStr" s="5">
        <is>
          <t>早餐</t>
        </is>
      </c>
      <c r="E2378" s="6"/>
      <c r="F2378" s="6"/>
      <c r="G2378" s="6">
        <f>IF(AND(E2378="",F2378=""),"",F2378-E2378)</f>
      </c>
      <c r="H2378" s="4"/>
      <c r="I2378" s="5"/>
    </row>
    <row r="2379" ht="21" customHeight="1">
      <c r="A2379" s="3">
        <v>46528</v>
      </c>
      <c r="B2379" t="inlineStr" s="4">
        <is>
          <t>星期五</t>
        </is>
      </c>
      <c r="C2379" t="inlineStr" s="4">
        <is>
          <t>餐饮</t>
        </is>
      </c>
      <c r="D2379" t="inlineStr" s="5">
        <is>
          <t>中餐</t>
        </is>
      </c>
      <c r="E2379" s="6"/>
      <c r="F2379" s="6"/>
      <c r="G2379" s="6">
        <f>IF(AND(E2379="",F2379=""),"",F2379-E2379)</f>
      </c>
      <c r="H2379" s="4"/>
      <c r="I2379" s="5"/>
    </row>
    <row r="2380" ht="21" customHeight="1">
      <c r="A2380" s="3">
        <v>46528</v>
      </c>
      <c r="B2380" t="inlineStr" s="4">
        <is>
          <t>星期五</t>
        </is>
      </c>
      <c r="C2380" t="inlineStr" s="4">
        <is>
          <t>餐饮</t>
        </is>
      </c>
      <c r="D2380" t="inlineStr" s="5">
        <is>
          <t>晚餐</t>
        </is>
      </c>
      <c r="E2380" s="6"/>
      <c r="F2380" s="6"/>
      <c r="G2380" s="6">
        <f>IF(AND(E2380="",F2380=""),"",F2380-E2380)</f>
      </c>
      <c r="H2380" s="4"/>
      <c r="I2380" s="5"/>
    </row>
    <row r="2381" ht="21" customHeight="1">
      <c r="A2381" s="3">
        <v>46528</v>
      </c>
      <c r="B2381" t="inlineStr" s="4">
        <is>
          <t>星期五</t>
        </is>
      </c>
      <c r="C2381" t="inlineStr" s="4">
        <is>
          <t>奶茶/咖啡</t>
        </is>
      </c>
      <c r="D2381" t="inlineStr" s="5">
        <is>
          <t>奶茶/咖啡</t>
        </is>
      </c>
      <c r="E2381" s="6"/>
      <c r="F2381" s="6"/>
      <c r="G2381" s="6">
        <f>IF(AND(E2381="",F2381=""),"",F2381-E2381)</f>
      </c>
      <c r="H2381" s="4"/>
      <c r="I2381" s="5"/>
    </row>
    <row r="2382" ht="21" customHeight="1">
      <c r="A2382" s="3">
        <v>46528</v>
      </c>
      <c r="B2382" t="inlineStr" s="4">
        <is>
          <t>星期五</t>
        </is>
      </c>
      <c r="C2382" t="inlineStr" s="4">
        <is>
          <t>其他</t>
        </is>
      </c>
      <c r="D2382" t="inlineStr" s="5">
        <is>
          <t>其他</t>
        </is>
      </c>
      <c r="E2382" s="6"/>
      <c r="F2382" s="6"/>
      <c r="G2382" s="6">
        <f>IF(AND(E2382="",F2382=""),"",F2382-E2382)</f>
      </c>
      <c r="H2382" s="4"/>
      <c r="I2382" s="5"/>
    </row>
    <row r="2383" ht="21" customHeight="1">
      <c r="A2383" s="3">
        <v>46528</v>
      </c>
      <c r="B2383" t="inlineStr" s="4">
        <is>
          <t>星期五</t>
        </is>
      </c>
      <c r="C2383" t="inlineStr" s="4">
        <is>
          <t>其他</t>
        </is>
      </c>
      <c r="D2383" t="inlineStr" s="5">
        <is>
          <t>其他</t>
        </is>
      </c>
      <c r="E2383" s="6"/>
      <c r="F2383" s="6"/>
      <c r="G2383" s="6">
        <f>IF(AND(E2383="",F2383=""),"",F2383-E2383)</f>
      </c>
      <c r="H2383" s="4"/>
      <c r="I2383" s="5"/>
    </row>
    <row r="2384" ht="21" customHeight="1">
      <c r="A2384" s="3">
        <v>46529</v>
      </c>
      <c r="B2384" t="inlineStr" s="4">
        <is>
          <t>星期六</t>
        </is>
      </c>
      <c r="C2384" t="inlineStr" s="4">
        <is>
          <t>餐饮</t>
        </is>
      </c>
      <c r="D2384" t="inlineStr" s="5">
        <is>
          <t>早餐</t>
        </is>
      </c>
      <c r="E2384" s="6"/>
      <c r="F2384" s="6"/>
      <c r="G2384" s="6">
        <f>IF(AND(E2384="",F2384=""),"",F2384-E2384)</f>
      </c>
      <c r="H2384" s="4"/>
      <c r="I2384" s="5"/>
    </row>
    <row r="2385" ht="21" customHeight="1">
      <c r="A2385" s="3">
        <v>46529</v>
      </c>
      <c r="B2385" t="inlineStr" s="4">
        <is>
          <t>星期六</t>
        </is>
      </c>
      <c r="C2385" t="inlineStr" s="4">
        <is>
          <t>餐饮</t>
        </is>
      </c>
      <c r="D2385" t="inlineStr" s="5">
        <is>
          <t>中餐</t>
        </is>
      </c>
      <c r="E2385" s="6"/>
      <c r="F2385" s="6"/>
      <c r="G2385" s="6">
        <f>IF(AND(E2385="",F2385=""),"",F2385-E2385)</f>
      </c>
      <c r="H2385" s="4"/>
      <c r="I2385" s="5"/>
    </row>
    <row r="2386" ht="21" customHeight="1">
      <c r="A2386" s="3">
        <v>46529</v>
      </c>
      <c r="B2386" t="inlineStr" s="4">
        <is>
          <t>星期六</t>
        </is>
      </c>
      <c r="C2386" t="inlineStr" s="4">
        <is>
          <t>餐饮</t>
        </is>
      </c>
      <c r="D2386" t="inlineStr" s="5">
        <is>
          <t>晚餐</t>
        </is>
      </c>
      <c r="E2386" s="6"/>
      <c r="F2386" s="6"/>
      <c r="G2386" s="6">
        <f>IF(AND(E2386="",F2386=""),"",F2386-E2386)</f>
      </c>
      <c r="H2386" s="4"/>
      <c r="I2386" s="5"/>
    </row>
    <row r="2387" ht="21" customHeight="1">
      <c r="A2387" s="3">
        <v>46529</v>
      </c>
      <c r="B2387" t="inlineStr" s="4">
        <is>
          <t>星期六</t>
        </is>
      </c>
      <c r="C2387" t="inlineStr" s="4">
        <is>
          <t>奶茶/咖啡</t>
        </is>
      </c>
      <c r="D2387" t="inlineStr" s="5">
        <is>
          <t>奶茶/咖啡</t>
        </is>
      </c>
      <c r="E2387" s="6"/>
      <c r="F2387" s="6"/>
      <c r="G2387" s="6">
        <f>IF(AND(E2387="",F2387=""),"",F2387-E2387)</f>
      </c>
      <c r="H2387" s="4"/>
      <c r="I2387" s="5"/>
    </row>
    <row r="2388" ht="21" customHeight="1">
      <c r="A2388" s="3">
        <v>46529</v>
      </c>
      <c r="B2388" t="inlineStr" s="4">
        <is>
          <t>星期六</t>
        </is>
      </c>
      <c r="C2388" t="inlineStr" s="4">
        <is>
          <t>其他</t>
        </is>
      </c>
      <c r="D2388" t="inlineStr" s="5">
        <is>
          <t>其他</t>
        </is>
      </c>
      <c r="E2388" s="6"/>
      <c r="F2388" s="6"/>
      <c r="G2388" s="6">
        <f>IF(AND(E2388="",F2388=""),"",F2388-E2388)</f>
      </c>
      <c r="H2388" s="4"/>
      <c r="I2388" s="5"/>
    </row>
    <row r="2389" ht="21" customHeight="1">
      <c r="A2389" s="3">
        <v>46529</v>
      </c>
      <c r="B2389" t="inlineStr" s="4">
        <is>
          <t>星期六</t>
        </is>
      </c>
      <c r="C2389" t="inlineStr" s="4">
        <is>
          <t>其他</t>
        </is>
      </c>
      <c r="D2389" t="inlineStr" s="5">
        <is>
          <t>其他</t>
        </is>
      </c>
      <c r="E2389" s="6"/>
      <c r="F2389" s="6"/>
      <c r="G2389" s="6">
        <f>IF(AND(E2389="",F2389=""),"",F2389-E2389)</f>
      </c>
      <c r="H2389" s="4"/>
      <c r="I2389" s="5"/>
    </row>
    <row r="2390" ht="21" customHeight="1">
      <c r="A2390" s="3">
        <v>46530</v>
      </c>
      <c r="B2390" t="inlineStr" s="4">
        <is>
          <t>星期日</t>
        </is>
      </c>
      <c r="C2390" t="inlineStr" s="4">
        <is>
          <t>餐饮</t>
        </is>
      </c>
      <c r="D2390" t="inlineStr" s="5">
        <is>
          <t>早餐</t>
        </is>
      </c>
      <c r="E2390" s="6"/>
      <c r="F2390" s="6"/>
      <c r="G2390" s="6">
        <f>IF(AND(E2390="",F2390=""),"",F2390-E2390)</f>
      </c>
      <c r="H2390" s="4"/>
      <c r="I2390" s="5"/>
    </row>
    <row r="2391" ht="21" customHeight="1">
      <c r="A2391" s="3">
        <v>46530</v>
      </c>
      <c r="B2391" t="inlineStr" s="4">
        <is>
          <t>星期日</t>
        </is>
      </c>
      <c r="C2391" t="inlineStr" s="4">
        <is>
          <t>餐饮</t>
        </is>
      </c>
      <c r="D2391" t="inlineStr" s="5">
        <is>
          <t>中餐</t>
        </is>
      </c>
      <c r="E2391" s="6"/>
      <c r="F2391" s="6"/>
      <c r="G2391" s="6">
        <f>IF(AND(E2391="",F2391=""),"",F2391-E2391)</f>
      </c>
      <c r="H2391" s="4"/>
      <c r="I2391" s="5"/>
    </row>
    <row r="2392" ht="21" customHeight="1">
      <c r="A2392" s="3">
        <v>46530</v>
      </c>
      <c r="B2392" t="inlineStr" s="4">
        <is>
          <t>星期日</t>
        </is>
      </c>
      <c r="C2392" t="inlineStr" s="4">
        <is>
          <t>餐饮</t>
        </is>
      </c>
      <c r="D2392" t="inlineStr" s="5">
        <is>
          <t>晚餐</t>
        </is>
      </c>
      <c r="E2392" s="6"/>
      <c r="F2392" s="6"/>
      <c r="G2392" s="6">
        <f>IF(AND(E2392="",F2392=""),"",F2392-E2392)</f>
      </c>
      <c r="H2392" s="4"/>
      <c r="I2392" s="5"/>
    </row>
    <row r="2393" ht="21" customHeight="1">
      <c r="A2393" s="3">
        <v>46530</v>
      </c>
      <c r="B2393" t="inlineStr" s="4">
        <is>
          <t>星期日</t>
        </is>
      </c>
      <c r="C2393" t="inlineStr" s="4">
        <is>
          <t>奶茶/咖啡</t>
        </is>
      </c>
      <c r="D2393" t="inlineStr" s="5">
        <is>
          <t>奶茶/咖啡</t>
        </is>
      </c>
      <c r="E2393" s="6"/>
      <c r="F2393" s="6"/>
      <c r="G2393" s="6">
        <f>IF(AND(E2393="",F2393=""),"",F2393-E2393)</f>
      </c>
      <c r="H2393" s="4"/>
      <c r="I2393" s="5"/>
    </row>
    <row r="2394" ht="21" customHeight="1">
      <c r="A2394" s="3">
        <v>46530</v>
      </c>
      <c r="B2394" t="inlineStr" s="4">
        <is>
          <t>星期日</t>
        </is>
      </c>
      <c r="C2394" t="inlineStr" s="4">
        <is>
          <t>其他</t>
        </is>
      </c>
      <c r="D2394" t="inlineStr" s="5">
        <is>
          <t>其他</t>
        </is>
      </c>
      <c r="E2394" s="6"/>
      <c r="F2394" s="6"/>
      <c r="G2394" s="6">
        <f>IF(AND(E2394="",F2394=""),"",F2394-E2394)</f>
      </c>
      <c r="H2394" s="4"/>
      <c r="I2394" s="5"/>
    </row>
    <row r="2395" ht="21" customHeight="1">
      <c r="A2395" s="3">
        <v>46530</v>
      </c>
      <c r="B2395" t="inlineStr" s="4">
        <is>
          <t>星期日</t>
        </is>
      </c>
      <c r="C2395" t="inlineStr" s="4">
        <is>
          <t>其他</t>
        </is>
      </c>
      <c r="D2395" t="inlineStr" s="5">
        <is>
          <t>其他</t>
        </is>
      </c>
      <c r="E2395" s="6"/>
      <c r="F2395" s="6"/>
      <c r="G2395" s="6">
        <f>IF(AND(E2395="",F2395=""),"",F2395-E2395)</f>
      </c>
      <c r="H2395" s="4"/>
      <c r="I2395" s="5"/>
    </row>
    <row r="2396" ht="23" customHeight="1">
      <c r="A2396" t="inlineStr" s="7">
        <is>
          <t>本周小计</t>
        </is>
      </c>
      <c r="B2396" s="7"/>
      <c r="C2396" s="7"/>
      <c r="D2396" s="7"/>
      <c r="E2396" s="8">
        <f>SUM(E2354:E2395)</f>
      </c>
      <c r="F2396" s="8">
        <f>SUM(F2354:F2395)</f>
      </c>
      <c r="G2396" s="8">
        <f>SUM(G2354:G2395)</f>
      </c>
      <c r="H2396" s="7"/>
      <c r="I2396" s="7"/>
    </row>
    <row r="2397" ht="18" customHeight="1">
      <c r="A2397" s="9"/>
      <c r="B2397" s="9"/>
      <c r="C2397" s="9"/>
      <c r="D2397" s="9"/>
      <c r="E2397" s="9"/>
      <c r="F2397" s="9"/>
      <c r="G2397" s="9"/>
      <c r="H2397" s="9"/>
      <c r="I2397" s="9"/>
    </row>
    <row r="2398" ht="18" customHeight="1">
      <c r="A2398" s="9"/>
      <c r="B2398" s="9"/>
      <c r="C2398" s="9"/>
      <c r="D2398" s="9"/>
      <c r="E2398" s="9"/>
      <c r="F2398" s="9"/>
      <c r="G2398" s="9"/>
      <c r="H2398" s="9"/>
      <c r="I2398" s="9"/>
    </row>
    <row r="2399" ht="26" customHeight="1">
      <c r="A2399" t="inlineStr" s="2">
        <is>
          <t>2027年5月｜第四周（5月24日 - 5月30日）</t>
        </is>
      </c>
      <c r="B2399" s="2"/>
      <c r="C2399" s="2"/>
      <c r="D2399" s="2"/>
      <c r="E2399" s="2"/>
      <c r="F2399" s="2"/>
      <c r="G2399" s="2"/>
      <c r="H2399" s="2"/>
      <c r="I2399" s="2"/>
    </row>
    <row r="2400" ht="22" customHeight="1">
      <c r="A2400" t="inlineStr" s="1">
        <is>
          <t>日期</t>
        </is>
      </c>
      <c r="B2400" t="inlineStr" s="1">
        <is>
          <t>星期</t>
        </is>
      </c>
      <c r="C2400" t="inlineStr" s="1">
        <is>
          <t>分类</t>
        </is>
      </c>
      <c r="D2400" t="inlineStr" s="1">
        <is>
          <t>事项</t>
        </is>
      </c>
      <c r="E2400" t="inlineStr" s="1">
        <is>
          <t>支出金额</t>
        </is>
      </c>
      <c r="F2400" t="inlineStr" s="1">
        <is>
          <t>收入金额</t>
        </is>
      </c>
      <c r="G2400" t="inlineStr" s="1">
        <is>
          <t>当笔净额</t>
        </is>
      </c>
      <c r="H2400" t="inlineStr" s="1">
        <is>
          <t>支付方式</t>
        </is>
      </c>
      <c r="I2400" t="inlineStr" s="1">
        <is>
          <t>备注</t>
        </is>
      </c>
    </row>
    <row r="2401" ht="21" customHeight="1">
      <c r="A2401" s="3">
        <v>46531</v>
      </c>
      <c r="B2401" t="inlineStr" s="4">
        <is>
          <t>星期一</t>
        </is>
      </c>
      <c r="C2401" t="inlineStr" s="4">
        <is>
          <t>餐饮</t>
        </is>
      </c>
      <c r="D2401" t="inlineStr" s="5">
        <is>
          <t>早餐</t>
        </is>
      </c>
      <c r="E2401" s="6"/>
      <c r="F2401" s="6"/>
      <c r="G2401" s="6">
        <f>IF(AND(E2401="",F2401=""),"",F2401-E2401)</f>
      </c>
      <c r="H2401" s="4"/>
      <c r="I2401" s="5"/>
    </row>
    <row r="2402" ht="21" customHeight="1">
      <c r="A2402" s="3">
        <v>46531</v>
      </c>
      <c r="B2402" t="inlineStr" s="4">
        <is>
          <t>星期一</t>
        </is>
      </c>
      <c r="C2402" t="inlineStr" s="4">
        <is>
          <t>餐饮</t>
        </is>
      </c>
      <c r="D2402" t="inlineStr" s="5">
        <is>
          <t>中餐</t>
        </is>
      </c>
      <c r="E2402" s="6"/>
      <c r="F2402" s="6"/>
      <c r="G2402" s="6">
        <f>IF(AND(E2402="",F2402=""),"",F2402-E2402)</f>
      </c>
      <c r="H2402" s="4"/>
      <c r="I2402" s="5"/>
    </row>
    <row r="2403" ht="21" customHeight="1">
      <c r="A2403" s="3">
        <v>46531</v>
      </c>
      <c r="B2403" t="inlineStr" s="4">
        <is>
          <t>星期一</t>
        </is>
      </c>
      <c r="C2403" t="inlineStr" s="4">
        <is>
          <t>餐饮</t>
        </is>
      </c>
      <c r="D2403" t="inlineStr" s="5">
        <is>
          <t>晚餐</t>
        </is>
      </c>
      <c r="E2403" s="6"/>
      <c r="F2403" s="6"/>
      <c r="G2403" s="6">
        <f>IF(AND(E2403="",F2403=""),"",F2403-E2403)</f>
      </c>
      <c r="H2403" s="4"/>
      <c r="I2403" s="5"/>
    </row>
    <row r="2404" ht="21" customHeight="1">
      <c r="A2404" s="3">
        <v>46531</v>
      </c>
      <c r="B2404" t="inlineStr" s="4">
        <is>
          <t>星期一</t>
        </is>
      </c>
      <c r="C2404" t="inlineStr" s="4">
        <is>
          <t>奶茶/咖啡</t>
        </is>
      </c>
      <c r="D2404" t="inlineStr" s="5">
        <is>
          <t>奶茶/咖啡</t>
        </is>
      </c>
      <c r="E2404" s="6"/>
      <c r="F2404" s="6"/>
      <c r="G2404" s="6">
        <f>IF(AND(E2404="",F2404=""),"",F2404-E2404)</f>
      </c>
      <c r="H2404" s="4"/>
      <c r="I2404" s="5"/>
    </row>
    <row r="2405" ht="21" customHeight="1">
      <c r="A2405" s="3">
        <v>46531</v>
      </c>
      <c r="B2405" t="inlineStr" s="4">
        <is>
          <t>星期一</t>
        </is>
      </c>
      <c r="C2405" t="inlineStr" s="4">
        <is>
          <t>其他</t>
        </is>
      </c>
      <c r="D2405" t="inlineStr" s="5">
        <is>
          <t>其他</t>
        </is>
      </c>
      <c r="E2405" s="6"/>
      <c r="F2405" s="6"/>
      <c r="G2405" s="6">
        <f>IF(AND(E2405="",F2405=""),"",F2405-E2405)</f>
      </c>
      <c r="H2405" s="4"/>
      <c r="I2405" s="5"/>
    </row>
    <row r="2406" ht="21" customHeight="1">
      <c r="A2406" s="3">
        <v>46531</v>
      </c>
      <c r="B2406" t="inlineStr" s="4">
        <is>
          <t>星期一</t>
        </is>
      </c>
      <c r="C2406" t="inlineStr" s="4">
        <is>
          <t>其他</t>
        </is>
      </c>
      <c r="D2406" t="inlineStr" s="5">
        <is>
          <t>其他</t>
        </is>
      </c>
      <c r="E2406" s="6"/>
      <c r="F2406" s="6"/>
      <c r="G2406" s="6">
        <f>IF(AND(E2406="",F2406=""),"",F2406-E2406)</f>
      </c>
      <c r="H2406" s="4"/>
      <c r="I2406" s="5"/>
    </row>
    <row r="2407" ht="21" customHeight="1">
      <c r="A2407" s="3">
        <v>46532</v>
      </c>
      <c r="B2407" t="inlineStr" s="4">
        <is>
          <t>星期二</t>
        </is>
      </c>
      <c r="C2407" t="inlineStr" s="4">
        <is>
          <t>餐饮</t>
        </is>
      </c>
      <c r="D2407" t="inlineStr" s="5">
        <is>
          <t>早餐</t>
        </is>
      </c>
      <c r="E2407" s="6"/>
      <c r="F2407" s="6"/>
      <c r="G2407" s="6">
        <f>IF(AND(E2407="",F2407=""),"",F2407-E2407)</f>
      </c>
      <c r="H2407" s="4"/>
      <c r="I2407" s="5"/>
    </row>
    <row r="2408" ht="21" customHeight="1">
      <c r="A2408" s="3">
        <v>46532</v>
      </c>
      <c r="B2408" t="inlineStr" s="4">
        <is>
          <t>星期二</t>
        </is>
      </c>
      <c r="C2408" t="inlineStr" s="4">
        <is>
          <t>餐饮</t>
        </is>
      </c>
      <c r="D2408" t="inlineStr" s="5">
        <is>
          <t>中餐</t>
        </is>
      </c>
      <c r="E2408" s="6"/>
      <c r="F2408" s="6"/>
      <c r="G2408" s="6">
        <f>IF(AND(E2408="",F2408=""),"",F2408-E2408)</f>
      </c>
      <c r="H2408" s="4"/>
      <c r="I2408" s="5"/>
    </row>
    <row r="2409" ht="21" customHeight="1">
      <c r="A2409" s="3">
        <v>46532</v>
      </c>
      <c r="B2409" t="inlineStr" s="4">
        <is>
          <t>星期二</t>
        </is>
      </c>
      <c r="C2409" t="inlineStr" s="4">
        <is>
          <t>餐饮</t>
        </is>
      </c>
      <c r="D2409" t="inlineStr" s="5">
        <is>
          <t>晚餐</t>
        </is>
      </c>
      <c r="E2409" s="6"/>
      <c r="F2409" s="6"/>
      <c r="G2409" s="6">
        <f>IF(AND(E2409="",F2409=""),"",F2409-E2409)</f>
      </c>
      <c r="H2409" s="4"/>
      <c r="I2409" s="5"/>
    </row>
    <row r="2410" ht="21" customHeight="1">
      <c r="A2410" s="3">
        <v>46532</v>
      </c>
      <c r="B2410" t="inlineStr" s="4">
        <is>
          <t>星期二</t>
        </is>
      </c>
      <c r="C2410" t="inlineStr" s="4">
        <is>
          <t>奶茶/咖啡</t>
        </is>
      </c>
      <c r="D2410" t="inlineStr" s="5">
        <is>
          <t>奶茶/咖啡</t>
        </is>
      </c>
      <c r="E2410" s="6"/>
      <c r="F2410" s="6"/>
      <c r="G2410" s="6">
        <f>IF(AND(E2410="",F2410=""),"",F2410-E2410)</f>
      </c>
      <c r="H2410" s="4"/>
      <c r="I2410" s="5"/>
    </row>
    <row r="2411" ht="21" customHeight="1">
      <c r="A2411" s="3">
        <v>46532</v>
      </c>
      <c r="B2411" t="inlineStr" s="4">
        <is>
          <t>星期二</t>
        </is>
      </c>
      <c r="C2411" t="inlineStr" s="4">
        <is>
          <t>其他</t>
        </is>
      </c>
      <c r="D2411" t="inlineStr" s="5">
        <is>
          <t>其他</t>
        </is>
      </c>
      <c r="E2411" s="6"/>
      <c r="F2411" s="6"/>
      <c r="G2411" s="6">
        <f>IF(AND(E2411="",F2411=""),"",F2411-E2411)</f>
      </c>
      <c r="H2411" s="4"/>
      <c r="I2411" s="5"/>
    </row>
    <row r="2412" ht="21" customHeight="1">
      <c r="A2412" s="3">
        <v>46532</v>
      </c>
      <c r="B2412" t="inlineStr" s="4">
        <is>
          <t>星期二</t>
        </is>
      </c>
      <c r="C2412" t="inlineStr" s="4">
        <is>
          <t>其他</t>
        </is>
      </c>
      <c r="D2412" t="inlineStr" s="5">
        <is>
          <t>其他</t>
        </is>
      </c>
      <c r="E2412" s="6"/>
      <c r="F2412" s="6"/>
      <c r="G2412" s="6">
        <f>IF(AND(E2412="",F2412=""),"",F2412-E2412)</f>
      </c>
      <c r="H2412" s="4"/>
      <c r="I2412" s="5"/>
    </row>
    <row r="2413" ht="21" customHeight="1">
      <c r="A2413" s="3">
        <v>46533</v>
      </c>
      <c r="B2413" t="inlineStr" s="4">
        <is>
          <t>星期三</t>
        </is>
      </c>
      <c r="C2413" t="inlineStr" s="4">
        <is>
          <t>餐饮</t>
        </is>
      </c>
      <c r="D2413" t="inlineStr" s="5">
        <is>
          <t>早餐</t>
        </is>
      </c>
      <c r="E2413" s="6"/>
      <c r="F2413" s="6"/>
      <c r="G2413" s="6">
        <f>IF(AND(E2413="",F2413=""),"",F2413-E2413)</f>
      </c>
      <c r="H2413" s="4"/>
      <c r="I2413" s="5"/>
    </row>
    <row r="2414" ht="21" customHeight="1">
      <c r="A2414" s="3">
        <v>46533</v>
      </c>
      <c r="B2414" t="inlineStr" s="4">
        <is>
          <t>星期三</t>
        </is>
      </c>
      <c r="C2414" t="inlineStr" s="4">
        <is>
          <t>餐饮</t>
        </is>
      </c>
      <c r="D2414" t="inlineStr" s="5">
        <is>
          <t>中餐</t>
        </is>
      </c>
      <c r="E2414" s="6"/>
      <c r="F2414" s="6"/>
      <c r="G2414" s="6">
        <f>IF(AND(E2414="",F2414=""),"",F2414-E2414)</f>
      </c>
      <c r="H2414" s="4"/>
      <c r="I2414" s="5"/>
    </row>
    <row r="2415" ht="21" customHeight="1">
      <c r="A2415" s="3">
        <v>46533</v>
      </c>
      <c r="B2415" t="inlineStr" s="4">
        <is>
          <t>星期三</t>
        </is>
      </c>
      <c r="C2415" t="inlineStr" s="4">
        <is>
          <t>餐饮</t>
        </is>
      </c>
      <c r="D2415" t="inlineStr" s="5">
        <is>
          <t>晚餐</t>
        </is>
      </c>
      <c r="E2415" s="6"/>
      <c r="F2415" s="6"/>
      <c r="G2415" s="6">
        <f>IF(AND(E2415="",F2415=""),"",F2415-E2415)</f>
      </c>
      <c r="H2415" s="4"/>
      <c r="I2415" s="5"/>
    </row>
    <row r="2416" ht="21" customHeight="1">
      <c r="A2416" s="3">
        <v>46533</v>
      </c>
      <c r="B2416" t="inlineStr" s="4">
        <is>
          <t>星期三</t>
        </is>
      </c>
      <c r="C2416" t="inlineStr" s="4">
        <is>
          <t>奶茶/咖啡</t>
        </is>
      </c>
      <c r="D2416" t="inlineStr" s="5">
        <is>
          <t>奶茶/咖啡</t>
        </is>
      </c>
      <c r="E2416" s="6"/>
      <c r="F2416" s="6"/>
      <c r="G2416" s="6">
        <f>IF(AND(E2416="",F2416=""),"",F2416-E2416)</f>
      </c>
      <c r="H2416" s="4"/>
      <c r="I2416" s="5"/>
    </row>
    <row r="2417" ht="21" customHeight="1">
      <c r="A2417" s="3">
        <v>46533</v>
      </c>
      <c r="B2417" t="inlineStr" s="4">
        <is>
          <t>星期三</t>
        </is>
      </c>
      <c r="C2417" t="inlineStr" s="4">
        <is>
          <t>其他</t>
        </is>
      </c>
      <c r="D2417" t="inlineStr" s="5">
        <is>
          <t>其他</t>
        </is>
      </c>
      <c r="E2417" s="6"/>
      <c r="F2417" s="6"/>
      <c r="G2417" s="6">
        <f>IF(AND(E2417="",F2417=""),"",F2417-E2417)</f>
      </c>
      <c r="H2417" s="4"/>
      <c r="I2417" s="5"/>
    </row>
    <row r="2418" ht="21" customHeight="1">
      <c r="A2418" s="3">
        <v>46533</v>
      </c>
      <c r="B2418" t="inlineStr" s="4">
        <is>
          <t>星期三</t>
        </is>
      </c>
      <c r="C2418" t="inlineStr" s="4">
        <is>
          <t>其他</t>
        </is>
      </c>
      <c r="D2418" t="inlineStr" s="5">
        <is>
          <t>其他</t>
        </is>
      </c>
      <c r="E2418" s="6"/>
      <c r="F2418" s="6"/>
      <c r="G2418" s="6">
        <f>IF(AND(E2418="",F2418=""),"",F2418-E2418)</f>
      </c>
      <c r="H2418" s="4"/>
      <c r="I2418" s="5"/>
    </row>
    <row r="2419" ht="21" customHeight="1">
      <c r="A2419" s="3">
        <v>46534</v>
      </c>
      <c r="B2419" t="inlineStr" s="4">
        <is>
          <t>星期四</t>
        </is>
      </c>
      <c r="C2419" t="inlineStr" s="4">
        <is>
          <t>餐饮</t>
        </is>
      </c>
      <c r="D2419" t="inlineStr" s="5">
        <is>
          <t>早餐</t>
        </is>
      </c>
      <c r="E2419" s="6"/>
      <c r="F2419" s="6"/>
      <c r="G2419" s="6">
        <f>IF(AND(E2419="",F2419=""),"",F2419-E2419)</f>
      </c>
      <c r="H2419" s="4"/>
      <c r="I2419" s="5"/>
    </row>
    <row r="2420" ht="21" customHeight="1">
      <c r="A2420" s="3">
        <v>46534</v>
      </c>
      <c r="B2420" t="inlineStr" s="4">
        <is>
          <t>星期四</t>
        </is>
      </c>
      <c r="C2420" t="inlineStr" s="4">
        <is>
          <t>餐饮</t>
        </is>
      </c>
      <c r="D2420" t="inlineStr" s="5">
        <is>
          <t>中餐</t>
        </is>
      </c>
      <c r="E2420" s="6"/>
      <c r="F2420" s="6"/>
      <c r="G2420" s="6">
        <f>IF(AND(E2420="",F2420=""),"",F2420-E2420)</f>
      </c>
      <c r="H2420" s="4"/>
      <c r="I2420" s="5"/>
    </row>
    <row r="2421" ht="21" customHeight="1">
      <c r="A2421" s="3">
        <v>46534</v>
      </c>
      <c r="B2421" t="inlineStr" s="4">
        <is>
          <t>星期四</t>
        </is>
      </c>
      <c r="C2421" t="inlineStr" s="4">
        <is>
          <t>餐饮</t>
        </is>
      </c>
      <c r="D2421" t="inlineStr" s="5">
        <is>
          <t>晚餐</t>
        </is>
      </c>
      <c r="E2421" s="6"/>
      <c r="F2421" s="6"/>
      <c r="G2421" s="6">
        <f>IF(AND(E2421="",F2421=""),"",F2421-E2421)</f>
      </c>
      <c r="H2421" s="4"/>
      <c r="I2421" s="5"/>
    </row>
    <row r="2422" ht="21" customHeight="1">
      <c r="A2422" s="3">
        <v>46534</v>
      </c>
      <c r="B2422" t="inlineStr" s="4">
        <is>
          <t>星期四</t>
        </is>
      </c>
      <c r="C2422" t="inlineStr" s="4">
        <is>
          <t>奶茶/咖啡</t>
        </is>
      </c>
      <c r="D2422" t="inlineStr" s="5">
        <is>
          <t>奶茶/咖啡</t>
        </is>
      </c>
      <c r="E2422" s="6"/>
      <c r="F2422" s="6"/>
      <c r="G2422" s="6">
        <f>IF(AND(E2422="",F2422=""),"",F2422-E2422)</f>
      </c>
      <c r="H2422" s="4"/>
      <c r="I2422" s="5"/>
    </row>
    <row r="2423" ht="21" customHeight="1">
      <c r="A2423" s="3">
        <v>46534</v>
      </c>
      <c r="B2423" t="inlineStr" s="4">
        <is>
          <t>星期四</t>
        </is>
      </c>
      <c r="C2423" t="inlineStr" s="4">
        <is>
          <t>其他</t>
        </is>
      </c>
      <c r="D2423" t="inlineStr" s="5">
        <is>
          <t>其他</t>
        </is>
      </c>
      <c r="E2423" s="6"/>
      <c r="F2423" s="6"/>
      <c r="G2423" s="6">
        <f>IF(AND(E2423="",F2423=""),"",F2423-E2423)</f>
      </c>
      <c r="H2423" s="4"/>
      <c r="I2423" s="5"/>
    </row>
    <row r="2424" ht="21" customHeight="1">
      <c r="A2424" s="3">
        <v>46534</v>
      </c>
      <c r="B2424" t="inlineStr" s="4">
        <is>
          <t>星期四</t>
        </is>
      </c>
      <c r="C2424" t="inlineStr" s="4">
        <is>
          <t>其他</t>
        </is>
      </c>
      <c r="D2424" t="inlineStr" s="5">
        <is>
          <t>其他</t>
        </is>
      </c>
      <c r="E2424" s="6"/>
      <c r="F2424" s="6"/>
      <c r="G2424" s="6">
        <f>IF(AND(E2424="",F2424=""),"",F2424-E2424)</f>
      </c>
      <c r="H2424" s="4"/>
      <c r="I2424" s="5"/>
    </row>
    <row r="2425" ht="21" customHeight="1">
      <c r="A2425" s="3">
        <v>46535</v>
      </c>
      <c r="B2425" t="inlineStr" s="4">
        <is>
          <t>星期五</t>
        </is>
      </c>
      <c r="C2425" t="inlineStr" s="4">
        <is>
          <t>餐饮</t>
        </is>
      </c>
      <c r="D2425" t="inlineStr" s="5">
        <is>
          <t>早餐</t>
        </is>
      </c>
      <c r="E2425" s="6"/>
      <c r="F2425" s="6"/>
      <c r="G2425" s="6">
        <f>IF(AND(E2425="",F2425=""),"",F2425-E2425)</f>
      </c>
      <c r="H2425" s="4"/>
      <c r="I2425" s="5"/>
    </row>
    <row r="2426" ht="21" customHeight="1">
      <c r="A2426" s="3">
        <v>46535</v>
      </c>
      <c r="B2426" t="inlineStr" s="4">
        <is>
          <t>星期五</t>
        </is>
      </c>
      <c r="C2426" t="inlineStr" s="4">
        <is>
          <t>餐饮</t>
        </is>
      </c>
      <c r="D2426" t="inlineStr" s="5">
        <is>
          <t>中餐</t>
        </is>
      </c>
      <c r="E2426" s="6"/>
      <c r="F2426" s="6"/>
      <c r="G2426" s="6">
        <f>IF(AND(E2426="",F2426=""),"",F2426-E2426)</f>
      </c>
      <c r="H2426" s="4"/>
      <c r="I2426" s="5"/>
    </row>
    <row r="2427" ht="21" customHeight="1">
      <c r="A2427" s="3">
        <v>46535</v>
      </c>
      <c r="B2427" t="inlineStr" s="4">
        <is>
          <t>星期五</t>
        </is>
      </c>
      <c r="C2427" t="inlineStr" s="4">
        <is>
          <t>餐饮</t>
        </is>
      </c>
      <c r="D2427" t="inlineStr" s="5">
        <is>
          <t>晚餐</t>
        </is>
      </c>
      <c r="E2427" s="6"/>
      <c r="F2427" s="6"/>
      <c r="G2427" s="6">
        <f>IF(AND(E2427="",F2427=""),"",F2427-E2427)</f>
      </c>
      <c r="H2427" s="4"/>
      <c r="I2427" s="5"/>
    </row>
    <row r="2428" ht="21" customHeight="1">
      <c r="A2428" s="3">
        <v>46535</v>
      </c>
      <c r="B2428" t="inlineStr" s="4">
        <is>
          <t>星期五</t>
        </is>
      </c>
      <c r="C2428" t="inlineStr" s="4">
        <is>
          <t>奶茶/咖啡</t>
        </is>
      </c>
      <c r="D2428" t="inlineStr" s="5">
        <is>
          <t>奶茶/咖啡</t>
        </is>
      </c>
      <c r="E2428" s="6"/>
      <c r="F2428" s="6"/>
      <c r="G2428" s="6">
        <f>IF(AND(E2428="",F2428=""),"",F2428-E2428)</f>
      </c>
      <c r="H2428" s="4"/>
      <c r="I2428" s="5"/>
    </row>
    <row r="2429" ht="21" customHeight="1">
      <c r="A2429" s="3">
        <v>46535</v>
      </c>
      <c r="B2429" t="inlineStr" s="4">
        <is>
          <t>星期五</t>
        </is>
      </c>
      <c r="C2429" t="inlineStr" s="4">
        <is>
          <t>其他</t>
        </is>
      </c>
      <c r="D2429" t="inlineStr" s="5">
        <is>
          <t>其他</t>
        </is>
      </c>
      <c r="E2429" s="6"/>
      <c r="F2429" s="6"/>
      <c r="G2429" s="6">
        <f>IF(AND(E2429="",F2429=""),"",F2429-E2429)</f>
      </c>
      <c r="H2429" s="4"/>
      <c r="I2429" s="5"/>
    </row>
    <row r="2430" ht="21" customHeight="1">
      <c r="A2430" s="3">
        <v>46535</v>
      </c>
      <c r="B2430" t="inlineStr" s="4">
        <is>
          <t>星期五</t>
        </is>
      </c>
      <c r="C2430" t="inlineStr" s="4">
        <is>
          <t>其他</t>
        </is>
      </c>
      <c r="D2430" t="inlineStr" s="5">
        <is>
          <t>其他</t>
        </is>
      </c>
      <c r="E2430" s="6"/>
      <c r="F2430" s="6"/>
      <c r="G2430" s="6">
        <f>IF(AND(E2430="",F2430=""),"",F2430-E2430)</f>
      </c>
      <c r="H2430" s="4"/>
      <c r="I2430" s="5"/>
    </row>
    <row r="2431" ht="21" customHeight="1">
      <c r="A2431" s="3">
        <v>46536</v>
      </c>
      <c r="B2431" t="inlineStr" s="4">
        <is>
          <t>星期六</t>
        </is>
      </c>
      <c r="C2431" t="inlineStr" s="4">
        <is>
          <t>餐饮</t>
        </is>
      </c>
      <c r="D2431" t="inlineStr" s="5">
        <is>
          <t>早餐</t>
        </is>
      </c>
      <c r="E2431" s="6"/>
      <c r="F2431" s="6"/>
      <c r="G2431" s="6">
        <f>IF(AND(E2431="",F2431=""),"",F2431-E2431)</f>
      </c>
      <c r="H2431" s="4"/>
      <c r="I2431" s="5"/>
    </row>
    <row r="2432" ht="21" customHeight="1">
      <c r="A2432" s="3">
        <v>46536</v>
      </c>
      <c r="B2432" t="inlineStr" s="4">
        <is>
          <t>星期六</t>
        </is>
      </c>
      <c r="C2432" t="inlineStr" s="4">
        <is>
          <t>餐饮</t>
        </is>
      </c>
      <c r="D2432" t="inlineStr" s="5">
        <is>
          <t>中餐</t>
        </is>
      </c>
      <c r="E2432" s="6"/>
      <c r="F2432" s="6"/>
      <c r="G2432" s="6">
        <f>IF(AND(E2432="",F2432=""),"",F2432-E2432)</f>
      </c>
      <c r="H2432" s="4"/>
      <c r="I2432" s="5"/>
    </row>
    <row r="2433" ht="21" customHeight="1">
      <c r="A2433" s="3">
        <v>46536</v>
      </c>
      <c r="B2433" t="inlineStr" s="4">
        <is>
          <t>星期六</t>
        </is>
      </c>
      <c r="C2433" t="inlineStr" s="4">
        <is>
          <t>餐饮</t>
        </is>
      </c>
      <c r="D2433" t="inlineStr" s="5">
        <is>
          <t>晚餐</t>
        </is>
      </c>
      <c r="E2433" s="6"/>
      <c r="F2433" s="6"/>
      <c r="G2433" s="6">
        <f>IF(AND(E2433="",F2433=""),"",F2433-E2433)</f>
      </c>
      <c r="H2433" s="4"/>
      <c r="I2433" s="5"/>
    </row>
    <row r="2434" ht="21" customHeight="1">
      <c r="A2434" s="3">
        <v>46536</v>
      </c>
      <c r="B2434" t="inlineStr" s="4">
        <is>
          <t>星期六</t>
        </is>
      </c>
      <c r="C2434" t="inlineStr" s="4">
        <is>
          <t>奶茶/咖啡</t>
        </is>
      </c>
      <c r="D2434" t="inlineStr" s="5">
        <is>
          <t>奶茶/咖啡</t>
        </is>
      </c>
      <c r="E2434" s="6"/>
      <c r="F2434" s="6"/>
      <c r="G2434" s="6">
        <f>IF(AND(E2434="",F2434=""),"",F2434-E2434)</f>
      </c>
      <c r="H2434" s="4"/>
      <c r="I2434" s="5"/>
    </row>
    <row r="2435" ht="21" customHeight="1">
      <c r="A2435" s="3">
        <v>46536</v>
      </c>
      <c r="B2435" t="inlineStr" s="4">
        <is>
          <t>星期六</t>
        </is>
      </c>
      <c r="C2435" t="inlineStr" s="4">
        <is>
          <t>其他</t>
        </is>
      </c>
      <c r="D2435" t="inlineStr" s="5">
        <is>
          <t>其他</t>
        </is>
      </c>
      <c r="E2435" s="6"/>
      <c r="F2435" s="6"/>
      <c r="G2435" s="6">
        <f>IF(AND(E2435="",F2435=""),"",F2435-E2435)</f>
      </c>
      <c r="H2435" s="4"/>
      <c r="I2435" s="5"/>
    </row>
    <row r="2436" ht="21" customHeight="1">
      <c r="A2436" s="3">
        <v>46536</v>
      </c>
      <c r="B2436" t="inlineStr" s="4">
        <is>
          <t>星期六</t>
        </is>
      </c>
      <c r="C2436" t="inlineStr" s="4">
        <is>
          <t>其他</t>
        </is>
      </c>
      <c r="D2436" t="inlineStr" s="5">
        <is>
          <t>其他</t>
        </is>
      </c>
      <c r="E2436" s="6"/>
      <c r="F2436" s="6"/>
      <c r="G2436" s="6">
        <f>IF(AND(E2436="",F2436=""),"",F2436-E2436)</f>
      </c>
      <c r="H2436" s="4"/>
      <c r="I2436" s="5"/>
    </row>
    <row r="2437" ht="21" customHeight="1">
      <c r="A2437" s="3">
        <v>46537</v>
      </c>
      <c r="B2437" t="inlineStr" s="4">
        <is>
          <t>星期日</t>
        </is>
      </c>
      <c r="C2437" t="inlineStr" s="4">
        <is>
          <t>餐饮</t>
        </is>
      </c>
      <c r="D2437" t="inlineStr" s="5">
        <is>
          <t>早餐</t>
        </is>
      </c>
      <c r="E2437" s="6"/>
      <c r="F2437" s="6"/>
      <c r="G2437" s="6">
        <f>IF(AND(E2437="",F2437=""),"",F2437-E2437)</f>
      </c>
      <c r="H2437" s="4"/>
      <c r="I2437" s="5"/>
    </row>
    <row r="2438" ht="21" customHeight="1">
      <c r="A2438" s="3">
        <v>46537</v>
      </c>
      <c r="B2438" t="inlineStr" s="4">
        <is>
          <t>星期日</t>
        </is>
      </c>
      <c r="C2438" t="inlineStr" s="4">
        <is>
          <t>餐饮</t>
        </is>
      </c>
      <c r="D2438" t="inlineStr" s="5">
        <is>
          <t>中餐</t>
        </is>
      </c>
      <c r="E2438" s="6"/>
      <c r="F2438" s="6"/>
      <c r="G2438" s="6">
        <f>IF(AND(E2438="",F2438=""),"",F2438-E2438)</f>
      </c>
      <c r="H2438" s="4"/>
      <c r="I2438" s="5"/>
    </row>
    <row r="2439" ht="21" customHeight="1">
      <c r="A2439" s="3">
        <v>46537</v>
      </c>
      <c r="B2439" t="inlineStr" s="4">
        <is>
          <t>星期日</t>
        </is>
      </c>
      <c r="C2439" t="inlineStr" s="4">
        <is>
          <t>餐饮</t>
        </is>
      </c>
      <c r="D2439" t="inlineStr" s="5">
        <is>
          <t>晚餐</t>
        </is>
      </c>
      <c r="E2439" s="6"/>
      <c r="F2439" s="6"/>
      <c r="G2439" s="6">
        <f>IF(AND(E2439="",F2439=""),"",F2439-E2439)</f>
      </c>
      <c r="H2439" s="4"/>
      <c r="I2439" s="5"/>
    </row>
    <row r="2440" ht="21" customHeight="1">
      <c r="A2440" s="3">
        <v>46537</v>
      </c>
      <c r="B2440" t="inlineStr" s="4">
        <is>
          <t>星期日</t>
        </is>
      </c>
      <c r="C2440" t="inlineStr" s="4">
        <is>
          <t>奶茶/咖啡</t>
        </is>
      </c>
      <c r="D2440" t="inlineStr" s="5">
        <is>
          <t>奶茶/咖啡</t>
        </is>
      </c>
      <c r="E2440" s="6"/>
      <c r="F2440" s="6"/>
      <c r="G2440" s="6">
        <f>IF(AND(E2440="",F2440=""),"",F2440-E2440)</f>
      </c>
      <c r="H2440" s="4"/>
      <c r="I2440" s="5"/>
    </row>
    <row r="2441" ht="21" customHeight="1">
      <c r="A2441" s="3">
        <v>46537</v>
      </c>
      <c r="B2441" t="inlineStr" s="4">
        <is>
          <t>星期日</t>
        </is>
      </c>
      <c r="C2441" t="inlineStr" s="4">
        <is>
          <t>其他</t>
        </is>
      </c>
      <c r="D2441" t="inlineStr" s="5">
        <is>
          <t>其他</t>
        </is>
      </c>
      <c r="E2441" s="6"/>
      <c r="F2441" s="6"/>
      <c r="G2441" s="6">
        <f>IF(AND(E2441="",F2441=""),"",F2441-E2441)</f>
      </c>
      <c r="H2441" s="4"/>
      <c r="I2441" s="5"/>
    </row>
    <row r="2442" ht="21" customHeight="1">
      <c r="A2442" s="3">
        <v>46537</v>
      </c>
      <c r="B2442" t="inlineStr" s="4">
        <is>
          <t>星期日</t>
        </is>
      </c>
      <c r="C2442" t="inlineStr" s="4">
        <is>
          <t>其他</t>
        </is>
      </c>
      <c r="D2442" t="inlineStr" s="5">
        <is>
          <t>其他</t>
        </is>
      </c>
      <c r="E2442" s="6"/>
      <c r="F2442" s="6"/>
      <c r="G2442" s="6">
        <f>IF(AND(E2442="",F2442=""),"",F2442-E2442)</f>
      </c>
      <c r="H2442" s="4"/>
      <c r="I2442" s="5"/>
    </row>
    <row r="2443" ht="23" customHeight="1">
      <c r="A2443" t="inlineStr" s="7">
        <is>
          <t>本周小计</t>
        </is>
      </c>
      <c r="B2443" s="7"/>
      <c r="C2443" s="7"/>
      <c r="D2443" s="7"/>
      <c r="E2443" s="8">
        <f>SUM(E2401:E2442)</f>
      </c>
      <c r="F2443" s="8">
        <f>SUM(F2401:F2442)</f>
      </c>
      <c r="G2443" s="8">
        <f>SUM(G2401:G2442)</f>
      </c>
      <c r="H2443" s="7"/>
      <c r="I2443" s="7"/>
    </row>
    <row r="2444" ht="18" customHeight="1">
      <c r="A2444" s="9"/>
      <c r="B2444" s="9"/>
      <c r="C2444" s="9"/>
      <c r="D2444" s="9"/>
      <c r="E2444" s="9"/>
      <c r="F2444" s="9"/>
      <c r="G2444" s="9"/>
      <c r="H2444" s="9"/>
      <c r="I2444" s="9"/>
    </row>
    <row r="2445" ht="18" customHeight="1">
      <c r="A2445" s="9"/>
      <c r="B2445" s="9"/>
      <c r="C2445" s="9"/>
      <c r="D2445" s="9"/>
      <c r="E2445" s="9"/>
      <c r="F2445" s="9"/>
      <c r="G2445" s="9"/>
      <c r="H2445" s="9"/>
      <c r="I2445" s="9"/>
    </row>
    <row r="2446" ht="26" customHeight="1">
      <c r="A2446" t="inlineStr" s="2">
        <is>
          <t>2027年5月-6月｜第五周（5月31日 - 6月6日）</t>
        </is>
      </c>
      <c r="B2446" s="2"/>
      <c r="C2446" s="2"/>
      <c r="D2446" s="2"/>
      <c r="E2446" s="2"/>
      <c r="F2446" s="2"/>
      <c r="G2446" s="2"/>
      <c r="H2446" s="2"/>
      <c r="I2446" s="2"/>
    </row>
    <row r="2447" ht="22" customHeight="1">
      <c r="A2447" t="inlineStr" s="1">
        <is>
          <t>日期</t>
        </is>
      </c>
      <c r="B2447" t="inlineStr" s="1">
        <is>
          <t>星期</t>
        </is>
      </c>
      <c r="C2447" t="inlineStr" s="1">
        <is>
          <t>分类</t>
        </is>
      </c>
      <c r="D2447" t="inlineStr" s="1">
        <is>
          <t>事项</t>
        </is>
      </c>
      <c r="E2447" t="inlineStr" s="1">
        <is>
          <t>支出金额</t>
        </is>
      </c>
      <c r="F2447" t="inlineStr" s="1">
        <is>
          <t>收入金额</t>
        </is>
      </c>
      <c r="G2447" t="inlineStr" s="1">
        <is>
          <t>当笔净额</t>
        </is>
      </c>
      <c r="H2447" t="inlineStr" s="1">
        <is>
          <t>支付方式</t>
        </is>
      </c>
      <c r="I2447" t="inlineStr" s="1">
        <is>
          <t>备注</t>
        </is>
      </c>
    </row>
    <row r="2448" ht="21" customHeight="1">
      <c r="A2448" s="3">
        <v>46538</v>
      </c>
      <c r="B2448" t="inlineStr" s="4">
        <is>
          <t>星期一</t>
        </is>
      </c>
      <c r="C2448" t="inlineStr" s="4">
        <is>
          <t>餐饮</t>
        </is>
      </c>
      <c r="D2448" t="inlineStr" s="5">
        <is>
          <t>早餐</t>
        </is>
      </c>
      <c r="E2448" s="6"/>
      <c r="F2448" s="6"/>
      <c r="G2448" s="6">
        <f>IF(AND(E2448="",F2448=""),"",F2448-E2448)</f>
      </c>
      <c r="H2448" s="4"/>
      <c r="I2448" s="5"/>
    </row>
    <row r="2449" ht="21" customHeight="1">
      <c r="A2449" s="3">
        <v>46538</v>
      </c>
      <c r="B2449" t="inlineStr" s="4">
        <is>
          <t>星期一</t>
        </is>
      </c>
      <c r="C2449" t="inlineStr" s="4">
        <is>
          <t>餐饮</t>
        </is>
      </c>
      <c r="D2449" t="inlineStr" s="5">
        <is>
          <t>中餐</t>
        </is>
      </c>
      <c r="E2449" s="6"/>
      <c r="F2449" s="6"/>
      <c r="G2449" s="6">
        <f>IF(AND(E2449="",F2449=""),"",F2449-E2449)</f>
      </c>
      <c r="H2449" s="4"/>
      <c r="I2449" s="5"/>
    </row>
    <row r="2450" ht="21" customHeight="1">
      <c r="A2450" s="3">
        <v>46538</v>
      </c>
      <c r="B2450" t="inlineStr" s="4">
        <is>
          <t>星期一</t>
        </is>
      </c>
      <c r="C2450" t="inlineStr" s="4">
        <is>
          <t>餐饮</t>
        </is>
      </c>
      <c r="D2450" t="inlineStr" s="5">
        <is>
          <t>晚餐</t>
        </is>
      </c>
      <c r="E2450" s="6"/>
      <c r="F2450" s="6"/>
      <c r="G2450" s="6">
        <f>IF(AND(E2450="",F2450=""),"",F2450-E2450)</f>
      </c>
      <c r="H2450" s="4"/>
      <c r="I2450" s="5"/>
    </row>
    <row r="2451" ht="21" customHeight="1">
      <c r="A2451" s="3">
        <v>46538</v>
      </c>
      <c r="B2451" t="inlineStr" s="4">
        <is>
          <t>星期一</t>
        </is>
      </c>
      <c r="C2451" t="inlineStr" s="4">
        <is>
          <t>奶茶/咖啡</t>
        </is>
      </c>
      <c r="D2451" t="inlineStr" s="5">
        <is>
          <t>奶茶/咖啡</t>
        </is>
      </c>
      <c r="E2451" s="6"/>
      <c r="F2451" s="6"/>
      <c r="G2451" s="6">
        <f>IF(AND(E2451="",F2451=""),"",F2451-E2451)</f>
      </c>
      <c r="H2451" s="4"/>
      <c r="I2451" s="5"/>
    </row>
    <row r="2452" ht="21" customHeight="1">
      <c r="A2452" s="3">
        <v>46538</v>
      </c>
      <c r="B2452" t="inlineStr" s="4">
        <is>
          <t>星期一</t>
        </is>
      </c>
      <c r="C2452" t="inlineStr" s="4">
        <is>
          <t>其他</t>
        </is>
      </c>
      <c r="D2452" t="inlineStr" s="5">
        <is>
          <t>其他</t>
        </is>
      </c>
      <c r="E2452" s="6"/>
      <c r="F2452" s="6"/>
      <c r="G2452" s="6">
        <f>IF(AND(E2452="",F2452=""),"",F2452-E2452)</f>
      </c>
      <c r="H2452" s="4"/>
      <c r="I2452" s="5"/>
    </row>
    <row r="2453" ht="21" customHeight="1">
      <c r="A2453" s="3">
        <v>46538</v>
      </c>
      <c r="B2453" t="inlineStr" s="4">
        <is>
          <t>星期一</t>
        </is>
      </c>
      <c r="C2453" t="inlineStr" s="4">
        <is>
          <t>其他</t>
        </is>
      </c>
      <c r="D2453" t="inlineStr" s="5">
        <is>
          <t>其他</t>
        </is>
      </c>
      <c r="E2453" s="6"/>
      <c r="F2453" s="6"/>
      <c r="G2453" s="6">
        <f>IF(AND(E2453="",F2453=""),"",F2453-E2453)</f>
      </c>
      <c r="H2453" s="4"/>
      <c r="I2453" s="5"/>
    </row>
    <row r="2454" ht="21" customHeight="1">
      <c r="A2454" s="3">
        <v>46539</v>
      </c>
      <c r="B2454" t="inlineStr" s="4">
        <is>
          <t>星期二</t>
        </is>
      </c>
      <c r="C2454" t="inlineStr" s="4">
        <is>
          <t>餐饮</t>
        </is>
      </c>
      <c r="D2454" t="inlineStr" s="5">
        <is>
          <t>早餐</t>
        </is>
      </c>
      <c r="E2454" s="6"/>
      <c r="F2454" s="6"/>
      <c r="G2454" s="6">
        <f>IF(AND(E2454="",F2454=""),"",F2454-E2454)</f>
      </c>
      <c r="H2454" s="4"/>
      <c r="I2454" s="5"/>
    </row>
    <row r="2455" ht="21" customHeight="1">
      <c r="A2455" s="3">
        <v>46539</v>
      </c>
      <c r="B2455" t="inlineStr" s="4">
        <is>
          <t>星期二</t>
        </is>
      </c>
      <c r="C2455" t="inlineStr" s="4">
        <is>
          <t>餐饮</t>
        </is>
      </c>
      <c r="D2455" t="inlineStr" s="5">
        <is>
          <t>中餐</t>
        </is>
      </c>
      <c r="E2455" s="6"/>
      <c r="F2455" s="6"/>
      <c r="G2455" s="6">
        <f>IF(AND(E2455="",F2455=""),"",F2455-E2455)</f>
      </c>
      <c r="H2455" s="4"/>
      <c r="I2455" s="5"/>
    </row>
    <row r="2456" ht="21" customHeight="1">
      <c r="A2456" s="3">
        <v>46539</v>
      </c>
      <c r="B2456" t="inlineStr" s="4">
        <is>
          <t>星期二</t>
        </is>
      </c>
      <c r="C2456" t="inlineStr" s="4">
        <is>
          <t>餐饮</t>
        </is>
      </c>
      <c r="D2456" t="inlineStr" s="5">
        <is>
          <t>晚餐</t>
        </is>
      </c>
      <c r="E2456" s="6"/>
      <c r="F2456" s="6"/>
      <c r="G2456" s="6">
        <f>IF(AND(E2456="",F2456=""),"",F2456-E2456)</f>
      </c>
      <c r="H2456" s="4"/>
      <c r="I2456" s="5"/>
    </row>
    <row r="2457" ht="21" customHeight="1">
      <c r="A2457" s="3">
        <v>46539</v>
      </c>
      <c r="B2457" t="inlineStr" s="4">
        <is>
          <t>星期二</t>
        </is>
      </c>
      <c r="C2457" t="inlineStr" s="4">
        <is>
          <t>奶茶/咖啡</t>
        </is>
      </c>
      <c r="D2457" t="inlineStr" s="5">
        <is>
          <t>奶茶/咖啡</t>
        </is>
      </c>
      <c r="E2457" s="6"/>
      <c r="F2457" s="6"/>
      <c r="G2457" s="6">
        <f>IF(AND(E2457="",F2457=""),"",F2457-E2457)</f>
      </c>
      <c r="H2457" s="4"/>
      <c r="I2457" s="5"/>
    </row>
    <row r="2458" ht="21" customHeight="1">
      <c r="A2458" s="3">
        <v>46539</v>
      </c>
      <c r="B2458" t="inlineStr" s="4">
        <is>
          <t>星期二</t>
        </is>
      </c>
      <c r="C2458" t="inlineStr" s="4">
        <is>
          <t>其他</t>
        </is>
      </c>
      <c r="D2458" t="inlineStr" s="5">
        <is>
          <t>其他</t>
        </is>
      </c>
      <c r="E2458" s="6"/>
      <c r="F2458" s="6"/>
      <c r="G2458" s="6">
        <f>IF(AND(E2458="",F2458=""),"",F2458-E2458)</f>
      </c>
      <c r="H2458" s="4"/>
      <c r="I2458" s="5"/>
    </row>
    <row r="2459" ht="21" customHeight="1">
      <c r="A2459" s="3">
        <v>46539</v>
      </c>
      <c r="B2459" t="inlineStr" s="4">
        <is>
          <t>星期二</t>
        </is>
      </c>
      <c r="C2459" t="inlineStr" s="4">
        <is>
          <t>其他</t>
        </is>
      </c>
      <c r="D2459" t="inlineStr" s="5">
        <is>
          <t>其他</t>
        </is>
      </c>
      <c r="E2459" s="6"/>
      <c r="F2459" s="6"/>
      <c r="G2459" s="6">
        <f>IF(AND(E2459="",F2459=""),"",F2459-E2459)</f>
      </c>
      <c r="H2459" s="4"/>
      <c r="I2459" s="5"/>
    </row>
    <row r="2460" ht="21" customHeight="1">
      <c r="A2460" s="3">
        <v>46540</v>
      </c>
      <c r="B2460" t="inlineStr" s="4">
        <is>
          <t>星期三</t>
        </is>
      </c>
      <c r="C2460" t="inlineStr" s="4">
        <is>
          <t>餐饮</t>
        </is>
      </c>
      <c r="D2460" t="inlineStr" s="5">
        <is>
          <t>早餐</t>
        </is>
      </c>
      <c r="E2460" s="6"/>
      <c r="F2460" s="6"/>
      <c r="G2460" s="6">
        <f>IF(AND(E2460="",F2460=""),"",F2460-E2460)</f>
      </c>
      <c r="H2460" s="4"/>
      <c r="I2460" s="5"/>
    </row>
    <row r="2461" ht="21" customHeight="1">
      <c r="A2461" s="3">
        <v>46540</v>
      </c>
      <c r="B2461" t="inlineStr" s="4">
        <is>
          <t>星期三</t>
        </is>
      </c>
      <c r="C2461" t="inlineStr" s="4">
        <is>
          <t>餐饮</t>
        </is>
      </c>
      <c r="D2461" t="inlineStr" s="5">
        <is>
          <t>中餐</t>
        </is>
      </c>
      <c r="E2461" s="6"/>
      <c r="F2461" s="6"/>
      <c r="G2461" s="6">
        <f>IF(AND(E2461="",F2461=""),"",F2461-E2461)</f>
      </c>
      <c r="H2461" s="4"/>
      <c r="I2461" s="5"/>
    </row>
    <row r="2462" ht="21" customHeight="1">
      <c r="A2462" s="3">
        <v>46540</v>
      </c>
      <c r="B2462" t="inlineStr" s="4">
        <is>
          <t>星期三</t>
        </is>
      </c>
      <c r="C2462" t="inlineStr" s="4">
        <is>
          <t>餐饮</t>
        </is>
      </c>
      <c r="D2462" t="inlineStr" s="5">
        <is>
          <t>晚餐</t>
        </is>
      </c>
      <c r="E2462" s="6"/>
      <c r="F2462" s="6"/>
      <c r="G2462" s="6">
        <f>IF(AND(E2462="",F2462=""),"",F2462-E2462)</f>
      </c>
      <c r="H2462" s="4"/>
      <c r="I2462" s="5"/>
    </row>
    <row r="2463" ht="21" customHeight="1">
      <c r="A2463" s="3">
        <v>46540</v>
      </c>
      <c r="B2463" t="inlineStr" s="4">
        <is>
          <t>星期三</t>
        </is>
      </c>
      <c r="C2463" t="inlineStr" s="4">
        <is>
          <t>奶茶/咖啡</t>
        </is>
      </c>
      <c r="D2463" t="inlineStr" s="5">
        <is>
          <t>奶茶/咖啡</t>
        </is>
      </c>
      <c r="E2463" s="6"/>
      <c r="F2463" s="6"/>
      <c r="G2463" s="6">
        <f>IF(AND(E2463="",F2463=""),"",F2463-E2463)</f>
      </c>
      <c r="H2463" s="4"/>
      <c r="I2463" s="5"/>
    </row>
    <row r="2464" ht="21" customHeight="1">
      <c r="A2464" s="3">
        <v>46540</v>
      </c>
      <c r="B2464" t="inlineStr" s="4">
        <is>
          <t>星期三</t>
        </is>
      </c>
      <c r="C2464" t="inlineStr" s="4">
        <is>
          <t>其他</t>
        </is>
      </c>
      <c r="D2464" t="inlineStr" s="5">
        <is>
          <t>其他</t>
        </is>
      </c>
      <c r="E2464" s="6"/>
      <c r="F2464" s="6"/>
      <c r="G2464" s="6">
        <f>IF(AND(E2464="",F2464=""),"",F2464-E2464)</f>
      </c>
      <c r="H2464" s="4"/>
      <c r="I2464" s="5"/>
    </row>
    <row r="2465" ht="21" customHeight="1">
      <c r="A2465" s="3">
        <v>46540</v>
      </c>
      <c r="B2465" t="inlineStr" s="4">
        <is>
          <t>星期三</t>
        </is>
      </c>
      <c r="C2465" t="inlineStr" s="4">
        <is>
          <t>其他</t>
        </is>
      </c>
      <c r="D2465" t="inlineStr" s="5">
        <is>
          <t>其他</t>
        </is>
      </c>
      <c r="E2465" s="6"/>
      <c r="F2465" s="6"/>
      <c r="G2465" s="6">
        <f>IF(AND(E2465="",F2465=""),"",F2465-E2465)</f>
      </c>
      <c r="H2465" s="4"/>
      <c r="I2465" s="5"/>
    </row>
    <row r="2466" ht="21" customHeight="1">
      <c r="A2466" s="3">
        <v>46541</v>
      </c>
      <c r="B2466" t="inlineStr" s="4">
        <is>
          <t>星期四</t>
        </is>
      </c>
      <c r="C2466" t="inlineStr" s="4">
        <is>
          <t>餐饮</t>
        </is>
      </c>
      <c r="D2466" t="inlineStr" s="5">
        <is>
          <t>早餐</t>
        </is>
      </c>
      <c r="E2466" s="6"/>
      <c r="F2466" s="6"/>
      <c r="G2466" s="6">
        <f>IF(AND(E2466="",F2466=""),"",F2466-E2466)</f>
      </c>
      <c r="H2466" s="4"/>
      <c r="I2466" s="5"/>
    </row>
    <row r="2467" ht="21" customHeight="1">
      <c r="A2467" s="3">
        <v>46541</v>
      </c>
      <c r="B2467" t="inlineStr" s="4">
        <is>
          <t>星期四</t>
        </is>
      </c>
      <c r="C2467" t="inlineStr" s="4">
        <is>
          <t>餐饮</t>
        </is>
      </c>
      <c r="D2467" t="inlineStr" s="5">
        <is>
          <t>中餐</t>
        </is>
      </c>
      <c r="E2467" s="6"/>
      <c r="F2467" s="6"/>
      <c r="G2467" s="6">
        <f>IF(AND(E2467="",F2467=""),"",F2467-E2467)</f>
      </c>
      <c r="H2467" s="4"/>
      <c r="I2467" s="5"/>
    </row>
    <row r="2468" ht="21" customHeight="1">
      <c r="A2468" s="3">
        <v>46541</v>
      </c>
      <c r="B2468" t="inlineStr" s="4">
        <is>
          <t>星期四</t>
        </is>
      </c>
      <c r="C2468" t="inlineStr" s="4">
        <is>
          <t>餐饮</t>
        </is>
      </c>
      <c r="D2468" t="inlineStr" s="5">
        <is>
          <t>晚餐</t>
        </is>
      </c>
      <c r="E2468" s="6"/>
      <c r="F2468" s="6"/>
      <c r="G2468" s="6">
        <f>IF(AND(E2468="",F2468=""),"",F2468-E2468)</f>
      </c>
      <c r="H2468" s="4"/>
      <c r="I2468" s="5"/>
    </row>
    <row r="2469" ht="21" customHeight="1">
      <c r="A2469" s="3">
        <v>46541</v>
      </c>
      <c r="B2469" t="inlineStr" s="4">
        <is>
          <t>星期四</t>
        </is>
      </c>
      <c r="C2469" t="inlineStr" s="4">
        <is>
          <t>奶茶/咖啡</t>
        </is>
      </c>
      <c r="D2469" t="inlineStr" s="5">
        <is>
          <t>奶茶/咖啡</t>
        </is>
      </c>
      <c r="E2469" s="6"/>
      <c r="F2469" s="6"/>
      <c r="G2469" s="6">
        <f>IF(AND(E2469="",F2469=""),"",F2469-E2469)</f>
      </c>
      <c r="H2469" s="4"/>
      <c r="I2469" s="5"/>
    </row>
    <row r="2470" ht="21" customHeight="1">
      <c r="A2470" s="3">
        <v>46541</v>
      </c>
      <c r="B2470" t="inlineStr" s="4">
        <is>
          <t>星期四</t>
        </is>
      </c>
      <c r="C2470" t="inlineStr" s="4">
        <is>
          <t>其他</t>
        </is>
      </c>
      <c r="D2470" t="inlineStr" s="5">
        <is>
          <t>其他</t>
        </is>
      </c>
      <c r="E2470" s="6"/>
      <c r="F2470" s="6"/>
      <c r="G2470" s="6">
        <f>IF(AND(E2470="",F2470=""),"",F2470-E2470)</f>
      </c>
      <c r="H2470" s="4"/>
      <c r="I2470" s="5"/>
    </row>
    <row r="2471" ht="21" customHeight="1">
      <c r="A2471" s="3">
        <v>46541</v>
      </c>
      <c r="B2471" t="inlineStr" s="4">
        <is>
          <t>星期四</t>
        </is>
      </c>
      <c r="C2471" t="inlineStr" s="4">
        <is>
          <t>其他</t>
        </is>
      </c>
      <c r="D2471" t="inlineStr" s="5">
        <is>
          <t>其他</t>
        </is>
      </c>
      <c r="E2471" s="6"/>
      <c r="F2471" s="6"/>
      <c r="G2471" s="6">
        <f>IF(AND(E2471="",F2471=""),"",F2471-E2471)</f>
      </c>
      <c r="H2471" s="4"/>
      <c r="I2471" s="5"/>
    </row>
    <row r="2472" ht="21" customHeight="1">
      <c r="A2472" s="3">
        <v>46542</v>
      </c>
      <c r="B2472" t="inlineStr" s="4">
        <is>
          <t>星期五</t>
        </is>
      </c>
      <c r="C2472" t="inlineStr" s="4">
        <is>
          <t>餐饮</t>
        </is>
      </c>
      <c r="D2472" t="inlineStr" s="5">
        <is>
          <t>早餐</t>
        </is>
      </c>
      <c r="E2472" s="6"/>
      <c r="F2472" s="6"/>
      <c r="G2472" s="6">
        <f>IF(AND(E2472="",F2472=""),"",F2472-E2472)</f>
      </c>
      <c r="H2472" s="4"/>
      <c r="I2472" s="5"/>
    </row>
    <row r="2473" ht="21" customHeight="1">
      <c r="A2473" s="3">
        <v>46542</v>
      </c>
      <c r="B2473" t="inlineStr" s="4">
        <is>
          <t>星期五</t>
        </is>
      </c>
      <c r="C2473" t="inlineStr" s="4">
        <is>
          <t>餐饮</t>
        </is>
      </c>
      <c r="D2473" t="inlineStr" s="5">
        <is>
          <t>中餐</t>
        </is>
      </c>
      <c r="E2473" s="6"/>
      <c r="F2473" s="6"/>
      <c r="G2473" s="6">
        <f>IF(AND(E2473="",F2473=""),"",F2473-E2473)</f>
      </c>
      <c r="H2473" s="4"/>
      <c r="I2473" s="5"/>
    </row>
    <row r="2474" ht="21" customHeight="1">
      <c r="A2474" s="3">
        <v>46542</v>
      </c>
      <c r="B2474" t="inlineStr" s="4">
        <is>
          <t>星期五</t>
        </is>
      </c>
      <c r="C2474" t="inlineStr" s="4">
        <is>
          <t>餐饮</t>
        </is>
      </c>
      <c r="D2474" t="inlineStr" s="5">
        <is>
          <t>晚餐</t>
        </is>
      </c>
      <c r="E2474" s="6"/>
      <c r="F2474" s="6"/>
      <c r="G2474" s="6">
        <f>IF(AND(E2474="",F2474=""),"",F2474-E2474)</f>
      </c>
      <c r="H2474" s="4"/>
      <c r="I2474" s="5"/>
    </row>
    <row r="2475" ht="21" customHeight="1">
      <c r="A2475" s="3">
        <v>46542</v>
      </c>
      <c r="B2475" t="inlineStr" s="4">
        <is>
          <t>星期五</t>
        </is>
      </c>
      <c r="C2475" t="inlineStr" s="4">
        <is>
          <t>奶茶/咖啡</t>
        </is>
      </c>
      <c r="D2475" t="inlineStr" s="5">
        <is>
          <t>奶茶/咖啡</t>
        </is>
      </c>
      <c r="E2475" s="6"/>
      <c r="F2475" s="6"/>
      <c r="G2475" s="6">
        <f>IF(AND(E2475="",F2475=""),"",F2475-E2475)</f>
      </c>
      <c r="H2475" s="4"/>
      <c r="I2475" s="5"/>
    </row>
    <row r="2476" ht="21" customHeight="1">
      <c r="A2476" s="3">
        <v>46542</v>
      </c>
      <c r="B2476" t="inlineStr" s="4">
        <is>
          <t>星期五</t>
        </is>
      </c>
      <c r="C2476" t="inlineStr" s="4">
        <is>
          <t>其他</t>
        </is>
      </c>
      <c r="D2476" t="inlineStr" s="5">
        <is>
          <t>其他</t>
        </is>
      </c>
      <c r="E2476" s="6"/>
      <c r="F2476" s="6"/>
      <c r="G2476" s="6">
        <f>IF(AND(E2476="",F2476=""),"",F2476-E2476)</f>
      </c>
      <c r="H2476" s="4"/>
      <c r="I2476" s="5"/>
    </row>
    <row r="2477" ht="21" customHeight="1">
      <c r="A2477" s="3">
        <v>46542</v>
      </c>
      <c r="B2477" t="inlineStr" s="4">
        <is>
          <t>星期五</t>
        </is>
      </c>
      <c r="C2477" t="inlineStr" s="4">
        <is>
          <t>其他</t>
        </is>
      </c>
      <c r="D2477" t="inlineStr" s="5">
        <is>
          <t>其他</t>
        </is>
      </c>
      <c r="E2477" s="6"/>
      <c r="F2477" s="6"/>
      <c r="G2477" s="6">
        <f>IF(AND(E2477="",F2477=""),"",F2477-E2477)</f>
      </c>
      <c r="H2477" s="4"/>
      <c r="I2477" s="5"/>
    </row>
    <row r="2478" ht="21" customHeight="1">
      <c r="A2478" s="3">
        <v>46543</v>
      </c>
      <c r="B2478" t="inlineStr" s="4">
        <is>
          <t>星期六</t>
        </is>
      </c>
      <c r="C2478" t="inlineStr" s="4">
        <is>
          <t>餐饮</t>
        </is>
      </c>
      <c r="D2478" t="inlineStr" s="5">
        <is>
          <t>早餐</t>
        </is>
      </c>
      <c r="E2478" s="6"/>
      <c r="F2478" s="6"/>
      <c r="G2478" s="6">
        <f>IF(AND(E2478="",F2478=""),"",F2478-E2478)</f>
      </c>
      <c r="H2478" s="4"/>
      <c r="I2478" s="5"/>
    </row>
    <row r="2479" ht="21" customHeight="1">
      <c r="A2479" s="3">
        <v>46543</v>
      </c>
      <c r="B2479" t="inlineStr" s="4">
        <is>
          <t>星期六</t>
        </is>
      </c>
      <c r="C2479" t="inlineStr" s="4">
        <is>
          <t>餐饮</t>
        </is>
      </c>
      <c r="D2479" t="inlineStr" s="5">
        <is>
          <t>中餐</t>
        </is>
      </c>
      <c r="E2479" s="6"/>
      <c r="F2479" s="6"/>
      <c r="G2479" s="6">
        <f>IF(AND(E2479="",F2479=""),"",F2479-E2479)</f>
      </c>
      <c r="H2479" s="4"/>
      <c r="I2479" s="5"/>
    </row>
    <row r="2480" ht="21" customHeight="1">
      <c r="A2480" s="3">
        <v>46543</v>
      </c>
      <c r="B2480" t="inlineStr" s="4">
        <is>
          <t>星期六</t>
        </is>
      </c>
      <c r="C2480" t="inlineStr" s="4">
        <is>
          <t>餐饮</t>
        </is>
      </c>
      <c r="D2480" t="inlineStr" s="5">
        <is>
          <t>晚餐</t>
        </is>
      </c>
      <c r="E2480" s="6"/>
      <c r="F2480" s="6"/>
      <c r="G2480" s="6">
        <f>IF(AND(E2480="",F2480=""),"",F2480-E2480)</f>
      </c>
      <c r="H2480" s="4"/>
      <c r="I2480" s="5"/>
    </row>
    <row r="2481" ht="21" customHeight="1">
      <c r="A2481" s="3">
        <v>46543</v>
      </c>
      <c r="B2481" t="inlineStr" s="4">
        <is>
          <t>星期六</t>
        </is>
      </c>
      <c r="C2481" t="inlineStr" s="4">
        <is>
          <t>奶茶/咖啡</t>
        </is>
      </c>
      <c r="D2481" t="inlineStr" s="5">
        <is>
          <t>奶茶/咖啡</t>
        </is>
      </c>
      <c r="E2481" s="6"/>
      <c r="F2481" s="6"/>
      <c r="G2481" s="6">
        <f>IF(AND(E2481="",F2481=""),"",F2481-E2481)</f>
      </c>
      <c r="H2481" s="4"/>
      <c r="I2481" s="5"/>
    </row>
    <row r="2482" ht="21" customHeight="1">
      <c r="A2482" s="3">
        <v>46543</v>
      </c>
      <c r="B2482" t="inlineStr" s="4">
        <is>
          <t>星期六</t>
        </is>
      </c>
      <c r="C2482" t="inlineStr" s="4">
        <is>
          <t>其他</t>
        </is>
      </c>
      <c r="D2482" t="inlineStr" s="5">
        <is>
          <t>其他</t>
        </is>
      </c>
      <c r="E2482" s="6"/>
      <c r="F2482" s="6"/>
      <c r="G2482" s="6">
        <f>IF(AND(E2482="",F2482=""),"",F2482-E2482)</f>
      </c>
      <c r="H2482" s="4"/>
      <c r="I2482" s="5"/>
    </row>
    <row r="2483" ht="21" customHeight="1">
      <c r="A2483" s="3">
        <v>46543</v>
      </c>
      <c r="B2483" t="inlineStr" s="4">
        <is>
          <t>星期六</t>
        </is>
      </c>
      <c r="C2483" t="inlineStr" s="4">
        <is>
          <t>其他</t>
        </is>
      </c>
      <c r="D2483" t="inlineStr" s="5">
        <is>
          <t>其他</t>
        </is>
      </c>
      <c r="E2483" s="6"/>
      <c r="F2483" s="6"/>
      <c r="G2483" s="6">
        <f>IF(AND(E2483="",F2483=""),"",F2483-E2483)</f>
      </c>
      <c r="H2483" s="4"/>
      <c r="I2483" s="5"/>
    </row>
    <row r="2484" ht="21" customHeight="1">
      <c r="A2484" s="3">
        <v>46544</v>
      </c>
      <c r="B2484" t="inlineStr" s="4">
        <is>
          <t>星期日</t>
        </is>
      </c>
      <c r="C2484" t="inlineStr" s="4">
        <is>
          <t>餐饮</t>
        </is>
      </c>
      <c r="D2484" t="inlineStr" s="5">
        <is>
          <t>早餐</t>
        </is>
      </c>
      <c r="E2484" s="6"/>
      <c r="F2484" s="6"/>
      <c r="G2484" s="6">
        <f>IF(AND(E2484="",F2484=""),"",F2484-E2484)</f>
      </c>
      <c r="H2484" s="4"/>
      <c r="I2484" s="5"/>
    </row>
    <row r="2485" ht="21" customHeight="1">
      <c r="A2485" s="3">
        <v>46544</v>
      </c>
      <c r="B2485" t="inlineStr" s="4">
        <is>
          <t>星期日</t>
        </is>
      </c>
      <c r="C2485" t="inlineStr" s="4">
        <is>
          <t>餐饮</t>
        </is>
      </c>
      <c r="D2485" t="inlineStr" s="5">
        <is>
          <t>中餐</t>
        </is>
      </c>
      <c r="E2485" s="6"/>
      <c r="F2485" s="6"/>
      <c r="G2485" s="6">
        <f>IF(AND(E2485="",F2485=""),"",F2485-E2485)</f>
      </c>
      <c r="H2485" s="4"/>
      <c r="I2485" s="5"/>
    </row>
    <row r="2486" ht="21" customHeight="1">
      <c r="A2486" s="3">
        <v>46544</v>
      </c>
      <c r="B2486" t="inlineStr" s="4">
        <is>
          <t>星期日</t>
        </is>
      </c>
      <c r="C2486" t="inlineStr" s="4">
        <is>
          <t>餐饮</t>
        </is>
      </c>
      <c r="D2486" t="inlineStr" s="5">
        <is>
          <t>晚餐</t>
        </is>
      </c>
      <c r="E2486" s="6"/>
      <c r="F2486" s="6"/>
      <c r="G2486" s="6">
        <f>IF(AND(E2486="",F2486=""),"",F2486-E2486)</f>
      </c>
      <c r="H2486" s="4"/>
      <c r="I2486" s="5"/>
    </row>
    <row r="2487" ht="21" customHeight="1">
      <c r="A2487" s="3">
        <v>46544</v>
      </c>
      <c r="B2487" t="inlineStr" s="4">
        <is>
          <t>星期日</t>
        </is>
      </c>
      <c r="C2487" t="inlineStr" s="4">
        <is>
          <t>奶茶/咖啡</t>
        </is>
      </c>
      <c r="D2487" t="inlineStr" s="5">
        <is>
          <t>奶茶/咖啡</t>
        </is>
      </c>
      <c r="E2487" s="6"/>
      <c r="F2487" s="6"/>
      <c r="G2487" s="6">
        <f>IF(AND(E2487="",F2487=""),"",F2487-E2487)</f>
      </c>
      <c r="H2487" s="4"/>
      <c r="I2487" s="5"/>
    </row>
    <row r="2488" ht="21" customHeight="1">
      <c r="A2488" s="3">
        <v>46544</v>
      </c>
      <c r="B2488" t="inlineStr" s="4">
        <is>
          <t>星期日</t>
        </is>
      </c>
      <c r="C2488" t="inlineStr" s="4">
        <is>
          <t>其他</t>
        </is>
      </c>
      <c r="D2488" t="inlineStr" s="5">
        <is>
          <t>其他</t>
        </is>
      </c>
      <c r="E2488" s="6"/>
      <c r="F2488" s="6"/>
      <c r="G2488" s="6">
        <f>IF(AND(E2488="",F2488=""),"",F2488-E2488)</f>
      </c>
      <c r="H2488" s="4"/>
      <c r="I2488" s="5"/>
    </row>
    <row r="2489" ht="21" customHeight="1">
      <c r="A2489" s="3">
        <v>46544</v>
      </c>
      <c r="B2489" t="inlineStr" s="4">
        <is>
          <t>星期日</t>
        </is>
      </c>
      <c r="C2489" t="inlineStr" s="4">
        <is>
          <t>其他</t>
        </is>
      </c>
      <c r="D2489" t="inlineStr" s="5">
        <is>
          <t>其他</t>
        </is>
      </c>
      <c r="E2489" s="6"/>
      <c r="F2489" s="6"/>
      <c r="G2489" s="6">
        <f>IF(AND(E2489="",F2489=""),"",F2489-E2489)</f>
      </c>
      <c r="H2489" s="4"/>
      <c r="I2489" s="5"/>
    </row>
    <row r="2490" ht="23" customHeight="1">
      <c r="A2490" t="inlineStr" s="7">
        <is>
          <t>本周小计</t>
        </is>
      </c>
      <c r="B2490" s="7"/>
      <c r="C2490" s="7"/>
      <c r="D2490" s="7"/>
      <c r="E2490" s="8">
        <f>SUM(E2448:E2489)</f>
      </c>
      <c r="F2490" s="8">
        <f>SUM(F2448:F2489)</f>
      </c>
      <c r="G2490" s="8">
        <f>SUM(G2448:G2489)</f>
      </c>
      <c r="H2490" s="7"/>
      <c r="I2490" s="7"/>
    </row>
    <row r="2491" ht="18" customHeight="1">
      <c r="A2491" s="9"/>
      <c r="B2491" s="9"/>
      <c r="C2491" s="9"/>
      <c r="D2491" s="9"/>
      <c r="E2491" s="9"/>
      <c r="F2491" s="9"/>
      <c r="G2491" s="9"/>
      <c r="H2491" s="9"/>
      <c r="I2491" s="9"/>
    </row>
    <row r="2492" ht="18" customHeight="1">
      <c r="A2492" s="9"/>
      <c r="B2492" s="9"/>
      <c r="C2492" s="9"/>
      <c r="D2492" s="9"/>
      <c r="E2492" s="9"/>
      <c r="F2492" s="9"/>
      <c r="G2492" s="9"/>
      <c r="H2492" s="9"/>
      <c r="I2492" s="9"/>
    </row>
  </sheetData>
  <mergeCells count="53">
    <mergeCell ref="A2:I2"/>
    <mergeCell ref="A49:I49"/>
    <mergeCell ref="A96:I96"/>
    <mergeCell ref="A143:I143"/>
    <mergeCell ref="A190:I190"/>
    <mergeCell ref="A237:I237"/>
    <mergeCell ref="A284:I284"/>
    <mergeCell ref="A331:I331"/>
    <mergeCell ref="A378:I378"/>
    <mergeCell ref="A425:I425"/>
    <mergeCell ref="A472:I472"/>
    <mergeCell ref="A519:I519"/>
    <mergeCell ref="A566:I566"/>
    <mergeCell ref="A613:I613"/>
    <mergeCell ref="A660:I660"/>
    <mergeCell ref="A707:I707"/>
    <mergeCell ref="A754:I754"/>
    <mergeCell ref="A801:I801"/>
    <mergeCell ref="A848:I848"/>
    <mergeCell ref="A895:I895"/>
    <mergeCell ref="A942:I942"/>
    <mergeCell ref="A989:I989"/>
    <mergeCell ref="A1036:I1036"/>
    <mergeCell ref="A1083:I1083"/>
    <mergeCell ref="A1130:I1130"/>
    <mergeCell ref="A1177:I1177"/>
    <mergeCell ref="A1224:I1224"/>
    <mergeCell ref="A1271:I1271"/>
    <mergeCell ref="A1318:I1318"/>
    <mergeCell ref="A1365:I1365"/>
    <mergeCell ref="A1412:I1412"/>
    <mergeCell ref="A1459:I1459"/>
    <mergeCell ref="A1506:I1506"/>
    <mergeCell ref="A1553:I1553"/>
    <mergeCell ref="A1600:I1600"/>
    <mergeCell ref="A1647:I1647"/>
    <mergeCell ref="A1694:I1694"/>
    <mergeCell ref="A1741:I1741"/>
    <mergeCell ref="A1788:I1788"/>
    <mergeCell ref="A1835:I1835"/>
    <mergeCell ref="A1882:I1882"/>
    <mergeCell ref="A1929:I1929"/>
    <mergeCell ref="A1976:I1976"/>
    <mergeCell ref="A2023:I2023"/>
    <mergeCell ref="A2070:I2070"/>
    <mergeCell ref="A2117:I2117"/>
    <mergeCell ref="A2164:I2164"/>
    <mergeCell ref="A2211:I2211"/>
    <mergeCell ref="A2258:I2258"/>
    <mergeCell ref="A2305:I2305"/>
    <mergeCell ref="A2352:I2352"/>
    <mergeCell ref="A2399:I2399"/>
    <mergeCell ref="A2446:I2446"/>
  </mergeCells>
  <dataValidations count="3">
    <dataValidation type="list" allowBlank="1" showErrorMessage="1" sqref="C4:C45 C51:C92 C98:C139 C145:C186 C192:C233 C239:C280 C286:C327 C333:C374 C380:C421 C427:C468 C474:C515 C521:C562 C568:C609 C615:C656 C662:C703 C709:C750 C756:C797 C803:C844 C850:C891 C897:C938 C944:C985 C991:C1032 C1038:C1079 C1085:C1126 C1132:C1173 C1179:C1220 C1226:C1267 C1273:C1314 C1320:C1361 C1367:C1408 C1414:C1455 C1461:C1502 C1508:C1549 C1555:C1596 C1602:C1643 C1649:C1690 C1696:C1737 C1743:C1784 C1790:C1831 C1837:C1878 C1884:C1925 C1931:C1972 C1978:C2019 C2025:C2066 C2072:C2113 C2119:C2160 C2166:C2207 C2213:C2254 C2260:C2301 C2307:C2348 C2354:C2395 C2401:C2442 C2448:C2489">
      <formula1>'选项设置'!$A$2:$A$13</formula1>
    </dataValidation>
    <dataValidation type="list" allowBlank="1" showErrorMessage="1" sqref="H4:H45 H51:H92 H98:H139 H145:H186 H192:H233 H239:H280 H286:H327 H333:H374 H380:H421 H427:H468 H474:H515 H521:H562 H568:H609 H615:H656 H662:H703 H709:H750 H756:H797 H803:H844 H850:H891 H897:H938 H944:H985 H991:H1032 H1038:H1079 H1085:H1126 H1132:H1173 H1179:H1220 H1226:H1267 H1273:H1314 H1320:H1361 H1367:H1408 H1414:H1455 H1461:H1502 H1508:H1549 H1555:H1596 H1602:H1643 H1649:H1690 H1696:H1737 H1743:H1784 H1790:H1831 H1837:H1878 H1884:H1925 H1931:H1972 H1978:H2019 H2025:H2066 H2072:H2113 H2119:H2160 H2166:H2207 H2213:H2254 H2260:H2301 H2307:H2348 H2354:H2395 H2401:H2442 H2448:H2489">
      <formula1>'选项设置'!$B$2:$B$7</formula1>
    </dataValidation>
    <dataValidation type="list" allowBlank="1" showErrorMessage="1" sqref="D4:D45 D51:D92 D98:D139 D145:D186 D192:D233 D239:D280 D286:D327 D333:D374 D380:D421 D427:D468 D474:D515 D521:D562 D568:D609 D615:D656 D662:D703 D709:D750 D756:D797 D803:D844 D850:D891 D897:D938 D944:D985 D991:D1032 D1038:D1079 D1085:D1126 D1132:D1173 D1179:D1220 D1226:D1267 D1273:D1314 D1320:D1361 D1367:D1408 D1414:D1455 D1461:D1502 D1508:D1549 D1555:D1596 D1602:D1643 D1649:D1690 D1696:D1737 D1743:D1784 D1790:D1831 D1837:D1878 D1884:D1925 D1931:D1972 D1978:D2019 D2025:D2066 D2072:D2113 D2119:D2160 D2166:D2207 D2213:D2254 D2260:D2301 D2307:D2348 D2354:D2395 D2401:D2442 D2448:D2489">
      <formula1>'选项设置'!$C$2:$C$14</formula1>
    </dataValidation>
  </dataValidations>
  <pageMargins left="0.6" right="0.6" top="0.75" bottom="0.75" header="0.3" footer="0.3"/>
</worksheet>
</file>

<file path=xl/worksheets/sheet2.xml><?xml version="1.0" encoding="utf-8"?>
<worksheet xmlns="http://schemas.openxmlformats.org/spreadsheetml/2006/main">
  <dimension ref="A1:H55"/>
  <sheetViews>
    <sheetView workbookViewId="0">
      <pane ySplit="2" topLeftCell="A3" activePane="bottomLeft" state="frozen"/>
    </sheetView>
  </sheetViews>
  <sheetFormatPr defaultRowHeight="20"/>
  <cols>
    <col min="1" max="1" width="12" customWidth="1"/>
    <col min="2" max="3" width="13" customWidth="1"/>
    <col min="4" max="7" width="14" customWidth="1"/>
    <col min="8" max="8" width="24" customWidth="1"/>
  </cols>
  <sheetData>
    <row r="1" ht="28" customHeight="1">
      <c r="A1" t="inlineStr" s="10">
        <is>
          <t>按周汇总</t>
        </is>
      </c>
      <c r="B1" s="10"/>
      <c r="C1" s="10"/>
      <c r="D1" s="10"/>
      <c r="E1" s="10"/>
      <c r="F1" s="10"/>
      <c r="G1" s="10"/>
      <c r="H1" s="10"/>
    </row>
    <row r="2" ht="22" customHeight="1">
      <c r="A2" t="inlineStr" s="11">
        <is>
          <t>周次</t>
        </is>
      </c>
      <c r="B2" t="inlineStr" s="11">
        <is>
          <t>起始日期</t>
        </is>
      </c>
      <c r="C2" t="inlineStr" s="11">
        <is>
          <t>结束日期</t>
        </is>
      </c>
      <c r="D2" t="inlineStr" s="11">
        <is>
          <t>支出合计</t>
        </is>
      </c>
      <c r="E2" t="inlineStr" s="11">
        <is>
          <t>收入合计</t>
        </is>
      </c>
      <c r="F2" t="inlineStr" s="11">
        <is>
          <t>本周净额</t>
        </is>
      </c>
      <c r="G2" t="inlineStr" s="11">
        <is>
          <t>累计余额</t>
        </is>
      </c>
      <c r="H2" t="inlineStr" s="11">
        <is>
          <t>备注</t>
        </is>
      </c>
    </row>
    <row r="3" ht="21" customHeight="1">
      <c r="A3" t="inlineStr" s="15">
        <is>
          <t>第1周</t>
        </is>
      </c>
      <c r="B3" s="3">
        <v>46174</v>
      </c>
      <c r="C3" s="3">
        <v>46180</v>
      </c>
      <c r="D3" s="12">
        <f>SUM('流水记账'!E4:E45)</f>
      </c>
      <c r="E3" s="12">
        <f>SUM('流水记账'!F4:F45)</f>
      </c>
      <c r="F3" s="12">
        <f>E3-D3</f>
      </c>
      <c r="G3" s="12">
        <f>'按月汇总'!$B$2+SUM($F$3:F3)</f>
      </c>
      <c r="H3" s="15"/>
    </row>
    <row r="4" ht="21" customHeight="1">
      <c r="A4" t="inlineStr" s="15">
        <is>
          <t>第2周</t>
        </is>
      </c>
      <c r="B4" s="3">
        <v>46181</v>
      </c>
      <c r="C4" s="3">
        <v>46187</v>
      </c>
      <c r="D4" s="12">
        <f>SUM('流水记账'!E51:E92)</f>
      </c>
      <c r="E4" s="12">
        <f>SUM('流水记账'!F51:F92)</f>
      </c>
      <c r="F4" s="12">
        <f>E4-D4</f>
      </c>
      <c r="G4" s="12">
        <f>'按月汇总'!$B$2+SUM($F$3:F4)</f>
      </c>
      <c r="H4" s="15"/>
    </row>
    <row r="5" ht="21" customHeight="1">
      <c r="A5" t="inlineStr" s="15">
        <is>
          <t>第3周</t>
        </is>
      </c>
      <c r="B5" s="3">
        <v>46188</v>
      </c>
      <c r="C5" s="3">
        <v>46194</v>
      </c>
      <c r="D5" s="12">
        <f>SUM('流水记账'!E98:E139)</f>
      </c>
      <c r="E5" s="12">
        <f>SUM('流水记账'!F98:F139)</f>
      </c>
      <c r="F5" s="12">
        <f>E5-D5</f>
      </c>
      <c r="G5" s="12">
        <f>'按月汇总'!$B$2+SUM($F$3:F5)</f>
      </c>
      <c r="H5" s="15"/>
    </row>
    <row r="6" ht="21" customHeight="1">
      <c r="A6" t="inlineStr" s="15">
        <is>
          <t>第4周</t>
        </is>
      </c>
      <c r="B6" s="3">
        <v>46195</v>
      </c>
      <c r="C6" s="3">
        <v>46201</v>
      </c>
      <c r="D6" s="12">
        <f>SUM('流水记账'!E145:E186)</f>
      </c>
      <c r="E6" s="12">
        <f>SUM('流水记账'!F145:F186)</f>
      </c>
      <c r="F6" s="12">
        <f>E6-D6</f>
      </c>
      <c r="G6" s="12">
        <f>'按月汇总'!$B$2+SUM($F$3:F6)</f>
      </c>
      <c r="H6" s="15"/>
    </row>
    <row r="7" ht="21" customHeight="1">
      <c r="A7" t="inlineStr" s="15">
        <is>
          <t>第5周</t>
        </is>
      </c>
      <c r="B7" s="3">
        <v>46202</v>
      </c>
      <c r="C7" s="3">
        <v>46208</v>
      </c>
      <c r="D7" s="12">
        <f>SUM('流水记账'!E192:E233)</f>
      </c>
      <c r="E7" s="12">
        <f>SUM('流水记账'!F192:F233)</f>
      </c>
      <c r="F7" s="12">
        <f>E7-D7</f>
      </c>
      <c r="G7" s="12">
        <f>'按月汇总'!$B$2+SUM($F$3:F7)</f>
      </c>
      <c r="H7" s="15"/>
    </row>
    <row r="8" ht="21" customHeight="1">
      <c r="A8" t="inlineStr" s="15">
        <is>
          <t>第6周</t>
        </is>
      </c>
      <c r="B8" s="3">
        <v>46209</v>
      </c>
      <c r="C8" s="3">
        <v>46215</v>
      </c>
      <c r="D8" s="12">
        <f>SUM('流水记账'!E239:E280)</f>
      </c>
      <c r="E8" s="12">
        <f>SUM('流水记账'!F239:F280)</f>
      </c>
      <c r="F8" s="12">
        <f>E8-D8</f>
      </c>
      <c r="G8" s="12">
        <f>'按月汇总'!$B$2+SUM($F$3:F8)</f>
      </c>
      <c r="H8" s="15"/>
    </row>
    <row r="9" ht="21" customHeight="1">
      <c r="A9" t="inlineStr" s="15">
        <is>
          <t>第7周</t>
        </is>
      </c>
      <c r="B9" s="3">
        <v>46216</v>
      </c>
      <c r="C9" s="3">
        <v>46222</v>
      </c>
      <c r="D9" s="12">
        <f>SUM('流水记账'!E286:E327)</f>
      </c>
      <c r="E9" s="12">
        <f>SUM('流水记账'!F286:F327)</f>
      </c>
      <c r="F9" s="12">
        <f>E9-D9</f>
      </c>
      <c r="G9" s="12">
        <f>'按月汇总'!$B$2+SUM($F$3:F9)</f>
      </c>
      <c r="H9" s="15"/>
    </row>
    <row r="10" ht="21" customHeight="1">
      <c r="A10" t="inlineStr" s="15">
        <is>
          <t>第8周</t>
        </is>
      </c>
      <c r="B10" s="3">
        <v>46223</v>
      </c>
      <c r="C10" s="3">
        <v>46229</v>
      </c>
      <c r="D10" s="12">
        <f>SUM('流水记账'!E333:E374)</f>
      </c>
      <c r="E10" s="12">
        <f>SUM('流水记账'!F333:F374)</f>
      </c>
      <c r="F10" s="12">
        <f>E10-D10</f>
      </c>
      <c r="G10" s="12">
        <f>'按月汇总'!$B$2+SUM($F$3:F10)</f>
      </c>
      <c r="H10" s="15"/>
    </row>
    <row r="11" ht="21" customHeight="1">
      <c r="A11" t="inlineStr" s="15">
        <is>
          <t>第9周</t>
        </is>
      </c>
      <c r="B11" s="3">
        <v>46230</v>
      </c>
      <c r="C11" s="3">
        <v>46236</v>
      </c>
      <c r="D11" s="12">
        <f>SUM('流水记账'!E380:E421)</f>
      </c>
      <c r="E11" s="12">
        <f>SUM('流水记账'!F380:F421)</f>
      </c>
      <c r="F11" s="12">
        <f>E11-D11</f>
      </c>
      <c r="G11" s="12">
        <f>'按月汇总'!$B$2+SUM($F$3:F11)</f>
      </c>
      <c r="H11" s="15"/>
    </row>
    <row r="12" ht="21" customHeight="1">
      <c r="A12" t="inlineStr" s="15">
        <is>
          <t>第10周</t>
        </is>
      </c>
      <c r="B12" s="3">
        <v>46237</v>
      </c>
      <c r="C12" s="3">
        <v>46243</v>
      </c>
      <c r="D12" s="12">
        <f>SUM('流水记账'!E427:E468)</f>
      </c>
      <c r="E12" s="12">
        <f>SUM('流水记账'!F427:F468)</f>
      </c>
      <c r="F12" s="12">
        <f>E12-D12</f>
      </c>
      <c r="G12" s="12">
        <f>'按月汇总'!$B$2+SUM($F$3:F12)</f>
      </c>
      <c r="H12" s="15"/>
    </row>
    <row r="13" ht="21" customHeight="1">
      <c r="A13" t="inlineStr" s="15">
        <is>
          <t>第11周</t>
        </is>
      </c>
      <c r="B13" s="3">
        <v>46244</v>
      </c>
      <c r="C13" s="3">
        <v>46250</v>
      </c>
      <c r="D13" s="12">
        <f>SUM('流水记账'!E474:E515)</f>
      </c>
      <c r="E13" s="12">
        <f>SUM('流水记账'!F474:F515)</f>
      </c>
      <c r="F13" s="12">
        <f>E13-D13</f>
      </c>
      <c r="G13" s="12">
        <f>'按月汇总'!$B$2+SUM($F$3:F13)</f>
      </c>
      <c r="H13" s="15"/>
    </row>
    <row r="14" ht="21" customHeight="1">
      <c r="A14" t="inlineStr" s="15">
        <is>
          <t>第12周</t>
        </is>
      </c>
      <c r="B14" s="3">
        <v>46251</v>
      </c>
      <c r="C14" s="3">
        <v>46257</v>
      </c>
      <c r="D14" s="12">
        <f>SUM('流水记账'!E521:E562)</f>
      </c>
      <c r="E14" s="12">
        <f>SUM('流水记账'!F521:F562)</f>
      </c>
      <c r="F14" s="12">
        <f>E14-D14</f>
      </c>
      <c r="G14" s="12">
        <f>'按月汇总'!$B$2+SUM($F$3:F14)</f>
      </c>
      <c r="H14" s="15"/>
    </row>
    <row r="15" ht="21" customHeight="1">
      <c r="A15" t="inlineStr" s="15">
        <is>
          <t>第13周</t>
        </is>
      </c>
      <c r="B15" s="3">
        <v>46258</v>
      </c>
      <c r="C15" s="3">
        <v>46264</v>
      </c>
      <c r="D15" s="12">
        <f>SUM('流水记账'!E568:E609)</f>
      </c>
      <c r="E15" s="12">
        <f>SUM('流水记账'!F568:F609)</f>
      </c>
      <c r="F15" s="12">
        <f>E15-D15</f>
      </c>
      <c r="G15" s="12">
        <f>'按月汇总'!$B$2+SUM($F$3:F15)</f>
      </c>
      <c r="H15" s="15"/>
    </row>
    <row r="16" ht="21" customHeight="1">
      <c r="A16" t="inlineStr" s="15">
        <is>
          <t>第14周</t>
        </is>
      </c>
      <c r="B16" s="3">
        <v>46265</v>
      </c>
      <c r="C16" s="3">
        <v>46271</v>
      </c>
      <c r="D16" s="12">
        <f>SUM('流水记账'!E615:E656)</f>
      </c>
      <c r="E16" s="12">
        <f>SUM('流水记账'!F615:F656)</f>
      </c>
      <c r="F16" s="12">
        <f>E16-D16</f>
      </c>
      <c r="G16" s="12">
        <f>'按月汇总'!$B$2+SUM($F$3:F16)</f>
      </c>
      <c r="H16" s="15"/>
    </row>
    <row r="17" ht="21" customHeight="1">
      <c r="A17" t="inlineStr" s="15">
        <is>
          <t>第15周</t>
        </is>
      </c>
      <c r="B17" s="3">
        <v>46272</v>
      </c>
      <c r="C17" s="3">
        <v>46278</v>
      </c>
      <c r="D17" s="12">
        <f>SUM('流水记账'!E662:E703)</f>
      </c>
      <c r="E17" s="12">
        <f>SUM('流水记账'!F662:F703)</f>
      </c>
      <c r="F17" s="12">
        <f>E17-D17</f>
      </c>
      <c r="G17" s="12">
        <f>'按月汇总'!$B$2+SUM($F$3:F17)</f>
      </c>
      <c r="H17" s="15"/>
    </row>
    <row r="18" ht="21" customHeight="1">
      <c r="A18" t="inlineStr" s="15">
        <is>
          <t>第16周</t>
        </is>
      </c>
      <c r="B18" s="3">
        <v>46279</v>
      </c>
      <c r="C18" s="3">
        <v>46285</v>
      </c>
      <c r="D18" s="12">
        <f>SUM('流水记账'!E709:E750)</f>
      </c>
      <c r="E18" s="12">
        <f>SUM('流水记账'!F709:F750)</f>
      </c>
      <c r="F18" s="12">
        <f>E18-D18</f>
      </c>
      <c r="G18" s="12">
        <f>'按月汇总'!$B$2+SUM($F$3:F18)</f>
      </c>
      <c r="H18" s="15"/>
    </row>
    <row r="19" ht="21" customHeight="1">
      <c r="A19" t="inlineStr" s="15">
        <is>
          <t>第17周</t>
        </is>
      </c>
      <c r="B19" s="3">
        <v>46286</v>
      </c>
      <c r="C19" s="3">
        <v>46292</v>
      </c>
      <c r="D19" s="12">
        <f>SUM('流水记账'!E756:E797)</f>
      </c>
      <c r="E19" s="12">
        <f>SUM('流水记账'!F756:F797)</f>
      </c>
      <c r="F19" s="12">
        <f>E19-D19</f>
      </c>
      <c r="G19" s="12">
        <f>'按月汇总'!$B$2+SUM($F$3:F19)</f>
      </c>
      <c r="H19" s="15"/>
    </row>
    <row r="20" ht="21" customHeight="1">
      <c r="A20" t="inlineStr" s="15">
        <is>
          <t>第18周</t>
        </is>
      </c>
      <c r="B20" s="3">
        <v>46293</v>
      </c>
      <c r="C20" s="3">
        <v>46299</v>
      </c>
      <c r="D20" s="12">
        <f>SUM('流水记账'!E803:E844)</f>
      </c>
      <c r="E20" s="12">
        <f>SUM('流水记账'!F803:F844)</f>
      </c>
      <c r="F20" s="12">
        <f>E20-D20</f>
      </c>
      <c r="G20" s="12">
        <f>'按月汇总'!$B$2+SUM($F$3:F20)</f>
      </c>
      <c r="H20" s="15"/>
    </row>
    <row r="21" ht="21" customHeight="1">
      <c r="A21" t="inlineStr" s="15">
        <is>
          <t>第19周</t>
        </is>
      </c>
      <c r="B21" s="3">
        <v>46300</v>
      </c>
      <c r="C21" s="3">
        <v>46306</v>
      </c>
      <c r="D21" s="12">
        <f>SUM('流水记账'!E850:E891)</f>
      </c>
      <c r="E21" s="12">
        <f>SUM('流水记账'!F850:F891)</f>
      </c>
      <c r="F21" s="12">
        <f>E21-D21</f>
      </c>
      <c r="G21" s="12">
        <f>'按月汇总'!$B$2+SUM($F$3:F21)</f>
      </c>
      <c r="H21" s="15"/>
    </row>
    <row r="22" ht="21" customHeight="1">
      <c r="A22" t="inlineStr" s="15">
        <is>
          <t>第20周</t>
        </is>
      </c>
      <c r="B22" s="3">
        <v>46307</v>
      </c>
      <c r="C22" s="3">
        <v>46313</v>
      </c>
      <c r="D22" s="12">
        <f>SUM('流水记账'!E897:E938)</f>
      </c>
      <c r="E22" s="12">
        <f>SUM('流水记账'!F897:F938)</f>
      </c>
      <c r="F22" s="12">
        <f>E22-D22</f>
      </c>
      <c r="G22" s="12">
        <f>'按月汇总'!$B$2+SUM($F$3:F22)</f>
      </c>
      <c r="H22" s="15"/>
    </row>
    <row r="23" ht="21" customHeight="1">
      <c r="A23" t="inlineStr" s="15">
        <is>
          <t>第21周</t>
        </is>
      </c>
      <c r="B23" s="3">
        <v>46314</v>
      </c>
      <c r="C23" s="3">
        <v>46320</v>
      </c>
      <c r="D23" s="12">
        <f>SUM('流水记账'!E944:E985)</f>
      </c>
      <c r="E23" s="12">
        <f>SUM('流水记账'!F944:F985)</f>
      </c>
      <c r="F23" s="12">
        <f>E23-D23</f>
      </c>
      <c r="G23" s="12">
        <f>'按月汇总'!$B$2+SUM($F$3:F23)</f>
      </c>
      <c r="H23" s="15"/>
    </row>
    <row r="24" ht="21" customHeight="1">
      <c r="A24" t="inlineStr" s="15">
        <is>
          <t>第22周</t>
        </is>
      </c>
      <c r="B24" s="3">
        <v>46321</v>
      </c>
      <c r="C24" s="3">
        <v>46327</v>
      </c>
      <c r="D24" s="12">
        <f>SUM('流水记账'!E991:E1032)</f>
      </c>
      <c r="E24" s="12">
        <f>SUM('流水记账'!F991:F1032)</f>
      </c>
      <c r="F24" s="12">
        <f>E24-D24</f>
      </c>
      <c r="G24" s="12">
        <f>'按月汇总'!$B$2+SUM($F$3:F24)</f>
      </c>
      <c r="H24" s="15"/>
    </row>
    <row r="25" ht="21" customHeight="1">
      <c r="A25" t="inlineStr" s="15">
        <is>
          <t>第23周</t>
        </is>
      </c>
      <c r="B25" s="3">
        <v>46328</v>
      </c>
      <c r="C25" s="3">
        <v>46334</v>
      </c>
      <c r="D25" s="12">
        <f>SUM('流水记账'!E1038:E1079)</f>
      </c>
      <c r="E25" s="12">
        <f>SUM('流水记账'!F1038:F1079)</f>
      </c>
      <c r="F25" s="12">
        <f>E25-D25</f>
      </c>
      <c r="G25" s="12">
        <f>'按月汇总'!$B$2+SUM($F$3:F25)</f>
      </c>
      <c r="H25" s="15"/>
    </row>
    <row r="26" ht="21" customHeight="1">
      <c r="A26" t="inlineStr" s="15">
        <is>
          <t>第24周</t>
        </is>
      </c>
      <c r="B26" s="3">
        <v>46335</v>
      </c>
      <c r="C26" s="3">
        <v>46341</v>
      </c>
      <c r="D26" s="12">
        <f>SUM('流水记账'!E1085:E1126)</f>
      </c>
      <c r="E26" s="12">
        <f>SUM('流水记账'!F1085:F1126)</f>
      </c>
      <c r="F26" s="12">
        <f>E26-D26</f>
      </c>
      <c r="G26" s="12">
        <f>'按月汇总'!$B$2+SUM($F$3:F26)</f>
      </c>
      <c r="H26" s="15"/>
    </row>
    <row r="27" ht="21" customHeight="1">
      <c r="A27" t="inlineStr" s="15">
        <is>
          <t>第25周</t>
        </is>
      </c>
      <c r="B27" s="3">
        <v>46342</v>
      </c>
      <c r="C27" s="3">
        <v>46348</v>
      </c>
      <c r="D27" s="12">
        <f>SUM('流水记账'!E1132:E1173)</f>
      </c>
      <c r="E27" s="12">
        <f>SUM('流水记账'!F1132:F1173)</f>
      </c>
      <c r="F27" s="12">
        <f>E27-D27</f>
      </c>
      <c r="G27" s="12">
        <f>'按月汇总'!$B$2+SUM($F$3:F27)</f>
      </c>
      <c r="H27" s="15"/>
    </row>
    <row r="28" ht="21" customHeight="1">
      <c r="A28" t="inlineStr" s="15">
        <is>
          <t>第26周</t>
        </is>
      </c>
      <c r="B28" s="3">
        <v>46349</v>
      </c>
      <c r="C28" s="3">
        <v>46355</v>
      </c>
      <c r="D28" s="12">
        <f>SUM('流水记账'!E1179:E1220)</f>
      </c>
      <c r="E28" s="12">
        <f>SUM('流水记账'!F1179:F1220)</f>
      </c>
      <c r="F28" s="12">
        <f>E28-D28</f>
      </c>
      <c r="G28" s="12">
        <f>'按月汇总'!$B$2+SUM($F$3:F28)</f>
      </c>
      <c r="H28" s="15"/>
    </row>
    <row r="29" ht="21" customHeight="1">
      <c r="A29" t="inlineStr" s="15">
        <is>
          <t>第27周</t>
        </is>
      </c>
      <c r="B29" s="3">
        <v>46356</v>
      </c>
      <c r="C29" s="3">
        <v>46362</v>
      </c>
      <c r="D29" s="12">
        <f>SUM('流水记账'!E1226:E1267)</f>
      </c>
      <c r="E29" s="12">
        <f>SUM('流水记账'!F1226:F1267)</f>
      </c>
      <c r="F29" s="12">
        <f>E29-D29</f>
      </c>
      <c r="G29" s="12">
        <f>'按月汇总'!$B$2+SUM($F$3:F29)</f>
      </c>
      <c r="H29" s="15"/>
    </row>
    <row r="30" ht="21" customHeight="1">
      <c r="A30" t="inlineStr" s="15">
        <is>
          <t>第28周</t>
        </is>
      </c>
      <c r="B30" s="3">
        <v>46363</v>
      </c>
      <c r="C30" s="3">
        <v>46369</v>
      </c>
      <c r="D30" s="12">
        <f>SUM('流水记账'!E1273:E1314)</f>
      </c>
      <c r="E30" s="12">
        <f>SUM('流水记账'!F1273:F1314)</f>
      </c>
      <c r="F30" s="12">
        <f>E30-D30</f>
      </c>
      <c r="G30" s="12">
        <f>'按月汇总'!$B$2+SUM($F$3:F30)</f>
      </c>
      <c r="H30" s="15"/>
    </row>
    <row r="31" ht="21" customHeight="1">
      <c r="A31" t="inlineStr" s="15">
        <is>
          <t>第29周</t>
        </is>
      </c>
      <c r="B31" s="3">
        <v>46370</v>
      </c>
      <c r="C31" s="3">
        <v>46376</v>
      </c>
      <c r="D31" s="12">
        <f>SUM('流水记账'!E1320:E1361)</f>
      </c>
      <c r="E31" s="12">
        <f>SUM('流水记账'!F1320:F1361)</f>
      </c>
      <c r="F31" s="12">
        <f>E31-D31</f>
      </c>
      <c r="G31" s="12">
        <f>'按月汇总'!$B$2+SUM($F$3:F31)</f>
      </c>
      <c r="H31" s="15"/>
    </row>
    <row r="32" ht="21" customHeight="1">
      <c r="A32" t="inlineStr" s="15">
        <is>
          <t>第30周</t>
        </is>
      </c>
      <c r="B32" s="3">
        <v>46377</v>
      </c>
      <c r="C32" s="3">
        <v>46383</v>
      </c>
      <c r="D32" s="12">
        <f>SUM('流水记账'!E1367:E1408)</f>
      </c>
      <c r="E32" s="12">
        <f>SUM('流水记账'!F1367:F1408)</f>
      </c>
      <c r="F32" s="12">
        <f>E32-D32</f>
      </c>
      <c r="G32" s="12">
        <f>'按月汇总'!$B$2+SUM($F$3:F32)</f>
      </c>
      <c r="H32" s="15"/>
    </row>
    <row r="33" ht="21" customHeight="1">
      <c r="A33" t="inlineStr" s="15">
        <is>
          <t>第31周</t>
        </is>
      </c>
      <c r="B33" s="3">
        <v>46384</v>
      </c>
      <c r="C33" s="3">
        <v>46390</v>
      </c>
      <c r="D33" s="12">
        <f>SUM('流水记账'!E1414:E1455)</f>
      </c>
      <c r="E33" s="12">
        <f>SUM('流水记账'!F1414:F1455)</f>
      </c>
      <c r="F33" s="12">
        <f>E33-D33</f>
      </c>
      <c r="G33" s="12">
        <f>'按月汇总'!$B$2+SUM($F$3:F33)</f>
      </c>
      <c r="H33" s="15"/>
    </row>
    <row r="34" ht="21" customHeight="1">
      <c r="A34" t="inlineStr" s="15">
        <is>
          <t>第32周</t>
        </is>
      </c>
      <c r="B34" s="3">
        <v>46391</v>
      </c>
      <c r="C34" s="3">
        <v>46397</v>
      </c>
      <c r="D34" s="12">
        <f>SUM('流水记账'!E1461:E1502)</f>
      </c>
      <c r="E34" s="12">
        <f>SUM('流水记账'!F1461:F1502)</f>
      </c>
      <c r="F34" s="12">
        <f>E34-D34</f>
      </c>
      <c r="G34" s="12">
        <f>'按月汇总'!$B$2+SUM($F$3:F34)</f>
      </c>
      <c r="H34" s="15"/>
    </row>
    <row r="35" ht="21" customHeight="1">
      <c r="A35" t="inlineStr" s="15">
        <is>
          <t>第33周</t>
        </is>
      </c>
      <c r="B35" s="3">
        <v>46398</v>
      </c>
      <c r="C35" s="3">
        <v>46404</v>
      </c>
      <c r="D35" s="12">
        <f>SUM('流水记账'!E1508:E1549)</f>
      </c>
      <c r="E35" s="12">
        <f>SUM('流水记账'!F1508:F1549)</f>
      </c>
      <c r="F35" s="12">
        <f>E35-D35</f>
      </c>
      <c r="G35" s="12">
        <f>'按月汇总'!$B$2+SUM($F$3:F35)</f>
      </c>
      <c r="H35" s="15"/>
    </row>
    <row r="36" ht="21" customHeight="1">
      <c r="A36" t="inlineStr" s="15">
        <is>
          <t>第34周</t>
        </is>
      </c>
      <c r="B36" s="3">
        <v>46405</v>
      </c>
      <c r="C36" s="3">
        <v>46411</v>
      </c>
      <c r="D36" s="12">
        <f>SUM('流水记账'!E1555:E1596)</f>
      </c>
      <c r="E36" s="12">
        <f>SUM('流水记账'!F1555:F1596)</f>
      </c>
      <c r="F36" s="12">
        <f>E36-D36</f>
      </c>
      <c r="G36" s="12">
        <f>'按月汇总'!$B$2+SUM($F$3:F36)</f>
      </c>
      <c r="H36" s="15"/>
    </row>
    <row r="37" ht="21" customHeight="1">
      <c r="A37" t="inlineStr" s="15">
        <is>
          <t>第35周</t>
        </is>
      </c>
      <c r="B37" s="3">
        <v>46412</v>
      </c>
      <c r="C37" s="3">
        <v>46418</v>
      </c>
      <c r="D37" s="12">
        <f>SUM('流水记账'!E1602:E1643)</f>
      </c>
      <c r="E37" s="12">
        <f>SUM('流水记账'!F1602:F1643)</f>
      </c>
      <c r="F37" s="12">
        <f>E37-D37</f>
      </c>
      <c r="G37" s="12">
        <f>'按月汇总'!$B$2+SUM($F$3:F37)</f>
      </c>
      <c r="H37" s="15"/>
    </row>
    <row r="38" ht="21" customHeight="1">
      <c r="A38" t="inlineStr" s="15">
        <is>
          <t>第36周</t>
        </is>
      </c>
      <c r="B38" s="3">
        <v>46419</v>
      </c>
      <c r="C38" s="3">
        <v>46425</v>
      </c>
      <c r="D38" s="12">
        <f>SUM('流水记账'!E1649:E1690)</f>
      </c>
      <c r="E38" s="12">
        <f>SUM('流水记账'!F1649:F1690)</f>
      </c>
      <c r="F38" s="12">
        <f>E38-D38</f>
      </c>
      <c r="G38" s="12">
        <f>'按月汇总'!$B$2+SUM($F$3:F38)</f>
      </c>
      <c r="H38" s="15"/>
    </row>
    <row r="39" ht="21" customHeight="1">
      <c r="A39" t="inlineStr" s="15">
        <is>
          <t>第37周</t>
        </is>
      </c>
      <c r="B39" s="3">
        <v>46426</v>
      </c>
      <c r="C39" s="3">
        <v>46432</v>
      </c>
      <c r="D39" s="12">
        <f>SUM('流水记账'!E1696:E1737)</f>
      </c>
      <c r="E39" s="12">
        <f>SUM('流水记账'!F1696:F1737)</f>
      </c>
      <c r="F39" s="12">
        <f>E39-D39</f>
      </c>
      <c r="G39" s="12">
        <f>'按月汇总'!$B$2+SUM($F$3:F39)</f>
      </c>
      <c r="H39" s="15"/>
    </row>
    <row r="40" ht="21" customHeight="1">
      <c r="A40" t="inlineStr" s="15">
        <is>
          <t>第38周</t>
        </is>
      </c>
      <c r="B40" s="3">
        <v>46433</v>
      </c>
      <c r="C40" s="3">
        <v>46439</v>
      </c>
      <c r="D40" s="12">
        <f>SUM('流水记账'!E1743:E1784)</f>
      </c>
      <c r="E40" s="12">
        <f>SUM('流水记账'!F1743:F1784)</f>
      </c>
      <c r="F40" s="12">
        <f>E40-D40</f>
      </c>
      <c r="G40" s="12">
        <f>'按月汇总'!$B$2+SUM($F$3:F40)</f>
      </c>
      <c r="H40" s="15"/>
    </row>
    <row r="41" ht="21" customHeight="1">
      <c r="A41" t="inlineStr" s="15">
        <is>
          <t>第39周</t>
        </is>
      </c>
      <c r="B41" s="3">
        <v>46440</v>
      </c>
      <c r="C41" s="3">
        <v>46446</v>
      </c>
      <c r="D41" s="12">
        <f>SUM('流水记账'!E1790:E1831)</f>
      </c>
      <c r="E41" s="12">
        <f>SUM('流水记账'!F1790:F1831)</f>
      </c>
      <c r="F41" s="12">
        <f>E41-D41</f>
      </c>
      <c r="G41" s="12">
        <f>'按月汇总'!$B$2+SUM($F$3:F41)</f>
      </c>
      <c r="H41" s="15"/>
    </row>
    <row r="42" ht="21" customHeight="1">
      <c r="A42" t="inlineStr" s="15">
        <is>
          <t>第40周</t>
        </is>
      </c>
      <c r="B42" s="3">
        <v>46447</v>
      </c>
      <c r="C42" s="3">
        <v>46453</v>
      </c>
      <c r="D42" s="12">
        <f>SUM('流水记账'!E1837:E1878)</f>
      </c>
      <c r="E42" s="12">
        <f>SUM('流水记账'!F1837:F1878)</f>
      </c>
      <c r="F42" s="12">
        <f>E42-D42</f>
      </c>
      <c r="G42" s="12">
        <f>'按月汇总'!$B$2+SUM($F$3:F42)</f>
      </c>
      <c r="H42" s="15"/>
    </row>
    <row r="43" ht="21" customHeight="1">
      <c r="A43" t="inlineStr" s="15">
        <is>
          <t>第41周</t>
        </is>
      </c>
      <c r="B43" s="3">
        <v>46454</v>
      </c>
      <c r="C43" s="3">
        <v>46460</v>
      </c>
      <c r="D43" s="12">
        <f>SUM('流水记账'!E1884:E1925)</f>
      </c>
      <c r="E43" s="12">
        <f>SUM('流水记账'!F1884:F1925)</f>
      </c>
      <c r="F43" s="12">
        <f>E43-D43</f>
      </c>
      <c r="G43" s="12">
        <f>'按月汇总'!$B$2+SUM($F$3:F43)</f>
      </c>
      <c r="H43" s="15"/>
    </row>
    <row r="44" ht="21" customHeight="1">
      <c r="A44" t="inlineStr" s="15">
        <is>
          <t>第42周</t>
        </is>
      </c>
      <c r="B44" s="3">
        <v>46461</v>
      </c>
      <c r="C44" s="3">
        <v>46467</v>
      </c>
      <c r="D44" s="12">
        <f>SUM('流水记账'!E1931:E1972)</f>
      </c>
      <c r="E44" s="12">
        <f>SUM('流水记账'!F1931:F1972)</f>
      </c>
      <c r="F44" s="12">
        <f>E44-D44</f>
      </c>
      <c r="G44" s="12">
        <f>'按月汇总'!$B$2+SUM($F$3:F44)</f>
      </c>
      <c r="H44" s="15"/>
    </row>
    <row r="45" ht="21" customHeight="1">
      <c r="A45" t="inlineStr" s="15">
        <is>
          <t>第43周</t>
        </is>
      </c>
      <c r="B45" s="3">
        <v>46468</v>
      </c>
      <c r="C45" s="3">
        <v>46474</v>
      </c>
      <c r="D45" s="12">
        <f>SUM('流水记账'!E1978:E2019)</f>
      </c>
      <c r="E45" s="12">
        <f>SUM('流水记账'!F1978:F2019)</f>
      </c>
      <c r="F45" s="12">
        <f>E45-D45</f>
      </c>
      <c r="G45" s="12">
        <f>'按月汇总'!$B$2+SUM($F$3:F45)</f>
      </c>
      <c r="H45" s="15"/>
    </row>
    <row r="46" ht="21" customHeight="1">
      <c r="A46" t="inlineStr" s="15">
        <is>
          <t>第44周</t>
        </is>
      </c>
      <c r="B46" s="3">
        <v>46475</v>
      </c>
      <c r="C46" s="3">
        <v>46481</v>
      </c>
      <c r="D46" s="12">
        <f>SUM('流水记账'!E2025:E2066)</f>
      </c>
      <c r="E46" s="12">
        <f>SUM('流水记账'!F2025:F2066)</f>
      </c>
      <c r="F46" s="12">
        <f>E46-D46</f>
      </c>
      <c r="G46" s="12">
        <f>'按月汇总'!$B$2+SUM($F$3:F46)</f>
      </c>
      <c r="H46" s="15"/>
    </row>
    <row r="47" ht="21" customHeight="1">
      <c r="A47" t="inlineStr" s="15">
        <is>
          <t>第45周</t>
        </is>
      </c>
      <c r="B47" s="3">
        <v>46482</v>
      </c>
      <c r="C47" s="3">
        <v>46488</v>
      </c>
      <c r="D47" s="12">
        <f>SUM('流水记账'!E2072:E2113)</f>
      </c>
      <c r="E47" s="12">
        <f>SUM('流水记账'!F2072:F2113)</f>
      </c>
      <c r="F47" s="12">
        <f>E47-D47</f>
      </c>
      <c r="G47" s="12">
        <f>'按月汇总'!$B$2+SUM($F$3:F47)</f>
      </c>
      <c r="H47" s="15"/>
    </row>
    <row r="48" ht="21" customHeight="1">
      <c r="A48" t="inlineStr" s="15">
        <is>
          <t>第46周</t>
        </is>
      </c>
      <c r="B48" s="3">
        <v>46489</v>
      </c>
      <c r="C48" s="3">
        <v>46495</v>
      </c>
      <c r="D48" s="12">
        <f>SUM('流水记账'!E2119:E2160)</f>
      </c>
      <c r="E48" s="12">
        <f>SUM('流水记账'!F2119:F2160)</f>
      </c>
      <c r="F48" s="12">
        <f>E48-D48</f>
      </c>
      <c r="G48" s="12">
        <f>'按月汇总'!$B$2+SUM($F$3:F48)</f>
      </c>
      <c r="H48" s="15"/>
    </row>
    <row r="49" ht="21" customHeight="1">
      <c r="A49" t="inlineStr" s="15">
        <is>
          <t>第47周</t>
        </is>
      </c>
      <c r="B49" s="3">
        <v>46496</v>
      </c>
      <c r="C49" s="3">
        <v>46502</v>
      </c>
      <c r="D49" s="12">
        <f>SUM('流水记账'!E2166:E2207)</f>
      </c>
      <c r="E49" s="12">
        <f>SUM('流水记账'!F2166:F2207)</f>
      </c>
      <c r="F49" s="12">
        <f>E49-D49</f>
      </c>
      <c r="G49" s="12">
        <f>'按月汇总'!$B$2+SUM($F$3:F49)</f>
      </c>
      <c r="H49" s="15"/>
    </row>
    <row r="50" ht="21" customHeight="1">
      <c r="A50" t="inlineStr" s="15">
        <is>
          <t>第48周</t>
        </is>
      </c>
      <c r="B50" s="3">
        <v>46503</v>
      </c>
      <c r="C50" s="3">
        <v>46509</v>
      </c>
      <c r="D50" s="12">
        <f>SUM('流水记账'!E2213:E2254)</f>
      </c>
      <c r="E50" s="12">
        <f>SUM('流水记账'!F2213:F2254)</f>
      </c>
      <c r="F50" s="12">
        <f>E50-D50</f>
      </c>
      <c r="G50" s="12">
        <f>'按月汇总'!$B$2+SUM($F$3:F50)</f>
      </c>
      <c r="H50" s="15"/>
    </row>
    <row r="51" ht="21" customHeight="1">
      <c r="A51" t="inlineStr" s="15">
        <is>
          <t>第49周</t>
        </is>
      </c>
      <c r="B51" s="3">
        <v>46510</v>
      </c>
      <c r="C51" s="3">
        <v>46516</v>
      </c>
      <c r="D51" s="12">
        <f>SUM('流水记账'!E2260:E2301)</f>
      </c>
      <c r="E51" s="12">
        <f>SUM('流水记账'!F2260:F2301)</f>
      </c>
      <c r="F51" s="12">
        <f>E51-D51</f>
      </c>
      <c r="G51" s="12">
        <f>'按月汇总'!$B$2+SUM($F$3:F51)</f>
      </c>
      <c r="H51" s="15"/>
    </row>
    <row r="52" ht="21" customHeight="1">
      <c r="A52" t="inlineStr" s="15">
        <is>
          <t>第50周</t>
        </is>
      </c>
      <c r="B52" s="3">
        <v>46517</v>
      </c>
      <c r="C52" s="3">
        <v>46523</v>
      </c>
      <c r="D52" s="12">
        <f>SUM('流水记账'!E2307:E2348)</f>
      </c>
      <c r="E52" s="12">
        <f>SUM('流水记账'!F2307:F2348)</f>
      </c>
      <c r="F52" s="12">
        <f>E52-D52</f>
      </c>
      <c r="G52" s="12">
        <f>'按月汇总'!$B$2+SUM($F$3:F52)</f>
      </c>
      <c r="H52" s="15"/>
    </row>
    <row r="53" ht="21" customHeight="1">
      <c r="A53" t="inlineStr" s="15">
        <is>
          <t>第51周</t>
        </is>
      </c>
      <c r="B53" s="3">
        <v>46524</v>
      </c>
      <c r="C53" s="3">
        <v>46530</v>
      </c>
      <c r="D53" s="12">
        <f>SUM('流水记账'!E2354:E2395)</f>
      </c>
      <c r="E53" s="12">
        <f>SUM('流水记账'!F2354:F2395)</f>
      </c>
      <c r="F53" s="12">
        <f>E53-D53</f>
      </c>
      <c r="G53" s="12">
        <f>'按月汇总'!$B$2+SUM($F$3:F53)</f>
      </c>
      <c r="H53" s="15"/>
    </row>
    <row r="54" ht="21" customHeight="1">
      <c r="A54" t="inlineStr" s="15">
        <is>
          <t>第52周</t>
        </is>
      </c>
      <c r="B54" s="3">
        <v>46531</v>
      </c>
      <c r="C54" s="3">
        <v>46537</v>
      </c>
      <c r="D54" s="12">
        <f>SUM('流水记账'!E2401:E2442)</f>
      </c>
      <c r="E54" s="12">
        <f>SUM('流水记账'!F2401:F2442)</f>
      </c>
      <c r="F54" s="12">
        <f>E54-D54</f>
      </c>
      <c r="G54" s="12">
        <f>'按月汇总'!$B$2+SUM($F$3:F54)</f>
      </c>
      <c r="H54" s="15"/>
    </row>
    <row r="55" ht="21" customHeight="1">
      <c r="A55" t="inlineStr" s="15">
        <is>
          <t>第53周</t>
        </is>
      </c>
      <c r="B55" s="3">
        <v>46538</v>
      </c>
      <c r="C55" s="3">
        <v>46544</v>
      </c>
      <c r="D55" s="12">
        <f>SUM('流水记账'!E2448:E2489)</f>
      </c>
      <c r="E55" s="12">
        <f>SUM('流水记账'!F2448:F2489)</f>
      </c>
      <c r="F55" s="12">
        <f>E55-D55</f>
      </c>
      <c r="G55" s="12">
        <f>'按月汇总'!$B$2+SUM($F$3:F55)</f>
      </c>
      <c r="H55" s="15"/>
    </row>
  </sheetData>
  <mergeCells count="1">
    <mergeCell ref="A1:H1"/>
  </mergeCells>
  <pageMargins left="0.6" right="0.6" top="0.75" bottom="0.75" header="0.3" footer="0.3"/>
</worksheet>
</file>

<file path=xl/worksheets/sheet3.xml><?xml version="1.0" encoding="utf-8"?>
<worksheet xmlns="http://schemas.openxmlformats.org/spreadsheetml/2006/main">
  <dimension ref="A1:F17"/>
  <sheetViews>
    <sheetView workbookViewId="0">
      <pane ySplit="5" topLeftCell="A6" activePane="bottomLeft" state="frozen"/>
    </sheetView>
  </sheetViews>
  <sheetFormatPr defaultRowHeight="20"/>
  <cols>
    <col min="1" max="1" width="16" customWidth="1"/>
    <col min="2" max="5" width="14" customWidth="1"/>
    <col min="6" max="6" width="24" customWidth="1"/>
  </cols>
  <sheetData>
    <row r="1" ht="28" customHeight="1">
      <c r="A1" t="inlineStr" s="10">
        <is>
          <t>按月汇总</t>
        </is>
      </c>
      <c r="B1" s="10"/>
      <c r="C1" s="10"/>
      <c r="D1" s="10"/>
      <c r="E1" s="10"/>
      <c r="F1" s="10"/>
    </row>
    <row r="2" ht="24" customHeight="1">
      <c r="A2" t="inlineStr" s="13">
        <is>
          <t>起始余额</t>
        </is>
      </c>
      <c r="B2" s="14">
        <v>0</v>
      </c>
      <c r="C2" t="inlineStr" s="13">
        <is>
          <t>总支出</t>
        </is>
      </c>
      <c r="D2" s="14">
        <f>SUM(B6:B17)</f>
      </c>
      <c r="E2" t="inlineStr" s="13">
        <is>
          <t>总收入</t>
        </is>
      </c>
      <c r="F2" s="14">
        <f>SUM(C6:C17)</f>
      </c>
    </row>
    <row r="3" ht="24" customHeight="1">
      <c r="A3" t="inlineStr" s="13">
        <is>
          <t>总净额</t>
        </is>
      </c>
      <c r="B3" s="14">
        <f>SUM(D6:D17)</f>
      </c>
      <c r="C3" t="inlineStr" s="13">
        <is>
          <t>当前余额</t>
        </is>
      </c>
      <c r="D3" s="14">
        <f>B2+B3</f>
      </c>
      <c r="E3" s="13"/>
      <c r="F3" s="13"/>
    </row>
    <row r="4" ht="16" customHeight="1">
      <c r="A4" s="9"/>
      <c r="B4" s="9"/>
      <c r="C4" s="9"/>
      <c r="D4" s="9"/>
      <c r="E4" s="9"/>
      <c r="F4" s="9"/>
    </row>
    <row r="5" ht="22" customHeight="1">
      <c r="A5" t="inlineStr" s="11">
        <is>
          <t>月份</t>
        </is>
      </c>
      <c r="B5" t="inlineStr" s="11">
        <is>
          <t>支出合计</t>
        </is>
      </c>
      <c r="C5" t="inlineStr" s="11">
        <is>
          <t>收入合计</t>
        </is>
      </c>
      <c r="D5" t="inlineStr" s="11">
        <is>
          <t>本月净额</t>
        </is>
      </c>
      <c r="E5" t="inlineStr" s="11">
        <is>
          <t>累计余额</t>
        </is>
      </c>
      <c r="F5" t="inlineStr" s="11">
        <is>
          <t>备注</t>
        </is>
      </c>
    </row>
    <row r="6" ht="21" customHeight="1">
      <c r="A6" t="inlineStr" s="15">
        <is>
          <t>2026年6月</t>
        </is>
      </c>
      <c r="B6" s="12">
        <f>SUMIFS('流水记账'!$E:$E,'流水记账'!$A:$A,"&gt;="&amp;DATE(2026,6,1),'流水记账'!$A:$A,"&lt;"&amp;DATE(2026,7,1))</f>
      </c>
      <c r="C6" s="12">
        <f>SUMIFS('流水记账'!$F:$F,'流水记账'!$A:$A,"&gt;="&amp;DATE(2026,6,1),'流水记账'!$A:$A,"&lt;"&amp;DATE(2026,7,1))</f>
      </c>
      <c r="D6" s="12">
        <f>C6-B6</f>
      </c>
      <c r="E6" s="12">
        <f>$B$2+SUM($D$6:D6)</f>
      </c>
      <c r="F6" s="15"/>
    </row>
    <row r="7" ht="21" customHeight="1">
      <c r="A7" t="inlineStr" s="15">
        <is>
          <t>2026年7月</t>
        </is>
      </c>
      <c r="B7" s="12">
        <f>SUMIFS('流水记账'!$E:$E,'流水记账'!$A:$A,"&gt;="&amp;DATE(2026,7,1),'流水记账'!$A:$A,"&lt;"&amp;DATE(2026,8,1))</f>
      </c>
      <c r="C7" s="12">
        <f>SUMIFS('流水记账'!$F:$F,'流水记账'!$A:$A,"&gt;="&amp;DATE(2026,7,1),'流水记账'!$A:$A,"&lt;"&amp;DATE(2026,8,1))</f>
      </c>
      <c r="D7" s="12">
        <f>C7-B7</f>
      </c>
      <c r="E7" s="12">
        <f>$B$2+SUM($D$6:D7)</f>
      </c>
      <c r="F7" s="15"/>
    </row>
    <row r="8" ht="21" customHeight="1">
      <c r="A8" t="inlineStr" s="15">
        <is>
          <t>2026年8月</t>
        </is>
      </c>
      <c r="B8" s="12">
        <f>SUMIFS('流水记账'!$E:$E,'流水记账'!$A:$A,"&gt;="&amp;DATE(2026,8,1),'流水记账'!$A:$A,"&lt;"&amp;DATE(2026,9,1))</f>
      </c>
      <c r="C8" s="12">
        <f>SUMIFS('流水记账'!$F:$F,'流水记账'!$A:$A,"&gt;="&amp;DATE(2026,8,1),'流水记账'!$A:$A,"&lt;"&amp;DATE(2026,9,1))</f>
      </c>
      <c r="D8" s="12">
        <f>C8-B8</f>
      </c>
      <c r="E8" s="12">
        <f>$B$2+SUM($D$6:D8)</f>
      </c>
      <c r="F8" s="15"/>
    </row>
    <row r="9" ht="21" customHeight="1">
      <c r="A9" t="inlineStr" s="15">
        <is>
          <t>2026年9月</t>
        </is>
      </c>
      <c r="B9" s="12">
        <f>SUMIFS('流水记账'!$E:$E,'流水记账'!$A:$A,"&gt;="&amp;DATE(2026,9,1),'流水记账'!$A:$A,"&lt;"&amp;DATE(2026,10,1))</f>
      </c>
      <c r="C9" s="12">
        <f>SUMIFS('流水记账'!$F:$F,'流水记账'!$A:$A,"&gt;="&amp;DATE(2026,9,1),'流水记账'!$A:$A,"&lt;"&amp;DATE(2026,10,1))</f>
      </c>
      <c r="D9" s="12">
        <f>C9-B9</f>
      </c>
      <c r="E9" s="12">
        <f>$B$2+SUM($D$6:D9)</f>
      </c>
      <c r="F9" s="15"/>
    </row>
    <row r="10" ht="21" customHeight="1">
      <c r="A10" t="inlineStr" s="15">
        <is>
          <t>2026年10月</t>
        </is>
      </c>
      <c r="B10" s="12">
        <f>SUMIFS('流水记账'!$E:$E,'流水记账'!$A:$A,"&gt;="&amp;DATE(2026,10,1),'流水记账'!$A:$A,"&lt;"&amp;DATE(2026,11,1))</f>
      </c>
      <c r="C10" s="12">
        <f>SUMIFS('流水记账'!$F:$F,'流水记账'!$A:$A,"&gt;="&amp;DATE(2026,10,1),'流水记账'!$A:$A,"&lt;"&amp;DATE(2026,11,1))</f>
      </c>
      <c r="D10" s="12">
        <f>C10-B10</f>
      </c>
      <c r="E10" s="12">
        <f>$B$2+SUM($D$6:D10)</f>
      </c>
      <c r="F10" s="15"/>
    </row>
    <row r="11" ht="21" customHeight="1">
      <c r="A11" t="inlineStr" s="15">
        <is>
          <t>2026年11月</t>
        </is>
      </c>
      <c r="B11" s="12">
        <f>SUMIFS('流水记账'!$E:$E,'流水记账'!$A:$A,"&gt;="&amp;DATE(2026,11,1),'流水记账'!$A:$A,"&lt;"&amp;DATE(2026,12,1))</f>
      </c>
      <c r="C11" s="12">
        <f>SUMIFS('流水记账'!$F:$F,'流水记账'!$A:$A,"&gt;="&amp;DATE(2026,11,1),'流水记账'!$A:$A,"&lt;"&amp;DATE(2026,12,1))</f>
      </c>
      <c r="D11" s="12">
        <f>C11-B11</f>
      </c>
      <c r="E11" s="12">
        <f>$B$2+SUM($D$6:D11)</f>
      </c>
      <c r="F11" s="15"/>
    </row>
    <row r="12" ht="21" customHeight="1">
      <c r="A12" t="inlineStr" s="15">
        <is>
          <t>2026年12月</t>
        </is>
      </c>
      <c r="B12" s="12">
        <f>SUMIFS('流水记账'!$E:$E,'流水记账'!$A:$A,"&gt;="&amp;DATE(2026,12,1),'流水记账'!$A:$A,"&lt;"&amp;DATE(2027,1,1))</f>
      </c>
      <c r="C12" s="12">
        <f>SUMIFS('流水记账'!$F:$F,'流水记账'!$A:$A,"&gt;="&amp;DATE(2026,12,1),'流水记账'!$A:$A,"&lt;"&amp;DATE(2027,1,1))</f>
      </c>
      <c r="D12" s="12">
        <f>C12-B12</f>
      </c>
      <c r="E12" s="12">
        <f>$B$2+SUM($D$6:D12)</f>
      </c>
      <c r="F12" s="15"/>
    </row>
    <row r="13" ht="21" customHeight="1">
      <c r="A13" t="inlineStr" s="15">
        <is>
          <t>2027年1月</t>
        </is>
      </c>
      <c r="B13" s="12">
        <f>SUMIFS('流水记账'!$E:$E,'流水记账'!$A:$A,"&gt;="&amp;DATE(2027,1,1),'流水记账'!$A:$A,"&lt;"&amp;DATE(2027,2,1))</f>
      </c>
      <c r="C13" s="12">
        <f>SUMIFS('流水记账'!$F:$F,'流水记账'!$A:$A,"&gt;="&amp;DATE(2027,1,1),'流水记账'!$A:$A,"&lt;"&amp;DATE(2027,2,1))</f>
      </c>
      <c r="D13" s="12">
        <f>C13-B13</f>
      </c>
      <c r="E13" s="12">
        <f>$B$2+SUM($D$6:D13)</f>
      </c>
      <c r="F13" s="15"/>
    </row>
    <row r="14" ht="21" customHeight="1">
      <c r="A14" t="inlineStr" s="15">
        <is>
          <t>2027年2月</t>
        </is>
      </c>
      <c r="B14" s="12">
        <f>SUMIFS('流水记账'!$E:$E,'流水记账'!$A:$A,"&gt;="&amp;DATE(2027,2,1),'流水记账'!$A:$A,"&lt;"&amp;DATE(2027,3,1))</f>
      </c>
      <c r="C14" s="12">
        <f>SUMIFS('流水记账'!$F:$F,'流水记账'!$A:$A,"&gt;="&amp;DATE(2027,2,1),'流水记账'!$A:$A,"&lt;"&amp;DATE(2027,3,1))</f>
      </c>
      <c r="D14" s="12">
        <f>C14-B14</f>
      </c>
      <c r="E14" s="12">
        <f>$B$2+SUM($D$6:D14)</f>
      </c>
      <c r="F14" s="15"/>
    </row>
    <row r="15" ht="21" customHeight="1">
      <c r="A15" t="inlineStr" s="15">
        <is>
          <t>2027年3月</t>
        </is>
      </c>
      <c r="B15" s="12">
        <f>SUMIFS('流水记账'!$E:$E,'流水记账'!$A:$A,"&gt;="&amp;DATE(2027,3,1),'流水记账'!$A:$A,"&lt;"&amp;DATE(2027,4,1))</f>
      </c>
      <c r="C15" s="12">
        <f>SUMIFS('流水记账'!$F:$F,'流水记账'!$A:$A,"&gt;="&amp;DATE(2027,3,1),'流水记账'!$A:$A,"&lt;"&amp;DATE(2027,4,1))</f>
      </c>
      <c r="D15" s="12">
        <f>C15-B15</f>
      </c>
      <c r="E15" s="12">
        <f>$B$2+SUM($D$6:D15)</f>
      </c>
      <c r="F15" s="15"/>
    </row>
    <row r="16" ht="21" customHeight="1">
      <c r="A16" t="inlineStr" s="15">
        <is>
          <t>2027年4月</t>
        </is>
      </c>
      <c r="B16" s="12">
        <f>SUMIFS('流水记账'!$E:$E,'流水记账'!$A:$A,"&gt;="&amp;DATE(2027,4,1),'流水记账'!$A:$A,"&lt;"&amp;DATE(2027,5,1))</f>
      </c>
      <c r="C16" s="12">
        <f>SUMIFS('流水记账'!$F:$F,'流水记账'!$A:$A,"&gt;="&amp;DATE(2027,4,1),'流水记账'!$A:$A,"&lt;"&amp;DATE(2027,5,1))</f>
      </c>
      <c r="D16" s="12">
        <f>C16-B16</f>
      </c>
      <c r="E16" s="12">
        <f>$B$2+SUM($D$6:D16)</f>
      </c>
      <c r="F16" s="15"/>
    </row>
    <row r="17" ht="21" customHeight="1">
      <c r="A17" t="inlineStr" s="15">
        <is>
          <t>2027年5月</t>
        </is>
      </c>
      <c r="B17" s="12">
        <f>SUMIFS('流水记账'!$E:$E,'流水记账'!$A:$A,"&gt;="&amp;DATE(2027,5,1),'流水记账'!$A:$A,"&lt;"&amp;DATE(2027,6,1))</f>
      </c>
      <c r="C17" s="12">
        <f>SUMIFS('流水记账'!$F:$F,'流水记账'!$A:$A,"&gt;="&amp;DATE(2027,5,1),'流水记账'!$A:$A,"&lt;"&amp;DATE(2027,6,1))</f>
      </c>
      <c r="D17" s="12">
        <f>C17-B17</f>
      </c>
      <c r="E17" s="12">
        <f>$B$2+SUM($D$6:D17)</f>
      </c>
      <c r="F17" s="15"/>
    </row>
  </sheetData>
  <mergeCells count="1">
    <mergeCell ref="A1:F1"/>
  </mergeCells>
  <pageMargins left="0.6" right="0.6" top="0.75" bottom="0.75" header="0.3" footer="0.3"/>
</worksheet>
</file>

<file path=xl/worksheets/sheet4.xml><?xml version="1.0" encoding="utf-8"?>
<worksheet xmlns="http://schemas.openxmlformats.org/spreadsheetml/2006/main">
  <dimension ref="A1:C14"/>
  <sheetViews>
    <sheetView workbookViewId="0"/>
  </sheetViews>
  <sheetFormatPr defaultRowHeight="20"/>
  <cols>
    <col min="1" max="1" width="18" customWidth="1"/>
    <col min="2" max="2" width="16" customWidth="1"/>
    <col min="3" max="3" width="18" customWidth="1"/>
  </cols>
  <sheetData>
    <row r="1" ht="22" customHeight="1">
      <c r="A1" t="inlineStr" s="11">
        <is>
          <t>分类</t>
        </is>
      </c>
      <c r="B1" t="inlineStr" s="11">
        <is>
          <t>支付方式</t>
        </is>
      </c>
      <c r="C1" t="inlineStr" s="11">
        <is>
          <t>事项</t>
        </is>
      </c>
    </row>
    <row r="2" ht="20" customHeight="1">
      <c r="A2" t="inlineStr" s="15">
        <is>
          <t>餐饮</t>
        </is>
      </c>
      <c r="B2" t="inlineStr" s="15">
        <is>
          <t>微信</t>
        </is>
      </c>
      <c r="C2" t="inlineStr" s="15">
        <is>
          <t>奶茶/咖啡</t>
        </is>
      </c>
    </row>
    <row r="3" ht="20" customHeight="1">
      <c r="A3" t="inlineStr" s="15">
        <is>
          <t>奶茶/咖啡</t>
        </is>
      </c>
      <c r="B3" t="inlineStr" s="15">
        <is>
          <t>支付宝</t>
        </is>
      </c>
      <c r="C3" t="inlineStr" s="15">
        <is>
          <t>交通</t>
        </is>
      </c>
    </row>
    <row r="4" ht="20" customHeight="1">
      <c r="A4" t="inlineStr" s="15">
        <is>
          <t>交通</t>
        </is>
      </c>
      <c r="B4" t="inlineStr" s="15">
        <is>
          <t>银行卡</t>
        </is>
      </c>
      <c r="C4" t="inlineStr" s="15">
        <is>
          <t>购物</t>
        </is>
      </c>
    </row>
    <row r="5" ht="20" customHeight="1">
      <c r="A5" t="inlineStr" s="15">
        <is>
          <t>购物</t>
        </is>
      </c>
      <c r="B5" t="inlineStr" s="15">
        <is>
          <t>现金</t>
        </is>
      </c>
      <c r="C5" t="inlineStr" s="15">
        <is>
          <t>娱乐</t>
        </is>
      </c>
    </row>
    <row r="6" ht="20" customHeight="1">
      <c r="A6" t="inlineStr" s="15">
        <is>
          <t>娱乐</t>
        </is>
      </c>
      <c r="B6" t="inlineStr" s="15">
        <is>
          <t>信用卡</t>
        </is>
      </c>
      <c r="C6" t="inlineStr" s="15">
        <is>
          <t>生活用品</t>
        </is>
      </c>
    </row>
    <row r="7" ht="20" customHeight="1">
      <c r="A7" t="inlineStr" s="15">
        <is>
          <t>生活用品</t>
        </is>
      </c>
      <c r="B7" t="inlineStr" s="15">
        <is>
          <t>其他</t>
        </is>
      </c>
      <c r="C7" t="inlineStr" s="15">
        <is>
          <t>旅行</t>
        </is>
      </c>
    </row>
    <row r="8" ht="20" customHeight="1">
      <c r="A8" t="inlineStr" s="15">
        <is>
          <t>旅行</t>
        </is>
      </c>
      <c r="B8" s="15"/>
      <c r="C8" t="inlineStr" s="15">
        <is>
          <t>医疗</t>
        </is>
      </c>
    </row>
    <row r="9" ht="20" customHeight="1">
      <c r="A9" t="inlineStr" s="15">
        <is>
          <t>医疗</t>
        </is>
      </c>
      <c r="B9" s="15"/>
      <c r="C9" t="inlineStr" s="15">
        <is>
          <t>人情/礼物</t>
        </is>
      </c>
    </row>
    <row r="10" ht="20" customHeight="1">
      <c r="A10" t="inlineStr" s="15">
        <is>
          <t>人情/礼物</t>
        </is>
      </c>
      <c r="B10" s="15"/>
      <c r="C10" t="inlineStr" s="15">
        <is>
          <t>房租/固定支出</t>
        </is>
      </c>
    </row>
    <row r="11" ht="20" customHeight="1">
      <c r="A11" t="inlineStr" s="15">
        <is>
          <t>房租/固定支出</t>
        </is>
      </c>
      <c r="B11" s="15"/>
      <c r="C11" t="inlineStr" s="15">
        <is>
          <t>其他</t>
        </is>
      </c>
    </row>
    <row r="12" ht="20" customHeight="1">
      <c r="A12" t="inlineStr" s="15">
        <is>
          <t>家庭支出</t>
        </is>
      </c>
      <c r="B12" s="15"/>
      <c r="C12" t="inlineStr" s="15">
        <is>
          <t>早餐</t>
        </is>
      </c>
    </row>
    <row r="13" ht="20" customHeight="1">
      <c r="A13" t="inlineStr" s="15">
        <is>
          <t>其他</t>
        </is>
      </c>
      <c r="B13" s="15"/>
      <c r="C13" t="inlineStr" s="15">
        <is>
          <t>中餐</t>
        </is>
      </c>
    </row>
    <row r="14" ht="20" customHeight="1">
      <c r="A14" s="15"/>
      <c r="B14" s="15"/>
      <c r="C14" t="inlineStr" s="15">
        <is>
          <t>晚餐</t>
        </is>
      </c>
    </row>
  </sheetData>
  <pageMargins left="0.6" right="0.6" top="0.75" bottom="0.75" header="0.3" footer="0.3"/>
</worksheet>
</file>