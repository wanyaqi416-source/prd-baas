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流水记账" sheetId="1" r:id="rId1"/>
    <sheet name="按周汇总" sheetId="2" r:id="rId2"/>
    <sheet name="按月汇总" sheetId="3" r:id="rId3"/>
    <sheet name="选项设置" sheetId="4" r:id="rId4"/>
  </sheets>
  <calcPr calcId="0" fullCalcOnLoad="1" forceFullCalc="1"/>
</workbook>
</file>

<file path=xl/styles.xml><?xml version="1.0" encoding="utf-8"?>
<styleSheet xmlns="http://schemas.openxmlformats.org/spreadsheetml/2006/main">
  <numFmts count="2">
    <numFmt numFmtId="164" formatCode="¥#,##0.00;[Red]-¥#,##0.00"/>
    <numFmt numFmtId="165" formatCode="m月d日"/>
  </numFmts>
  <fonts count="5">
    <font>
      <sz val="11"/>
      <color rgb="FF4F5D4A"/>
      <name val="Microsoft YaHei"/>
    </font>
    <font>
      <b/>
      <sz val="15"/>
      <color rgb="FF40513B"/>
      <name val="Microsoft YaHei"/>
    </font>
    <font>
      <b/>
      <sz val="11"/>
      <color rgb="FF40513B"/>
      <name val="Microsoft YaHei"/>
    </font>
    <font>
      <sz val="11"/>
      <color rgb="FFB42318"/>
      <name val="Microsoft YaHei"/>
    </font>
    <font>
      <b/>
      <sz val="12"/>
      <color rgb="FF40513B"/>
      <name val="Microsoft YaHei"/>
    </font>
  </fonts>
  <fills count="9">
    <fill>
      <patternFill patternType="none"/>
    </fill>
    <fill>
      <patternFill patternType="gray125"/>
    </fill>
    <fill>
      <patternFill patternType="solid">
        <fgColor rgb="FFF8F5EA"/>
        <bgColor indexed="64"/>
      </patternFill>
    </fill>
    <fill>
      <patternFill patternType="solid">
        <fgColor rgb="FFDDE8D4"/>
        <bgColor indexed="64"/>
      </patternFill>
    </fill>
    <fill>
      <patternFill patternType="solid">
        <fgColor rgb="FFC9D8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6EA"/>
        <bgColor indexed="64"/>
      </patternFill>
    </fill>
    <fill>
      <patternFill patternType="solid">
        <fgColor rgb="FFE7EEDA"/>
        <bgColor indexed="64"/>
      </patternFill>
    </fill>
    <fill>
      <patternFill patternType="solid">
        <fgColor rgb="FFF6F2E6"/>
        <bgColor indexed="64"/>
      </patternFill>
    </fill>
  </fills>
  <borders count="3">
    <border>
      <left/>
      <right/>
      <top/>
      <bottom/>
      <diagonal/>
    </border>
    <border>
      <left style="thin">
        <color rgb="FFE0E4D7"/>
      </left>
      <right style="thin">
        <color rgb="FFE0E4D7"/>
      </right>
      <top style="thin">
        <color rgb="FFE0E4D7"/>
      </top>
      <bottom style="thin">
        <color rgb="FFE0E4D7"/>
      </bottom>
      <diagonal/>
    </border>
    <border>
      <bottom style="medium">
        <color rgb="FF9CAF88"/>
      </bottom>
    </border>
  </borders>
  <cellStyleXfs count="1">
    <xf numFmtId="0" fontId="0" fillId="0" borderId="0"/>
  </cellStyleXfs>
  <cellXfs count="17">
    <xf numFmtId="0" fontId="0" fillId="5" borderId="1" xfId="0" applyAlignment="1">
      <alignment vertical="center" wrapText="1"/>
    </xf>
    <xf numFmtId="0" fontId="1" fillId="2" borderId="0" xfId="0" applyFont="1" applyFill="1" applyBorder="1" applyNumberFormat="1" applyAlignment="1">
      <alignment horizontal="center" vertical="center" wrapText="1"/>
    </xf>
    <xf numFmtId="0" fontId="0" fillId="2" borderId="0" xfId="0" applyFont="1" applyFill="1" applyBorder="1" applyNumberFormat="1" applyAlignment="1">
      <alignment horizontal="left" vertical="center" wrapText="1"/>
    </xf>
    <xf numFmtId="0" fontId="4" fillId="4" borderId="0" xfId="0" applyFont="1" applyFill="1" applyBorder="1" applyNumberFormat="1" applyAlignment="1">
      <alignment horizontal="left" vertical="center" wrapText="1"/>
    </xf>
    <xf numFmtId="0" fontId="2" fillId="3" borderId="1" xfId="0" applyFont="1" applyFill="1" applyBorder="1" applyNumberFormat="1" applyAlignment="1">
      <alignment horizontal="center" vertical="center" wrapText="1"/>
    </xf>
    <xf numFmtId="0" fontId="0" fillId="5" borderId="1" xfId="0" applyFont="1" applyFill="1" applyBorder="1" applyNumberFormat="1" applyAlignment="1">
      <alignment horizontal="left" vertical="center" wrapText="1"/>
    </xf>
    <xf numFmtId="165" fontId="0" fillId="5" borderId="1" xfId="0" applyFont="1" applyFill="1" applyBorder="1" applyNumberFormat="1" applyAlignment="1">
      <alignment horizontal="center" vertical="center" wrapText="1"/>
    </xf>
    <xf numFmtId="164" fontId="0" fillId="5" borderId="1" xfId="0" applyFont="1" applyFill="1" applyBorder="1" applyNumberFormat="1" applyAlignment="1">
      <alignment horizontal="right" vertical="center" wrapText="1"/>
    </xf>
    <xf numFmtId="164" fontId="0" fillId="5" borderId="1" xfId="0" applyFont="1" applyFill="1" applyBorder="1" applyNumberFormat="1" applyAlignment="1">
      <alignment horizontal="right" vertical="center" wrapText="1"/>
    </xf>
    <xf numFmtId="164" fontId="2" fillId="7" borderId="1" xfId="0" applyFont="1" applyFill="1" applyBorder="1" applyNumberFormat="1" applyAlignment="1">
      <alignment horizontal="right" vertical="center" wrapText="1"/>
    </xf>
    <xf numFmtId="0" fontId="0" fillId="6" borderId="0" xfId="0" applyFont="1" applyFill="1" applyBorder="1" applyNumberFormat="1" applyAlignment="1">
      <alignment horizontal="left" vertical="center" wrapText="1"/>
    </xf>
    <xf numFmtId="0" fontId="1" fillId="2" borderId="0" xfId="0" applyFont="1" applyFill="1" applyBorder="1" applyNumberFormat="1" applyAlignment="1">
      <alignment horizontal="center" vertical="center" wrapText="1"/>
    </xf>
    <xf numFmtId="0" fontId="2" fillId="3" borderId="1" xfId="0" applyFont="1" applyFill="1" applyBorder="1" applyNumberFormat="1" applyAlignment="1">
      <alignment horizontal="center" vertical="center" wrapText="1"/>
    </xf>
    <xf numFmtId="0" fontId="0" fillId="6" borderId="1" xfId="0" applyFont="1" applyFill="1" applyBorder="1" applyNumberFormat="1" applyAlignment="1">
      <alignment horizontal="left" vertical="center" wrapText="1"/>
    </xf>
    <xf numFmtId="0" fontId="2" fillId="4" borderId="1" xfId="0" applyFont="1" applyFill="1" applyBorder="1" applyNumberFormat="1" applyAlignment="1">
      <alignment horizontal="center" vertical="center" wrapText="1"/>
    </xf>
    <xf numFmtId="0" fontId="2" fillId="6" borderId="1" xfId="0" applyFont="1" applyFill="1" applyBorder="1" applyNumberFormat="1" applyAlignment="1">
      <alignment horizontal="center" vertical="center" wrapText="1"/>
    </xf>
    <xf numFmtId="164" fontId="2" fillId="6" borderId="1" xfId="0" applyFont="1" applyFill="1" applyBorder="1" applyNumberFormat="1" applyAlignment="1">
      <alignment horizontal="right" vertical="center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1061"/>
  <sheetViews>
    <sheetView workbookViewId="0">
      <pane ySplit="1" topLeftCell="A2" activePane="bottomLeft" state="frozen"/>
    </sheetView>
  </sheetViews>
  <cols>
    <col min="1" max="1" width="13" customWidth="1"/>
    <col min="2" max="2" width="10" customWidth="1"/>
    <col min="3" max="3" width="14" customWidth="1"/>
    <col min="4" max="4" width="26" customWidth="1"/>
    <col min="5" max="5" width="13" customWidth="1"/>
    <col min="6" max="6" width="13" customWidth="1"/>
    <col min="7" max="7" width="13" customWidth="1"/>
    <col min="8" max="8" width="13" customWidth="1"/>
    <col min="9" max="9" width="34" customWidth="1"/>
  </cols>
  <sheetData>
    <row r="1" ht="24" customHeight="1">
      <c r="A1" t="inlineStr" s="4">
        <is>
          <t>日期</t>
        </is>
      </c>
      <c r="B1" t="inlineStr" s="4">
        <is>
          <t>星期</t>
        </is>
      </c>
      <c r="C1" t="inlineStr" s="4">
        <is>
          <t>分类</t>
        </is>
      </c>
      <c r="D1" t="inlineStr" s="4">
        <is>
          <t>事项</t>
        </is>
      </c>
      <c r="E1" t="inlineStr" s="4">
        <is>
          <t>支出金额</t>
        </is>
      </c>
      <c r="F1" t="inlineStr" s="4">
        <is>
          <t>收入金额</t>
        </is>
      </c>
      <c r="G1" t="inlineStr" s="4">
        <is>
          <t>当笔净额</t>
        </is>
      </c>
      <c r="H1" t="inlineStr" s="4">
        <is>
          <t>支付方式</t>
        </is>
      </c>
      <c r="I1" t="inlineStr" s="4">
        <is>
          <t>备注</t>
        </is>
      </c>
    </row>
    <row r="2" ht="28" customHeight="1">
      <c r="A2" t="inlineStr" s="3">
        <is>
          <t>2026年6月｜第一周（6月1日 - 6月7日）</t>
        </is>
      </c>
      <c r="B2" t="inlineStr" s="3">
        <is>
          <t/>
        </is>
      </c>
      <c r="C2" t="inlineStr" s="3">
        <is>
          <t/>
        </is>
      </c>
      <c r="D2" t="inlineStr" s="3">
        <is>
          <t/>
        </is>
      </c>
      <c r="E2" t="inlineStr" s="3">
        <is>
          <t/>
        </is>
      </c>
      <c r="F2" t="inlineStr" s="3">
        <is>
          <t/>
        </is>
      </c>
      <c r="G2" t="inlineStr" s="3">
        <is>
          <t/>
        </is>
      </c>
      <c r="H2" t="inlineStr" s="3">
        <is>
          <t/>
        </is>
      </c>
      <c r="I2" t="inlineStr" s="3">
        <is>
          <t/>
        </is>
      </c>
    </row>
    <row r="3" ht="23" customHeight="1">
      <c r="A3" t="inlineStr" s="4">
        <is>
          <t>日期</t>
        </is>
      </c>
      <c r="B3" t="inlineStr" s="4">
        <is>
          <t>星期</t>
        </is>
      </c>
      <c r="C3" t="inlineStr" s="4">
        <is>
          <t>分类</t>
        </is>
      </c>
      <c r="D3" t="inlineStr" s="4">
        <is>
          <t>事项</t>
        </is>
      </c>
      <c r="E3" t="inlineStr" s="4">
        <is>
          <t>支出金额</t>
        </is>
      </c>
      <c r="F3" t="inlineStr" s="4">
        <is>
          <t>收入金额</t>
        </is>
      </c>
      <c r="G3" t="inlineStr" s="4">
        <is>
          <t>当笔净额</t>
        </is>
      </c>
      <c r="H3" t="inlineStr" s="4">
        <is>
          <t>支付方式</t>
        </is>
      </c>
      <c r="I3" t="inlineStr" s="4">
        <is>
          <t>备注</t>
        </is>
      </c>
    </row>
    <row r="4" ht="22" customHeight="1">
      <c r="A4" t="inlineStr" s="6">
        <is>
          <t/>
        </is>
      </c>
      <c r="B4" s="5">
        <f>IF(A4="","",TEXT(A4,"aaa"))</f>
      </c>
      <c r="C4" t="inlineStr" s="5">
        <is>
          <t/>
        </is>
      </c>
      <c r="D4" t="inlineStr" s="5">
        <is>
          <t/>
        </is>
      </c>
      <c r="E4" t="inlineStr" s="7">
        <is>
          <t/>
        </is>
      </c>
      <c r="F4" t="inlineStr" s="7">
        <is>
          <t/>
        </is>
      </c>
      <c r="G4" s="8">
        <f>IF(AND(E4="",F4=""),"",F4-E4)</f>
      </c>
      <c r="H4" t="inlineStr" s="5">
        <is>
          <t/>
        </is>
      </c>
      <c r="I4" t="inlineStr" s="5">
        <is>
          <t/>
        </is>
      </c>
    </row>
    <row r="5" ht="22" customHeight="1">
      <c r="A5" t="inlineStr" s="6">
        <is>
          <t/>
        </is>
      </c>
      <c r="B5" s="5">
        <f>IF(A5="","",TEXT(A5,"aaa"))</f>
      </c>
      <c r="C5" t="inlineStr" s="5">
        <is>
          <t/>
        </is>
      </c>
      <c r="D5" t="inlineStr" s="5">
        <is>
          <t/>
        </is>
      </c>
      <c r="E5" t="inlineStr" s="7">
        <is>
          <t/>
        </is>
      </c>
      <c r="F5" t="inlineStr" s="7">
        <is>
          <t/>
        </is>
      </c>
      <c r="G5" s="8">
        <f>IF(AND(E5="",F5=""),"",F5-E5)</f>
      </c>
      <c r="H5" t="inlineStr" s="5">
        <is>
          <t/>
        </is>
      </c>
      <c r="I5" t="inlineStr" s="5">
        <is>
          <t/>
        </is>
      </c>
    </row>
    <row r="6" ht="22" customHeight="1">
      <c r="A6" t="inlineStr" s="6">
        <is>
          <t/>
        </is>
      </c>
      <c r="B6" s="5">
        <f>IF(A6="","",TEXT(A6,"aaa"))</f>
      </c>
      <c r="C6" t="inlineStr" s="5">
        <is>
          <t/>
        </is>
      </c>
      <c r="D6" t="inlineStr" s="5">
        <is>
          <t/>
        </is>
      </c>
      <c r="E6" t="inlineStr" s="7">
        <is>
          <t/>
        </is>
      </c>
      <c r="F6" t="inlineStr" s="7">
        <is>
          <t/>
        </is>
      </c>
      <c r="G6" s="8">
        <f>IF(AND(E6="",F6=""),"",F6-E6)</f>
      </c>
      <c r="H6" t="inlineStr" s="5">
        <is>
          <t/>
        </is>
      </c>
      <c r="I6" t="inlineStr" s="5">
        <is>
          <t/>
        </is>
      </c>
    </row>
    <row r="7" ht="22" customHeight="1">
      <c r="A7" t="inlineStr" s="6">
        <is>
          <t/>
        </is>
      </c>
      <c r="B7" s="5">
        <f>IF(A7="","",TEXT(A7,"aaa"))</f>
      </c>
      <c r="C7" t="inlineStr" s="5">
        <is>
          <t/>
        </is>
      </c>
      <c r="D7" t="inlineStr" s="5">
        <is>
          <t/>
        </is>
      </c>
      <c r="E7" t="inlineStr" s="7">
        <is>
          <t/>
        </is>
      </c>
      <c r="F7" t="inlineStr" s="7">
        <is>
          <t/>
        </is>
      </c>
      <c r="G7" s="8">
        <f>IF(AND(E7="",F7=""),"",F7-E7)</f>
      </c>
      <c r="H7" t="inlineStr" s="5">
        <is>
          <t/>
        </is>
      </c>
      <c r="I7" t="inlineStr" s="5">
        <is>
          <t/>
        </is>
      </c>
    </row>
    <row r="8" ht="22" customHeight="1">
      <c r="A8" t="inlineStr" s="6">
        <is>
          <t/>
        </is>
      </c>
      <c r="B8" s="5">
        <f>IF(A8="","",TEXT(A8,"aaa"))</f>
      </c>
      <c r="C8" t="inlineStr" s="5">
        <is>
          <t/>
        </is>
      </c>
      <c r="D8" t="inlineStr" s="5">
        <is>
          <t/>
        </is>
      </c>
      <c r="E8" t="inlineStr" s="7">
        <is>
          <t/>
        </is>
      </c>
      <c r="F8" t="inlineStr" s="7">
        <is>
          <t/>
        </is>
      </c>
      <c r="G8" s="8">
        <f>IF(AND(E8="",F8=""),"",F8-E8)</f>
      </c>
      <c r="H8" t="inlineStr" s="5">
        <is>
          <t/>
        </is>
      </c>
      <c r="I8" t="inlineStr" s="5">
        <is>
          <t/>
        </is>
      </c>
    </row>
    <row r="9" ht="22" customHeight="1">
      <c r="A9" t="inlineStr" s="6">
        <is>
          <t/>
        </is>
      </c>
      <c r="B9" s="5">
        <f>IF(A9="","",TEXT(A9,"aaa"))</f>
      </c>
      <c r="C9" t="inlineStr" s="5">
        <is>
          <t/>
        </is>
      </c>
      <c r="D9" t="inlineStr" s="5">
        <is>
          <t/>
        </is>
      </c>
      <c r="E9" t="inlineStr" s="7">
        <is>
          <t/>
        </is>
      </c>
      <c r="F9" t="inlineStr" s="7">
        <is>
          <t/>
        </is>
      </c>
      <c r="G9" s="8">
        <f>IF(AND(E9="",F9=""),"",F9-E9)</f>
      </c>
      <c r="H9" t="inlineStr" s="5">
        <is>
          <t/>
        </is>
      </c>
      <c r="I9" t="inlineStr" s="5">
        <is>
          <t/>
        </is>
      </c>
    </row>
    <row r="10" ht="22" customHeight="1">
      <c r="A10" t="inlineStr" s="6">
        <is>
          <t/>
        </is>
      </c>
      <c r="B10" s="5">
        <f>IF(A10="","",TEXT(A10,"aaa"))</f>
      </c>
      <c r="C10" t="inlineStr" s="5">
        <is>
          <t/>
        </is>
      </c>
      <c r="D10" t="inlineStr" s="5">
        <is>
          <t/>
        </is>
      </c>
      <c r="E10" t="inlineStr" s="7">
        <is>
          <t/>
        </is>
      </c>
      <c r="F10" t="inlineStr" s="7">
        <is>
          <t/>
        </is>
      </c>
      <c r="G10" s="8">
        <f>IF(AND(E10="",F10=""),"",F10-E10)</f>
      </c>
      <c r="H10" t="inlineStr" s="5">
        <is>
          <t/>
        </is>
      </c>
      <c r="I10" t="inlineStr" s="5">
        <is>
          <t/>
        </is>
      </c>
    </row>
    <row r="11" ht="22" customHeight="1">
      <c r="A11" t="inlineStr" s="6">
        <is>
          <t/>
        </is>
      </c>
      <c r="B11" s="5">
        <f>IF(A11="","",TEXT(A11,"aaa"))</f>
      </c>
      <c r="C11" t="inlineStr" s="5">
        <is>
          <t/>
        </is>
      </c>
      <c r="D11" t="inlineStr" s="5">
        <is>
          <t/>
        </is>
      </c>
      <c r="E11" t="inlineStr" s="7">
        <is>
          <t/>
        </is>
      </c>
      <c r="F11" t="inlineStr" s="7">
        <is>
          <t/>
        </is>
      </c>
      <c r="G11" s="8">
        <f>IF(AND(E11="",F11=""),"",F11-E11)</f>
      </c>
      <c r="H11" t="inlineStr" s="5">
        <is>
          <t/>
        </is>
      </c>
      <c r="I11" t="inlineStr" s="5">
        <is>
          <t/>
        </is>
      </c>
    </row>
    <row r="12" ht="22" customHeight="1">
      <c r="A12" t="inlineStr" s="6">
        <is>
          <t/>
        </is>
      </c>
      <c r="B12" s="5">
        <f>IF(A12="","",TEXT(A12,"aaa"))</f>
      </c>
      <c r="C12" t="inlineStr" s="5">
        <is>
          <t/>
        </is>
      </c>
      <c r="D12" t="inlineStr" s="5">
        <is>
          <t/>
        </is>
      </c>
      <c r="E12" t="inlineStr" s="7">
        <is>
          <t/>
        </is>
      </c>
      <c r="F12" t="inlineStr" s="7">
        <is>
          <t/>
        </is>
      </c>
      <c r="G12" s="8">
        <f>IF(AND(E12="",F12=""),"",F12-E12)</f>
      </c>
      <c r="H12" t="inlineStr" s="5">
        <is>
          <t/>
        </is>
      </c>
      <c r="I12" t="inlineStr" s="5">
        <is>
          <t/>
        </is>
      </c>
    </row>
    <row r="13" ht="22" customHeight="1">
      <c r="A13" t="inlineStr" s="6">
        <is>
          <t/>
        </is>
      </c>
      <c r="B13" s="5">
        <f>IF(A13="","",TEXT(A13,"aaa"))</f>
      </c>
      <c r="C13" t="inlineStr" s="5">
        <is>
          <t/>
        </is>
      </c>
      <c r="D13" t="inlineStr" s="5">
        <is>
          <t/>
        </is>
      </c>
      <c r="E13" t="inlineStr" s="7">
        <is>
          <t/>
        </is>
      </c>
      <c r="F13" t="inlineStr" s="7">
        <is>
          <t/>
        </is>
      </c>
      <c r="G13" s="8">
        <f>IF(AND(E13="",F13=""),"",F13-E13)</f>
      </c>
      <c r="H13" t="inlineStr" s="5">
        <is>
          <t/>
        </is>
      </c>
      <c r="I13" t="inlineStr" s="5">
        <is>
          <t/>
        </is>
      </c>
    </row>
    <row r="14" ht="22" customHeight="1">
      <c r="A14" t="inlineStr" s="6">
        <is>
          <t/>
        </is>
      </c>
      <c r="B14" s="5">
        <f>IF(A14="","",TEXT(A14,"aaa"))</f>
      </c>
      <c r="C14" t="inlineStr" s="5">
        <is>
          <t/>
        </is>
      </c>
      <c r="D14" t="inlineStr" s="5">
        <is>
          <t/>
        </is>
      </c>
      <c r="E14" t="inlineStr" s="7">
        <is>
          <t/>
        </is>
      </c>
      <c r="F14" t="inlineStr" s="7">
        <is>
          <t/>
        </is>
      </c>
      <c r="G14" s="8">
        <f>IF(AND(E14="",F14=""),"",F14-E14)</f>
      </c>
      <c r="H14" t="inlineStr" s="5">
        <is>
          <t/>
        </is>
      </c>
      <c r="I14" t="inlineStr" s="5">
        <is>
          <t/>
        </is>
      </c>
    </row>
    <row r="15" ht="22" customHeight="1">
      <c r="A15" t="inlineStr" s="6">
        <is>
          <t/>
        </is>
      </c>
      <c r="B15" s="5">
        <f>IF(A15="","",TEXT(A15,"aaa"))</f>
      </c>
      <c r="C15" t="inlineStr" s="5">
        <is>
          <t/>
        </is>
      </c>
      <c r="D15" t="inlineStr" s="5">
        <is>
          <t/>
        </is>
      </c>
      <c r="E15" t="inlineStr" s="7">
        <is>
          <t/>
        </is>
      </c>
      <c r="F15" t="inlineStr" s="7">
        <is>
          <t/>
        </is>
      </c>
      <c r="G15" s="8">
        <f>IF(AND(E15="",F15=""),"",F15-E15)</f>
      </c>
      <c r="H15" t="inlineStr" s="5">
        <is>
          <t/>
        </is>
      </c>
      <c r="I15" t="inlineStr" s="5">
        <is>
          <t/>
        </is>
      </c>
    </row>
    <row r="16" ht="22" customHeight="1">
      <c r="A16" t="inlineStr" s="6">
        <is>
          <t/>
        </is>
      </c>
      <c r="B16" s="5">
        <f>IF(A16="","",TEXT(A16,"aaa"))</f>
      </c>
      <c r="C16" t="inlineStr" s="5">
        <is>
          <t/>
        </is>
      </c>
      <c r="D16" t="inlineStr" s="5">
        <is>
          <t/>
        </is>
      </c>
      <c r="E16" t="inlineStr" s="7">
        <is>
          <t/>
        </is>
      </c>
      <c r="F16" t="inlineStr" s="7">
        <is>
          <t/>
        </is>
      </c>
      <c r="G16" s="8">
        <f>IF(AND(E16="",F16=""),"",F16-E16)</f>
      </c>
      <c r="H16" t="inlineStr" s="5">
        <is>
          <t/>
        </is>
      </c>
      <c r="I16" t="inlineStr" s="5">
        <is>
          <t/>
        </is>
      </c>
    </row>
    <row r="17" ht="22" customHeight="1">
      <c r="A17" t="inlineStr" s="6">
        <is>
          <t/>
        </is>
      </c>
      <c r="B17" s="5">
        <f>IF(A17="","",TEXT(A17,"aaa"))</f>
      </c>
      <c r="C17" t="inlineStr" s="5">
        <is>
          <t/>
        </is>
      </c>
      <c r="D17" t="inlineStr" s="5">
        <is>
          <t/>
        </is>
      </c>
      <c r="E17" t="inlineStr" s="7">
        <is>
          <t/>
        </is>
      </c>
      <c r="F17" t="inlineStr" s="7">
        <is>
          <t/>
        </is>
      </c>
      <c r="G17" s="8">
        <f>IF(AND(E17="",F17=""),"",F17-E17)</f>
      </c>
      <c r="H17" t="inlineStr" s="5">
        <is>
          <t/>
        </is>
      </c>
      <c r="I17" t="inlineStr" s="5">
        <is>
          <t/>
        </is>
      </c>
    </row>
    <row r="18" ht="22" customHeight="1">
      <c r="A18" t="inlineStr" s="6">
        <is>
          <t/>
        </is>
      </c>
      <c r="B18" s="5">
        <f>IF(A18="","",TEXT(A18,"aaa"))</f>
      </c>
      <c r="C18" t="inlineStr" s="5">
        <is>
          <t/>
        </is>
      </c>
      <c r="D18" t="inlineStr" s="5">
        <is>
          <t/>
        </is>
      </c>
      <c r="E18" t="inlineStr" s="7">
        <is>
          <t/>
        </is>
      </c>
      <c r="F18" t="inlineStr" s="7">
        <is>
          <t/>
        </is>
      </c>
      <c r="G18" s="8">
        <f>IF(AND(E18="",F18=""),"",F18-E18)</f>
      </c>
      <c r="H18" t="inlineStr" s="5">
        <is>
          <t/>
        </is>
      </c>
      <c r="I18" t="inlineStr" s="5">
        <is>
          <t/>
        </is>
      </c>
    </row>
    <row r="19" ht="24" customHeight="1">
      <c r="A19" t="inlineStr" s="9">
        <is>
          <t>本周小计</t>
        </is>
      </c>
      <c r="B19" t="inlineStr" s="9">
        <is>
          <t/>
        </is>
      </c>
      <c r="C19" t="inlineStr" s="9">
        <is>
          <t/>
        </is>
      </c>
      <c r="D19" t="inlineStr" s="9">
        <is>
          <t/>
        </is>
      </c>
      <c r="E19" s="9">
        <f>SUM(E4:E18)</f>
      </c>
      <c r="F19" s="9">
        <f>SUM(F4:F18)</f>
      </c>
      <c r="G19" s="9">
        <f>SUM(G4:G18)</f>
      </c>
      <c r="H19" t="inlineStr" s="9">
        <is>
          <t/>
        </is>
      </c>
      <c r="I19" t="inlineStr" s="9">
        <is>
          <t/>
        </is>
      </c>
    </row>
    <row r="20" ht="18" customHeight="1">
      <c r="A20" t="inlineStr" s="10">
        <is>
          <t/>
        </is>
      </c>
      <c r="B20" t="inlineStr" s="10">
        <is>
          <t/>
        </is>
      </c>
      <c r="C20" t="inlineStr" s="10">
        <is>
          <t/>
        </is>
      </c>
      <c r="D20" t="inlineStr" s="10">
        <is>
          <t/>
        </is>
      </c>
      <c r="E20" t="inlineStr" s="10">
        <is>
          <t/>
        </is>
      </c>
      <c r="F20" t="inlineStr" s="10">
        <is>
          <t/>
        </is>
      </c>
      <c r="G20" t="inlineStr" s="10">
        <is>
          <t/>
        </is>
      </c>
      <c r="H20" t="inlineStr" s="10">
        <is>
          <t/>
        </is>
      </c>
      <c r="I20" t="inlineStr" s="10">
        <is>
          <t/>
        </is>
      </c>
    </row>
    <row r="21" ht="18" customHeight="1">
      <c r="A21" t="inlineStr" s="10">
        <is>
          <t/>
        </is>
      </c>
      <c r="B21" t="inlineStr" s="10">
        <is>
          <t/>
        </is>
      </c>
      <c r="C21" t="inlineStr" s="10">
        <is>
          <t/>
        </is>
      </c>
      <c r="D21" t="inlineStr" s="10">
        <is>
          <t/>
        </is>
      </c>
      <c r="E21" t="inlineStr" s="10">
        <is>
          <t/>
        </is>
      </c>
      <c r="F21" t="inlineStr" s="10">
        <is>
          <t/>
        </is>
      </c>
      <c r="G21" t="inlineStr" s="10">
        <is>
          <t/>
        </is>
      </c>
      <c r="H21" t="inlineStr" s="10">
        <is>
          <t/>
        </is>
      </c>
      <c r="I21" t="inlineStr" s="10">
        <is>
          <t/>
        </is>
      </c>
    </row>
    <row r="22" ht="28" customHeight="1">
      <c r="A22" t="inlineStr" s="3">
        <is>
          <t>2026年6月｜第二周（6月8日 - 6月14日）</t>
        </is>
      </c>
      <c r="B22" t="inlineStr" s="3">
        <is>
          <t/>
        </is>
      </c>
      <c r="C22" t="inlineStr" s="3">
        <is>
          <t/>
        </is>
      </c>
      <c r="D22" t="inlineStr" s="3">
        <is>
          <t/>
        </is>
      </c>
      <c r="E22" t="inlineStr" s="3">
        <is>
          <t/>
        </is>
      </c>
      <c r="F22" t="inlineStr" s="3">
        <is>
          <t/>
        </is>
      </c>
      <c r="G22" t="inlineStr" s="3">
        <is>
          <t/>
        </is>
      </c>
      <c r="H22" t="inlineStr" s="3">
        <is>
          <t/>
        </is>
      </c>
      <c r="I22" t="inlineStr" s="3">
        <is>
          <t/>
        </is>
      </c>
    </row>
    <row r="23" ht="23" customHeight="1">
      <c r="A23" t="inlineStr" s="4">
        <is>
          <t>日期</t>
        </is>
      </c>
      <c r="B23" t="inlineStr" s="4">
        <is>
          <t>星期</t>
        </is>
      </c>
      <c r="C23" t="inlineStr" s="4">
        <is>
          <t>分类</t>
        </is>
      </c>
      <c r="D23" t="inlineStr" s="4">
        <is>
          <t>事项</t>
        </is>
      </c>
      <c r="E23" t="inlineStr" s="4">
        <is>
          <t>支出金额</t>
        </is>
      </c>
      <c r="F23" t="inlineStr" s="4">
        <is>
          <t>收入金额</t>
        </is>
      </c>
      <c r="G23" t="inlineStr" s="4">
        <is>
          <t>当笔净额</t>
        </is>
      </c>
      <c r="H23" t="inlineStr" s="4">
        <is>
          <t>支付方式</t>
        </is>
      </c>
      <c r="I23" t="inlineStr" s="4">
        <is>
          <t>备注</t>
        </is>
      </c>
    </row>
    <row r="24" ht="22" customHeight="1">
      <c r="A24" t="inlineStr" s="6">
        <is>
          <t/>
        </is>
      </c>
      <c r="B24" s="5">
        <f>IF(A24="","",TEXT(A24,"aaa"))</f>
      </c>
      <c r="C24" t="inlineStr" s="5">
        <is>
          <t/>
        </is>
      </c>
      <c r="D24" t="inlineStr" s="5">
        <is>
          <t/>
        </is>
      </c>
      <c r="E24" t="inlineStr" s="7">
        <is>
          <t/>
        </is>
      </c>
      <c r="F24" t="inlineStr" s="7">
        <is>
          <t/>
        </is>
      </c>
      <c r="G24" s="8">
        <f>IF(AND(E24="",F24=""),"",F24-E24)</f>
      </c>
      <c r="H24" t="inlineStr" s="5">
        <is>
          <t/>
        </is>
      </c>
      <c r="I24" t="inlineStr" s="5">
        <is>
          <t/>
        </is>
      </c>
    </row>
    <row r="25" ht="22" customHeight="1">
      <c r="A25" t="inlineStr" s="6">
        <is>
          <t/>
        </is>
      </c>
      <c r="B25" s="5">
        <f>IF(A25="","",TEXT(A25,"aaa"))</f>
      </c>
      <c r="C25" t="inlineStr" s="5">
        <is>
          <t/>
        </is>
      </c>
      <c r="D25" t="inlineStr" s="5">
        <is>
          <t/>
        </is>
      </c>
      <c r="E25" t="inlineStr" s="7">
        <is>
          <t/>
        </is>
      </c>
      <c r="F25" t="inlineStr" s="7">
        <is>
          <t/>
        </is>
      </c>
      <c r="G25" s="8">
        <f>IF(AND(E25="",F25=""),"",F25-E25)</f>
      </c>
      <c r="H25" t="inlineStr" s="5">
        <is>
          <t/>
        </is>
      </c>
      <c r="I25" t="inlineStr" s="5">
        <is>
          <t/>
        </is>
      </c>
    </row>
    <row r="26" ht="22" customHeight="1">
      <c r="A26" t="inlineStr" s="6">
        <is>
          <t/>
        </is>
      </c>
      <c r="B26" s="5">
        <f>IF(A26="","",TEXT(A26,"aaa"))</f>
      </c>
      <c r="C26" t="inlineStr" s="5">
        <is>
          <t/>
        </is>
      </c>
      <c r="D26" t="inlineStr" s="5">
        <is>
          <t/>
        </is>
      </c>
      <c r="E26" t="inlineStr" s="7">
        <is>
          <t/>
        </is>
      </c>
      <c r="F26" t="inlineStr" s="7">
        <is>
          <t/>
        </is>
      </c>
      <c r="G26" s="8">
        <f>IF(AND(E26="",F26=""),"",F26-E26)</f>
      </c>
      <c r="H26" t="inlineStr" s="5">
        <is>
          <t/>
        </is>
      </c>
      <c r="I26" t="inlineStr" s="5">
        <is>
          <t/>
        </is>
      </c>
    </row>
    <row r="27" ht="22" customHeight="1">
      <c r="A27" t="inlineStr" s="6">
        <is>
          <t/>
        </is>
      </c>
      <c r="B27" s="5">
        <f>IF(A27="","",TEXT(A27,"aaa"))</f>
      </c>
      <c r="C27" t="inlineStr" s="5">
        <is>
          <t/>
        </is>
      </c>
      <c r="D27" t="inlineStr" s="5">
        <is>
          <t/>
        </is>
      </c>
      <c r="E27" t="inlineStr" s="7">
        <is>
          <t/>
        </is>
      </c>
      <c r="F27" t="inlineStr" s="7">
        <is>
          <t/>
        </is>
      </c>
      <c r="G27" s="8">
        <f>IF(AND(E27="",F27=""),"",F27-E27)</f>
      </c>
      <c r="H27" t="inlineStr" s="5">
        <is>
          <t/>
        </is>
      </c>
      <c r="I27" t="inlineStr" s="5">
        <is>
          <t/>
        </is>
      </c>
    </row>
    <row r="28" ht="22" customHeight="1">
      <c r="A28" t="inlineStr" s="6">
        <is>
          <t/>
        </is>
      </c>
      <c r="B28" s="5">
        <f>IF(A28="","",TEXT(A28,"aaa"))</f>
      </c>
      <c r="C28" t="inlineStr" s="5">
        <is>
          <t/>
        </is>
      </c>
      <c r="D28" t="inlineStr" s="5">
        <is>
          <t/>
        </is>
      </c>
      <c r="E28" t="inlineStr" s="7">
        <is>
          <t/>
        </is>
      </c>
      <c r="F28" t="inlineStr" s="7">
        <is>
          <t/>
        </is>
      </c>
      <c r="G28" s="8">
        <f>IF(AND(E28="",F28=""),"",F28-E28)</f>
      </c>
      <c r="H28" t="inlineStr" s="5">
        <is>
          <t/>
        </is>
      </c>
      <c r="I28" t="inlineStr" s="5">
        <is>
          <t/>
        </is>
      </c>
    </row>
    <row r="29" ht="22" customHeight="1">
      <c r="A29" t="inlineStr" s="6">
        <is>
          <t/>
        </is>
      </c>
      <c r="B29" s="5">
        <f>IF(A29="","",TEXT(A29,"aaa"))</f>
      </c>
      <c r="C29" t="inlineStr" s="5">
        <is>
          <t/>
        </is>
      </c>
      <c r="D29" t="inlineStr" s="5">
        <is>
          <t/>
        </is>
      </c>
      <c r="E29" t="inlineStr" s="7">
        <is>
          <t/>
        </is>
      </c>
      <c r="F29" t="inlineStr" s="7">
        <is>
          <t/>
        </is>
      </c>
      <c r="G29" s="8">
        <f>IF(AND(E29="",F29=""),"",F29-E29)</f>
      </c>
      <c r="H29" t="inlineStr" s="5">
        <is>
          <t/>
        </is>
      </c>
      <c r="I29" t="inlineStr" s="5">
        <is>
          <t/>
        </is>
      </c>
    </row>
    <row r="30" ht="22" customHeight="1">
      <c r="A30" t="inlineStr" s="6">
        <is>
          <t/>
        </is>
      </c>
      <c r="B30" s="5">
        <f>IF(A30="","",TEXT(A30,"aaa"))</f>
      </c>
      <c r="C30" t="inlineStr" s="5">
        <is>
          <t/>
        </is>
      </c>
      <c r="D30" t="inlineStr" s="5">
        <is>
          <t/>
        </is>
      </c>
      <c r="E30" t="inlineStr" s="7">
        <is>
          <t/>
        </is>
      </c>
      <c r="F30" t="inlineStr" s="7">
        <is>
          <t/>
        </is>
      </c>
      <c r="G30" s="8">
        <f>IF(AND(E30="",F30=""),"",F30-E30)</f>
      </c>
      <c r="H30" t="inlineStr" s="5">
        <is>
          <t/>
        </is>
      </c>
      <c r="I30" t="inlineStr" s="5">
        <is>
          <t/>
        </is>
      </c>
    </row>
    <row r="31" ht="22" customHeight="1">
      <c r="A31" t="inlineStr" s="6">
        <is>
          <t/>
        </is>
      </c>
      <c r="B31" s="5">
        <f>IF(A31="","",TEXT(A31,"aaa"))</f>
      </c>
      <c r="C31" t="inlineStr" s="5">
        <is>
          <t/>
        </is>
      </c>
      <c r="D31" t="inlineStr" s="5">
        <is>
          <t/>
        </is>
      </c>
      <c r="E31" t="inlineStr" s="7">
        <is>
          <t/>
        </is>
      </c>
      <c r="F31" t="inlineStr" s="7">
        <is>
          <t/>
        </is>
      </c>
      <c r="G31" s="8">
        <f>IF(AND(E31="",F31=""),"",F31-E31)</f>
      </c>
      <c r="H31" t="inlineStr" s="5">
        <is>
          <t/>
        </is>
      </c>
      <c r="I31" t="inlineStr" s="5">
        <is>
          <t/>
        </is>
      </c>
    </row>
    <row r="32" ht="22" customHeight="1">
      <c r="A32" t="inlineStr" s="6">
        <is>
          <t/>
        </is>
      </c>
      <c r="B32" s="5">
        <f>IF(A32="","",TEXT(A32,"aaa"))</f>
      </c>
      <c r="C32" t="inlineStr" s="5">
        <is>
          <t/>
        </is>
      </c>
      <c r="D32" t="inlineStr" s="5">
        <is>
          <t/>
        </is>
      </c>
      <c r="E32" t="inlineStr" s="7">
        <is>
          <t/>
        </is>
      </c>
      <c r="F32" t="inlineStr" s="7">
        <is>
          <t/>
        </is>
      </c>
      <c r="G32" s="8">
        <f>IF(AND(E32="",F32=""),"",F32-E32)</f>
      </c>
      <c r="H32" t="inlineStr" s="5">
        <is>
          <t/>
        </is>
      </c>
      <c r="I32" t="inlineStr" s="5">
        <is>
          <t/>
        </is>
      </c>
    </row>
    <row r="33" ht="22" customHeight="1">
      <c r="A33" t="inlineStr" s="6">
        <is>
          <t/>
        </is>
      </c>
      <c r="B33" s="5">
        <f>IF(A33="","",TEXT(A33,"aaa"))</f>
      </c>
      <c r="C33" t="inlineStr" s="5">
        <is>
          <t/>
        </is>
      </c>
      <c r="D33" t="inlineStr" s="5">
        <is>
          <t/>
        </is>
      </c>
      <c r="E33" t="inlineStr" s="7">
        <is>
          <t/>
        </is>
      </c>
      <c r="F33" t="inlineStr" s="7">
        <is>
          <t/>
        </is>
      </c>
      <c r="G33" s="8">
        <f>IF(AND(E33="",F33=""),"",F33-E33)</f>
      </c>
      <c r="H33" t="inlineStr" s="5">
        <is>
          <t/>
        </is>
      </c>
      <c r="I33" t="inlineStr" s="5">
        <is>
          <t/>
        </is>
      </c>
    </row>
    <row r="34" ht="22" customHeight="1">
      <c r="A34" t="inlineStr" s="6">
        <is>
          <t/>
        </is>
      </c>
      <c r="B34" s="5">
        <f>IF(A34="","",TEXT(A34,"aaa"))</f>
      </c>
      <c r="C34" t="inlineStr" s="5">
        <is>
          <t/>
        </is>
      </c>
      <c r="D34" t="inlineStr" s="5">
        <is>
          <t/>
        </is>
      </c>
      <c r="E34" t="inlineStr" s="7">
        <is>
          <t/>
        </is>
      </c>
      <c r="F34" t="inlineStr" s="7">
        <is>
          <t/>
        </is>
      </c>
      <c r="G34" s="8">
        <f>IF(AND(E34="",F34=""),"",F34-E34)</f>
      </c>
      <c r="H34" t="inlineStr" s="5">
        <is>
          <t/>
        </is>
      </c>
      <c r="I34" t="inlineStr" s="5">
        <is>
          <t/>
        </is>
      </c>
    </row>
    <row r="35" ht="22" customHeight="1">
      <c r="A35" t="inlineStr" s="6">
        <is>
          <t/>
        </is>
      </c>
      <c r="B35" s="5">
        <f>IF(A35="","",TEXT(A35,"aaa"))</f>
      </c>
      <c r="C35" t="inlineStr" s="5">
        <is>
          <t/>
        </is>
      </c>
      <c r="D35" t="inlineStr" s="5">
        <is>
          <t/>
        </is>
      </c>
      <c r="E35" t="inlineStr" s="7">
        <is>
          <t/>
        </is>
      </c>
      <c r="F35" t="inlineStr" s="7">
        <is>
          <t/>
        </is>
      </c>
      <c r="G35" s="8">
        <f>IF(AND(E35="",F35=""),"",F35-E35)</f>
      </c>
      <c r="H35" t="inlineStr" s="5">
        <is>
          <t/>
        </is>
      </c>
      <c r="I35" t="inlineStr" s="5">
        <is>
          <t/>
        </is>
      </c>
    </row>
    <row r="36" ht="22" customHeight="1">
      <c r="A36" t="inlineStr" s="6">
        <is>
          <t/>
        </is>
      </c>
      <c r="B36" s="5">
        <f>IF(A36="","",TEXT(A36,"aaa"))</f>
      </c>
      <c r="C36" t="inlineStr" s="5">
        <is>
          <t/>
        </is>
      </c>
      <c r="D36" t="inlineStr" s="5">
        <is>
          <t/>
        </is>
      </c>
      <c r="E36" t="inlineStr" s="7">
        <is>
          <t/>
        </is>
      </c>
      <c r="F36" t="inlineStr" s="7">
        <is>
          <t/>
        </is>
      </c>
      <c r="G36" s="8">
        <f>IF(AND(E36="",F36=""),"",F36-E36)</f>
      </c>
      <c r="H36" t="inlineStr" s="5">
        <is>
          <t/>
        </is>
      </c>
      <c r="I36" t="inlineStr" s="5">
        <is>
          <t/>
        </is>
      </c>
    </row>
    <row r="37" ht="22" customHeight="1">
      <c r="A37" t="inlineStr" s="6">
        <is>
          <t/>
        </is>
      </c>
      <c r="B37" s="5">
        <f>IF(A37="","",TEXT(A37,"aaa"))</f>
      </c>
      <c r="C37" t="inlineStr" s="5">
        <is>
          <t/>
        </is>
      </c>
      <c r="D37" t="inlineStr" s="5">
        <is>
          <t/>
        </is>
      </c>
      <c r="E37" t="inlineStr" s="7">
        <is>
          <t/>
        </is>
      </c>
      <c r="F37" t="inlineStr" s="7">
        <is>
          <t/>
        </is>
      </c>
      <c r="G37" s="8">
        <f>IF(AND(E37="",F37=""),"",F37-E37)</f>
      </c>
      <c r="H37" t="inlineStr" s="5">
        <is>
          <t/>
        </is>
      </c>
      <c r="I37" t="inlineStr" s="5">
        <is>
          <t/>
        </is>
      </c>
    </row>
    <row r="38" ht="22" customHeight="1">
      <c r="A38" t="inlineStr" s="6">
        <is>
          <t/>
        </is>
      </c>
      <c r="B38" s="5">
        <f>IF(A38="","",TEXT(A38,"aaa"))</f>
      </c>
      <c r="C38" t="inlineStr" s="5">
        <is>
          <t/>
        </is>
      </c>
      <c r="D38" t="inlineStr" s="5">
        <is>
          <t/>
        </is>
      </c>
      <c r="E38" t="inlineStr" s="7">
        <is>
          <t/>
        </is>
      </c>
      <c r="F38" t="inlineStr" s="7">
        <is>
          <t/>
        </is>
      </c>
      <c r="G38" s="8">
        <f>IF(AND(E38="",F38=""),"",F38-E38)</f>
      </c>
      <c r="H38" t="inlineStr" s="5">
        <is>
          <t/>
        </is>
      </c>
      <c r="I38" t="inlineStr" s="5">
        <is>
          <t/>
        </is>
      </c>
    </row>
    <row r="39" ht="24" customHeight="1">
      <c r="A39" t="inlineStr" s="9">
        <is>
          <t>本周小计</t>
        </is>
      </c>
      <c r="B39" t="inlineStr" s="9">
        <is>
          <t/>
        </is>
      </c>
      <c r="C39" t="inlineStr" s="9">
        <is>
          <t/>
        </is>
      </c>
      <c r="D39" t="inlineStr" s="9">
        <is>
          <t/>
        </is>
      </c>
      <c r="E39" s="9">
        <f>SUM(E24:E38)</f>
      </c>
      <c r="F39" s="9">
        <f>SUM(F24:F38)</f>
      </c>
      <c r="G39" s="9">
        <f>SUM(G24:G38)</f>
      </c>
      <c r="H39" t="inlineStr" s="9">
        <is>
          <t/>
        </is>
      </c>
      <c r="I39" t="inlineStr" s="9">
        <is>
          <t/>
        </is>
      </c>
    </row>
    <row r="40" ht="18" customHeight="1">
      <c r="A40" t="inlineStr" s="10">
        <is>
          <t/>
        </is>
      </c>
      <c r="B40" t="inlineStr" s="10">
        <is>
          <t/>
        </is>
      </c>
      <c r="C40" t="inlineStr" s="10">
        <is>
          <t/>
        </is>
      </c>
      <c r="D40" t="inlineStr" s="10">
        <is>
          <t/>
        </is>
      </c>
      <c r="E40" t="inlineStr" s="10">
        <is>
          <t/>
        </is>
      </c>
      <c r="F40" t="inlineStr" s="10">
        <is>
          <t/>
        </is>
      </c>
      <c r="G40" t="inlineStr" s="10">
        <is>
          <t/>
        </is>
      </c>
      <c r="H40" t="inlineStr" s="10">
        <is>
          <t/>
        </is>
      </c>
      <c r="I40" t="inlineStr" s="10">
        <is>
          <t/>
        </is>
      </c>
    </row>
    <row r="41" ht="18" customHeight="1">
      <c r="A41" t="inlineStr" s="10">
        <is>
          <t/>
        </is>
      </c>
      <c r="B41" t="inlineStr" s="10">
        <is>
          <t/>
        </is>
      </c>
      <c r="C41" t="inlineStr" s="10">
        <is>
          <t/>
        </is>
      </c>
      <c r="D41" t="inlineStr" s="10">
        <is>
          <t/>
        </is>
      </c>
      <c r="E41" t="inlineStr" s="10">
        <is>
          <t/>
        </is>
      </c>
      <c r="F41" t="inlineStr" s="10">
        <is>
          <t/>
        </is>
      </c>
      <c r="G41" t="inlineStr" s="10">
        <is>
          <t/>
        </is>
      </c>
      <c r="H41" t="inlineStr" s="10">
        <is>
          <t/>
        </is>
      </c>
      <c r="I41" t="inlineStr" s="10">
        <is>
          <t/>
        </is>
      </c>
    </row>
    <row r="42" ht="28" customHeight="1">
      <c r="A42" t="inlineStr" s="3">
        <is>
          <t>2026年6月｜第三周（6月15日 - 6月21日）</t>
        </is>
      </c>
      <c r="B42" t="inlineStr" s="3">
        <is>
          <t/>
        </is>
      </c>
      <c r="C42" t="inlineStr" s="3">
        <is>
          <t/>
        </is>
      </c>
      <c r="D42" t="inlineStr" s="3">
        <is>
          <t/>
        </is>
      </c>
      <c r="E42" t="inlineStr" s="3">
        <is>
          <t/>
        </is>
      </c>
      <c r="F42" t="inlineStr" s="3">
        <is>
          <t/>
        </is>
      </c>
      <c r="G42" t="inlineStr" s="3">
        <is>
          <t/>
        </is>
      </c>
      <c r="H42" t="inlineStr" s="3">
        <is>
          <t/>
        </is>
      </c>
      <c r="I42" t="inlineStr" s="3">
        <is>
          <t/>
        </is>
      </c>
    </row>
    <row r="43" ht="23" customHeight="1">
      <c r="A43" t="inlineStr" s="4">
        <is>
          <t>日期</t>
        </is>
      </c>
      <c r="B43" t="inlineStr" s="4">
        <is>
          <t>星期</t>
        </is>
      </c>
      <c r="C43" t="inlineStr" s="4">
        <is>
          <t>分类</t>
        </is>
      </c>
      <c r="D43" t="inlineStr" s="4">
        <is>
          <t>事项</t>
        </is>
      </c>
      <c r="E43" t="inlineStr" s="4">
        <is>
          <t>支出金额</t>
        </is>
      </c>
      <c r="F43" t="inlineStr" s="4">
        <is>
          <t>收入金额</t>
        </is>
      </c>
      <c r="G43" t="inlineStr" s="4">
        <is>
          <t>当笔净额</t>
        </is>
      </c>
      <c r="H43" t="inlineStr" s="4">
        <is>
          <t>支付方式</t>
        </is>
      </c>
      <c r="I43" t="inlineStr" s="4">
        <is>
          <t>备注</t>
        </is>
      </c>
    </row>
    <row r="44" ht="22" customHeight="1">
      <c r="A44" t="inlineStr" s="6">
        <is>
          <t/>
        </is>
      </c>
      <c r="B44" s="5">
        <f>IF(A44="","",TEXT(A44,"aaa"))</f>
      </c>
      <c r="C44" t="inlineStr" s="5">
        <is>
          <t/>
        </is>
      </c>
      <c r="D44" t="inlineStr" s="5">
        <is>
          <t/>
        </is>
      </c>
      <c r="E44" t="inlineStr" s="7">
        <is>
          <t/>
        </is>
      </c>
      <c r="F44" t="inlineStr" s="7">
        <is>
          <t/>
        </is>
      </c>
      <c r="G44" s="8">
        <f>IF(AND(E44="",F44=""),"",F44-E44)</f>
      </c>
      <c r="H44" t="inlineStr" s="5">
        <is>
          <t/>
        </is>
      </c>
      <c r="I44" t="inlineStr" s="5">
        <is>
          <t/>
        </is>
      </c>
    </row>
    <row r="45" ht="22" customHeight="1">
      <c r="A45" t="inlineStr" s="6">
        <is>
          <t/>
        </is>
      </c>
      <c r="B45" s="5">
        <f>IF(A45="","",TEXT(A45,"aaa"))</f>
      </c>
      <c r="C45" t="inlineStr" s="5">
        <is>
          <t/>
        </is>
      </c>
      <c r="D45" t="inlineStr" s="5">
        <is>
          <t/>
        </is>
      </c>
      <c r="E45" t="inlineStr" s="7">
        <is>
          <t/>
        </is>
      </c>
      <c r="F45" t="inlineStr" s="7">
        <is>
          <t/>
        </is>
      </c>
      <c r="G45" s="8">
        <f>IF(AND(E45="",F45=""),"",F45-E45)</f>
      </c>
      <c r="H45" t="inlineStr" s="5">
        <is>
          <t/>
        </is>
      </c>
      <c r="I45" t="inlineStr" s="5">
        <is>
          <t/>
        </is>
      </c>
    </row>
    <row r="46" ht="22" customHeight="1">
      <c r="A46" t="inlineStr" s="6">
        <is>
          <t/>
        </is>
      </c>
      <c r="B46" s="5">
        <f>IF(A46="","",TEXT(A46,"aaa"))</f>
      </c>
      <c r="C46" t="inlineStr" s="5">
        <is>
          <t/>
        </is>
      </c>
      <c r="D46" t="inlineStr" s="5">
        <is>
          <t/>
        </is>
      </c>
      <c r="E46" t="inlineStr" s="7">
        <is>
          <t/>
        </is>
      </c>
      <c r="F46" t="inlineStr" s="7">
        <is>
          <t/>
        </is>
      </c>
      <c r="G46" s="8">
        <f>IF(AND(E46="",F46=""),"",F46-E46)</f>
      </c>
      <c r="H46" t="inlineStr" s="5">
        <is>
          <t/>
        </is>
      </c>
      <c r="I46" t="inlineStr" s="5">
        <is>
          <t/>
        </is>
      </c>
    </row>
    <row r="47" ht="22" customHeight="1">
      <c r="A47" t="inlineStr" s="6">
        <is>
          <t/>
        </is>
      </c>
      <c r="B47" s="5">
        <f>IF(A47="","",TEXT(A47,"aaa"))</f>
      </c>
      <c r="C47" t="inlineStr" s="5">
        <is>
          <t/>
        </is>
      </c>
      <c r="D47" t="inlineStr" s="5">
        <is>
          <t/>
        </is>
      </c>
      <c r="E47" t="inlineStr" s="7">
        <is>
          <t/>
        </is>
      </c>
      <c r="F47" t="inlineStr" s="7">
        <is>
          <t/>
        </is>
      </c>
      <c r="G47" s="8">
        <f>IF(AND(E47="",F47=""),"",F47-E47)</f>
      </c>
      <c r="H47" t="inlineStr" s="5">
        <is>
          <t/>
        </is>
      </c>
      <c r="I47" t="inlineStr" s="5">
        <is>
          <t/>
        </is>
      </c>
    </row>
    <row r="48" ht="22" customHeight="1">
      <c r="A48" t="inlineStr" s="6">
        <is>
          <t/>
        </is>
      </c>
      <c r="B48" s="5">
        <f>IF(A48="","",TEXT(A48,"aaa"))</f>
      </c>
      <c r="C48" t="inlineStr" s="5">
        <is>
          <t/>
        </is>
      </c>
      <c r="D48" t="inlineStr" s="5">
        <is>
          <t/>
        </is>
      </c>
      <c r="E48" t="inlineStr" s="7">
        <is>
          <t/>
        </is>
      </c>
      <c r="F48" t="inlineStr" s="7">
        <is>
          <t/>
        </is>
      </c>
      <c r="G48" s="8">
        <f>IF(AND(E48="",F48=""),"",F48-E48)</f>
      </c>
      <c r="H48" t="inlineStr" s="5">
        <is>
          <t/>
        </is>
      </c>
      <c r="I48" t="inlineStr" s="5">
        <is>
          <t/>
        </is>
      </c>
    </row>
    <row r="49" ht="22" customHeight="1">
      <c r="A49" t="inlineStr" s="6">
        <is>
          <t/>
        </is>
      </c>
      <c r="B49" s="5">
        <f>IF(A49="","",TEXT(A49,"aaa"))</f>
      </c>
      <c r="C49" t="inlineStr" s="5">
        <is>
          <t/>
        </is>
      </c>
      <c r="D49" t="inlineStr" s="5">
        <is>
          <t/>
        </is>
      </c>
      <c r="E49" t="inlineStr" s="7">
        <is>
          <t/>
        </is>
      </c>
      <c r="F49" t="inlineStr" s="7">
        <is>
          <t/>
        </is>
      </c>
      <c r="G49" s="8">
        <f>IF(AND(E49="",F49=""),"",F49-E49)</f>
      </c>
      <c r="H49" t="inlineStr" s="5">
        <is>
          <t/>
        </is>
      </c>
      <c r="I49" t="inlineStr" s="5">
        <is>
          <t/>
        </is>
      </c>
    </row>
    <row r="50" ht="22" customHeight="1">
      <c r="A50" t="inlineStr" s="6">
        <is>
          <t/>
        </is>
      </c>
      <c r="B50" s="5">
        <f>IF(A50="","",TEXT(A50,"aaa"))</f>
      </c>
      <c r="C50" t="inlineStr" s="5">
        <is>
          <t/>
        </is>
      </c>
      <c r="D50" t="inlineStr" s="5">
        <is>
          <t/>
        </is>
      </c>
      <c r="E50" t="inlineStr" s="7">
        <is>
          <t/>
        </is>
      </c>
      <c r="F50" t="inlineStr" s="7">
        <is>
          <t/>
        </is>
      </c>
      <c r="G50" s="8">
        <f>IF(AND(E50="",F50=""),"",F50-E50)</f>
      </c>
      <c r="H50" t="inlineStr" s="5">
        <is>
          <t/>
        </is>
      </c>
      <c r="I50" t="inlineStr" s="5">
        <is>
          <t/>
        </is>
      </c>
    </row>
    <row r="51" ht="22" customHeight="1">
      <c r="A51" t="inlineStr" s="6">
        <is>
          <t/>
        </is>
      </c>
      <c r="B51" s="5">
        <f>IF(A51="","",TEXT(A51,"aaa"))</f>
      </c>
      <c r="C51" t="inlineStr" s="5">
        <is>
          <t/>
        </is>
      </c>
      <c r="D51" t="inlineStr" s="5">
        <is>
          <t/>
        </is>
      </c>
      <c r="E51" t="inlineStr" s="7">
        <is>
          <t/>
        </is>
      </c>
      <c r="F51" t="inlineStr" s="7">
        <is>
          <t/>
        </is>
      </c>
      <c r="G51" s="8">
        <f>IF(AND(E51="",F51=""),"",F51-E51)</f>
      </c>
      <c r="H51" t="inlineStr" s="5">
        <is>
          <t/>
        </is>
      </c>
      <c r="I51" t="inlineStr" s="5">
        <is>
          <t/>
        </is>
      </c>
    </row>
    <row r="52" ht="22" customHeight="1">
      <c r="A52" t="inlineStr" s="6">
        <is>
          <t/>
        </is>
      </c>
      <c r="B52" s="5">
        <f>IF(A52="","",TEXT(A52,"aaa"))</f>
      </c>
      <c r="C52" t="inlineStr" s="5">
        <is>
          <t/>
        </is>
      </c>
      <c r="D52" t="inlineStr" s="5">
        <is>
          <t/>
        </is>
      </c>
      <c r="E52" t="inlineStr" s="7">
        <is>
          <t/>
        </is>
      </c>
      <c r="F52" t="inlineStr" s="7">
        <is>
          <t/>
        </is>
      </c>
      <c r="G52" s="8">
        <f>IF(AND(E52="",F52=""),"",F52-E52)</f>
      </c>
      <c r="H52" t="inlineStr" s="5">
        <is>
          <t/>
        </is>
      </c>
      <c r="I52" t="inlineStr" s="5">
        <is>
          <t/>
        </is>
      </c>
    </row>
    <row r="53" ht="22" customHeight="1">
      <c r="A53" t="inlineStr" s="6">
        <is>
          <t/>
        </is>
      </c>
      <c r="B53" s="5">
        <f>IF(A53="","",TEXT(A53,"aaa"))</f>
      </c>
      <c r="C53" t="inlineStr" s="5">
        <is>
          <t/>
        </is>
      </c>
      <c r="D53" t="inlineStr" s="5">
        <is>
          <t/>
        </is>
      </c>
      <c r="E53" t="inlineStr" s="7">
        <is>
          <t/>
        </is>
      </c>
      <c r="F53" t="inlineStr" s="7">
        <is>
          <t/>
        </is>
      </c>
      <c r="G53" s="8">
        <f>IF(AND(E53="",F53=""),"",F53-E53)</f>
      </c>
      <c r="H53" t="inlineStr" s="5">
        <is>
          <t/>
        </is>
      </c>
      <c r="I53" t="inlineStr" s="5">
        <is>
          <t/>
        </is>
      </c>
    </row>
    <row r="54" ht="22" customHeight="1">
      <c r="A54" t="inlineStr" s="6">
        <is>
          <t/>
        </is>
      </c>
      <c r="B54" s="5">
        <f>IF(A54="","",TEXT(A54,"aaa"))</f>
      </c>
      <c r="C54" t="inlineStr" s="5">
        <is>
          <t/>
        </is>
      </c>
      <c r="D54" t="inlineStr" s="5">
        <is>
          <t/>
        </is>
      </c>
      <c r="E54" t="inlineStr" s="7">
        <is>
          <t/>
        </is>
      </c>
      <c r="F54" t="inlineStr" s="7">
        <is>
          <t/>
        </is>
      </c>
      <c r="G54" s="8">
        <f>IF(AND(E54="",F54=""),"",F54-E54)</f>
      </c>
      <c r="H54" t="inlineStr" s="5">
        <is>
          <t/>
        </is>
      </c>
      <c r="I54" t="inlineStr" s="5">
        <is>
          <t/>
        </is>
      </c>
    </row>
    <row r="55" ht="22" customHeight="1">
      <c r="A55" t="inlineStr" s="6">
        <is>
          <t/>
        </is>
      </c>
      <c r="B55" s="5">
        <f>IF(A55="","",TEXT(A55,"aaa"))</f>
      </c>
      <c r="C55" t="inlineStr" s="5">
        <is>
          <t/>
        </is>
      </c>
      <c r="D55" t="inlineStr" s="5">
        <is>
          <t/>
        </is>
      </c>
      <c r="E55" t="inlineStr" s="7">
        <is>
          <t/>
        </is>
      </c>
      <c r="F55" t="inlineStr" s="7">
        <is>
          <t/>
        </is>
      </c>
      <c r="G55" s="8">
        <f>IF(AND(E55="",F55=""),"",F55-E55)</f>
      </c>
      <c r="H55" t="inlineStr" s="5">
        <is>
          <t/>
        </is>
      </c>
      <c r="I55" t="inlineStr" s="5">
        <is>
          <t/>
        </is>
      </c>
    </row>
    <row r="56" ht="22" customHeight="1">
      <c r="A56" t="inlineStr" s="6">
        <is>
          <t/>
        </is>
      </c>
      <c r="B56" s="5">
        <f>IF(A56="","",TEXT(A56,"aaa"))</f>
      </c>
      <c r="C56" t="inlineStr" s="5">
        <is>
          <t/>
        </is>
      </c>
      <c r="D56" t="inlineStr" s="5">
        <is>
          <t/>
        </is>
      </c>
      <c r="E56" t="inlineStr" s="7">
        <is>
          <t/>
        </is>
      </c>
      <c r="F56" t="inlineStr" s="7">
        <is>
          <t/>
        </is>
      </c>
      <c r="G56" s="8">
        <f>IF(AND(E56="",F56=""),"",F56-E56)</f>
      </c>
      <c r="H56" t="inlineStr" s="5">
        <is>
          <t/>
        </is>
      </c>
      <c r="I56" t="inlineStr" s="5">
        <is>
          <t/>
        </is>
      </c>
    </row>
    <row r="57" ht="22" customHeight="1">
      <c r="A57" t="inlineStr" s="6">
        <is>
          <t/>
        </is>
      </c>
      <c r="B57" s="5">
        <f>IF(A57="","",TEXT(A57,"aaa"))</f>
      </c>
      <c r="C57" t="inlineStr" s="5">
        <is>
          <t/>
        </is>
      </c>
      <c r="D57" t="inlineStr" s="5">
        <is>
          <t/>
        </is>
      </c>
      <c r="E57" t="inlineStr" s="7">
        <is>
          <t/>
        </is>
      </c>
      <c r="F57" t="inlineStr" s="7">
        <is>
          <t/>
        </is>
      </c>
      <c r="G57" s="8">
        <f>IF(AND(E57="",F57=""),"",F57-E57)</f>
      </c>
      <c r="H57" t="inlineStr" s="5">
        <is>
          <t/>
        </is>
      </c>
      <c r="I57" t="inlineStr" s="5">
        <is>
          <t/>
        </is>
      </c>
    </row>
    <row r="58" ht="22" customHeight="1">
      <c r="A58" t="inlineStr" s="6">
        <is>
          <t/>
        </is>
      </c>
      <c r="B58" s="5">
        <f>IF(A58="","",TEXT(A58,"aaa"))</f>
      </c>
      <c r="C58" t="inlineStr" s="5">
        <is>
          <t/>
        </is>
      </c>
      <c r="D58" t="inlineStr" s="5">
        <is>
          <t/>
        </is>
      </c>
      <c r="E58" t="inlineStr" s="7">
        <is>
          <t/>
        </is>
      </c>
      <c r="F58" t="inlineStr" s="7">
        <is>
          <t/>
        </is>
      </c>
      <c r="G58" s="8">
        <f>IF(AND(E58="",F58=""),"",F58-E58)</f>
      </c>
      <c r="H58" t="inlineStr" s="5">
        <is>
          <t/>
        </is>
      </c>
      <c r="I58" t="inlineStr" s="5">
        <is>
          <t/>
        </is>
      </c>
    </row>
    <row r="59" ht="24" customHeight="1">
      <c r="A59" t="inlineStr" s="9">
        <is>
          <t>本周小计</t>
        </is>
      </c>
      <c r="B59" t="inlineStr" s="9">
        <is>
          <t/>
        </is>
      </c>
      <c r="C59" t="inlineStr" s="9">
        <is>
          <t/>
        </is>
      </c>
      <c r="D59" t="inlineStr" s="9">
        <is>
          <t/>
        </is>
      </c>
      <c r="E59" s="9">
        <f>SUM(E44:E58)</f>
      </c>
      <c r="F59" s="9">
        <f>SUM(F44:F58)</f>
      </c>
      <c r="G59" s="9">
        <f>SUM(G44:G58)</f>
      </c>
      <c r="H59" t="inlineStr" s="9">
        <is>
          <t/>
        </is>
      </c>
      <c r="I59" t="inlineStr" s="9">
        <is>
          <t/>
        </is>
      </c>
    </row>
    <row r="60" ht="18" customHeight="1">
      <c r="A60" t="inlineStr" s="10">
        <is>
          <t/>
        </is>
      </c>
      <c r="B60" t="inlineStr" s="10">
        <is>
          <t/>
        </is>
      </c>
      <c r="C60" t="inlineStr" s="10">
        <is>
          <t/>
        </is>
      </c>
      <c r="D60" t="inlineStr" s="10">
        <is>
          <t/>
        </is>
      </c>
      <c r="E60" t="inlineStr" s="10">
        <is>
          <t/>
        </is>
      </c>
      <c r="F60" t="inlineStr" s="10">
        <is>
          <t/>
        </is>
      </c>
      <c r="G60" t="inlineStr" s="10">
        <is>
          <t/>
        </is>
      </c>
      <c r="H60" t="inlineStr" s="10">
        <is>
          <t/>
        </is>
      </c>
      <c r="I60" t="inlineStr" s="10">
        <is>
          <t/>
        </is>
      </c>
    </row>
    <row r="61" ht="18" customHeight="1">
      <c r="A61" t="inlineStr" s="10">
        <is>
          <t/>
        </is>
      </c>
      <c r="B61" t="inlineStr" s="10">
        <is>
          <t/>
        </is>
      </c>
      <c r="C61" t="inlineStr" s="10">
        <is>
          <t/>
        </is>
      </c>
      <c r="D61" t="inlineStr" s="10">
        <is>
          <t/>
        </is>
      </c>
      <c r="E61" t="inlineStr" s="10">
        <is>
          <t/>
        </is>
      </c>
      <c r="F61" t="inlineStr" s="10">
        <is>
          <t/>
        </is>
      </c>
      <c r="G61" t="inlineStr" s="10">
        <is>
          <t/>
        </is>
      </c>
      <c r="H61" t="inlineStr" s="10">
        <is>
          <t/>
        </is>
      </c>
      <c r="I61" t="inlineStr" s="10">
        <is>
          <t/>
        </is>
      </c>
    </row>
    <row r="62" ht="28" customHeight="1">
      <c r="A62" t="inlineStr" s="3">
        <is>
          <t>2026年6月｜第四周（6月22日 - 6月28日）</t>
        </is>
      </c>
      <c r="B62" t="inlineStr" s="3">
        <is>
          <t/>
        </is>
      </c>
      <c r="C62" t="inlineStr" s="3">
        <is>
          <t/>
        </is>
      </c>
      <c r="D62" t="inlineStr" s="3">
        <is>
          <t/>
        </is>
      </c>
      <c r="E62" t="inlineStr" s="3">
        <is>
          <t/>
        </is>
      </c>
      <c r="F62" t="inlineStr" s="3">
        <is>
          <t/>
        </is>
      </c>
      <c r="G62" t="inlineStr" s="3">
        <is>
          <t/>
        </is>
      </c>
      <c r="H62" t="inlineStr" s="3">
        <is>
          <t/>
        </is>
      </c>
      <c r="I62" t="inlineStr" s="3">
        <is>
          <t/>
        </is>
      </c>
    </row>
    <row r="63" ht="23" customHeight="1">
      <c r="A63" t="inlineStr" s="4">
        <is>
          <t>日期</t>
        </is>
      </c>
      <c r="B63" t="inlineStr" s="4">
        <is>
          <t>星期</t>
        </is>
      </c>
      <c r="C63" t="inlineStr" s="4">
        <is>
          <t>分类</t>
        </is>
      </c>
      <c r="D63" t="inlineStr" s="4">
        <is>
          <t>事项</t>
        </is>
      </c>
      <c r="E63" t="inlineStr" s="4">
        <is>
          <t>支出金额</t>
        </is>
      </c>
      <c r="F63" t="inlineStr" s="4">
        <is>
          <t>收入金额</t>
        </is>
      </c>
      <c r="G63" t="inlineStr" s="4">
        <is>
          <t>当笔净额</t>
        </is>
      </c>
      <c r="H63" t="inlineStr" s="4">
        <is>
          <t>支付方式</t>
        </is>
      </c>
      <c r="I63" t="inlineStr" s="4">
        <is>
          <t>备注</t>
        </is>
      </c>
    </row>
    <row r="64" ht="22" customHeight="1">
      <c r="A64" t="inlineStr" s="6">
        <is>
          <t/>
        </is>
      </c>
      <c r="B64" s="5">
        <f>IF(A64="","",TEXT(A64,"aaa"))</f>
      </c>
      <c r="C64" t="inlineStr" s="5">
        <is>
          <t/>
        </is>
      </c>
      <c r="D64" t="inlineStr" s="5">
        <is>
          <t/>
        </is>
      </c>
      <c r="E64" t="inlineStr" s="7">
        <is>
          <t/>
        </is>
      </c>
      <c r="F64" t="inlineStr" s="7">
        <is>
          <t/>
        </is>
      </c>
      <c r="G64" s="8">
        <f>IF(AND(E64="",F64=""),"",F64-E64)</f>
      </c>
      <c r="H64" t="inlineStr" s="5">
        <is>
          <t/>
        </is>
      </c>
      <c r="I64" t="inlineStr" s="5">
        <is>
          <t/>
        </is>
      </c>
    </row>
    <row r="65" ht="22" customHeight="1">
      <c r="A65" t="inlineStr" s="6">
        <is>
          <t/>
        </is>
      </c>
      <c r="B65" s="5">
        <f>IF(A65="","",TEXT(A65,"aaa"))</f>
      </c>
      <c r="C65" t="inlineStr" s="5">
        <is>
          <t/>
        </is>
      </c>
      <c r="D65" t="inlineStr" s="5">
        <is>
          <t/>
        </is>
      </c>
      <c r="E65" t="inlineStr" s="7">
        <is>
          <t/>
        </is>
      </c>
      <c r="F65" t="inlineStr" s="7">
        <is>
          <t/>
        </is>
      </c>
      <c r="G65" s="8">
        <f>IF(AND(E65="",F65=""),"",F65-E65)</f>
      </c>
      <c r="H65" t="inlineStr" s="5">
        <is>
          <t/>
        </is>
      </c>
      <c r="I65" t="inlineStr" s="5">
        <is>
          <t/>
        </is>
      </c>
    </row>
    <row r="66" ht="22" customHeight="1">
      <c r="A66" t="inlineStr" s="6">
        <is>
          <t/>
        </is>
      </c>
      <c r="B66" s="5">
        <f>IF(A66="","",TEXT(A66,"aaa"))</f>
      </c>
      <c r="C66" t="inlineStr" s="5">
        <is>
          <t/>
        </is>
      </c>
      <c r="D66" t="inlineStr" s="5">
        <is>
          <t/>
        </is>
      </c>
      <c r="E66" t="inlineStr" s="7">
        <is>
          <t/>
        </is>
      </c>
      <c r="F66" t="inlineStr" s="7">
        <is>
          <t/>
        </is>
      </c>
      <c r="G66" s="8">
        <f>IF(AND(E66="",F66=""),"",F66-E66)</f>
      </c>
      <c r="H66" t="inlineStr" s="5">
        <is>
          <t/>
        </is>
      </c>
      <c r="I66" t="inlineStr" s="5">
        <is>
          <t/>
        </is>
      </c>
    </row>
    <row r="67" ht="22" customHeight="1">
      <c r="A67" t="inlineStr" s="6">
        <is>
          <t/>
        </is>
      </c>
      <c r="B67" s="5">
        <f>IF(A67="","",TEXT(A67,"aaa"))</f>
      </c>
      <c r="C67" t="inlineStr" s="5">
        <is>
          <t/>
        </is>
      </c>
      <c r="D67" t="inlineStr" s="5">
        <is>
          <t/>
        </is>
      </c>
      <c r="E67" t="inlineStr" s="7">
        <is>
          <t/>
        </is>
      </c>
      <c r="F67" t="inlineStr" s="7">
        <is>
          <t/>
        </is>
      </c>
      <c r="G67" s="8">
        <f>IF(AND(E67="",F67=""),"",F67-E67)</f>
      </c>
      <c r="H67" t="inlineStr" s="5">
        <is>
          <t/>
        </is>
      </c>
      <c r="I67" t="inlineStr" s="5">
        <is>
          <t/>
        </is>
      </c>
    </row>
    <row r="68" ht="22" customHeight="1">
      <c r="A68" t="inlineStr" s="6">
        <is>
          <t/>
        </is>
      </c>
      <c r="B68" s="5">
        <f>IF(A68="","",TEXT(A68,"aaa"))</f>
      </c>
      <c r="C68" t="inlineStr" s="5">
        <is>
          <t/>
        </is>
      </c>
      <c r="D68" t="inlineStr" s="5">
        <is>
          <t/>
        </is>
      </c>
      <c r="E68" t="inlineStr" s="7">
        <is>
          <t/>
        </is>
      </c>
      <c r="F68" t="inlineStr" s="7">
        <is>
          <t/>
        </is>
      </c>
      <c r="G68" s="8">
        <f>IF(AND(E68="",F68=""),"",F68-E68)</f>
      </c>
      <c r="H68" t="inlineStr" s="5">
        <is>
          <t/>
        </is>
      </c>
      <c r="I68" t="inlineStr" s="5">
        <is>
          <t/>
        </is>
      </c>
    </row>
    <row r="69" ht="22" customHeight="1">
      <c r="A69" t="inlineStr" s="6">
        <is>
          <t/>
        </is>
      </c>
      <c r="B69" s="5">
        <f>IF(A69="","",TEXT(A69,"aaa"))</f>
      </c>
      <c r="C69" t="inlineStr" s="5">
        <is>
          <t/>
        </is>
      </c>
      <c r="D69" t="inlineStr" s="5">
        <is>
          <t/>
        </is>
      </c>
      <c r="E69" t="inlineStr" s="7">
        <is>
          <t/>
        </is>
      </c>
      <c r="F69" t="inlineStr" s="7">
        <is>
          <t/>
        </is>
      </c>
      <c r="G69" s="8">
        <f>IF(AND(E69="",F69=""),"",F69-E69)</f>
      </c>
      <c r="H69" t="inlineStr" s="5">
        <is>
          <t/>
        </is>
      </c>
      <c r="I69" t="inlineStr" s="5">
        <is>
          <t/>
        </is>
      </c>
    </row>
    <row r="70" ht="22" customHeight="1">
      <c r="A70" t="inlineStr" s="6">
        <is>
          <t/>
        </is>
      </c>
      <c r="B70" s="5">
        <f>IF(A70="","",TEXT(A70,"aaa"))</f>
      </c>
      <c r="C70" t="inlineStr" s="5">
        <is>
          <t/>
        </is>
      </c>
      <c r="D70" t="inlineStr" s="5">
        <is>
          <t/>
        </is>
      </c>
      <c r="E70" t="inlineStr" s="7">
        <is>
          <t/>
        </is>
      </c>
      <c r="F70" t="inlineStr" s="7">
        <is>
          <t/>
        </is>
      </c>
      <c r="G70" s="8">
        <f>IF(AND(E70="",F70=""),"",F70-E70)</f>
      </c>
      <c r="H70" t="inlineStr" s="5">
        <is>
          <t/>
        </is>
      </c>
      <c r="I70" t="inlineStr" s="5">
        <is>
          <t/>
        </is>
      </c>
    </row>
    <row r="71" ht="22" customHeight="1">
      <c r="A71" t="inlineStr" s="6">
        <is>
          <t/>
        </is>
      </c>
      <c r="B71" s="5">
        <f>IF(A71="","",TEXT(A71,"aaa"))</f>
      </c>
      <c r="C71" t="inlineStr" s="5">
        <is>
          <t/>
        </is>
      </c>
      <c r="D71" t="inlineStr" s="5">
        <is>
          <t/>
        </is>
      </c>
      <c r="E71" t="inlineStr" s="7">
        <is>
          <t/>
        </is>
      </c>
      <c r="F71" t="inlineStr" s="7">
        <is>
          <t/>
        </is>
      </c>
      <c r="G71" s="8">
        <f>IF(AND(E71="",F71=""),"",F71-E71)</f>
      </c>
      <c r="H71" t="inlineStr" s="5">
        <is>
          <t/>
        </is>
      </c>
      <c r="I71" t="inlineStr" s="5">
        <is>
          <t/>
        </is>
      </c>
    </row>
    <row r="72" ht="22" customHeight="1">
      <c r="A72" t="inlineStr" s="6">
        <is>
          <t/>
        </is>
      </c>
      <c r="B72" s="5">
        <f>IF(A72="","",TEXT(A72,"aaa"))</f>
      </c>
      <c r="C72" t="inlineStr" s="5">
        <is>
          <t/>
        </is>
      </c>
      <c r="D72" t="inlineStr" s="5">
        <is>
          <t/>
        </is>
      </c>
      <c r="E72" t="inlineStr" s="7">
        <is>
          <t/>
        </is>
      </c>
      <c r="F72" t="inlineStr" s="7">
        <is>
          <t/>
        </is>
      </c>
      <c r="G72" s="8">
        <f>IF(AND(E72="",F72=""),"",F72-E72)</f>
      </c>
      <c r="H72" t="inlineStr" s="5">
        <is>
          <t/>
        </is>
      </c>
      <c r="I72" t="inlineStr" s="5">
        <is>
          <t/>
        </is>
      </c>
    </row>
    <row r="73" ht="22" customHeight="1">
      <c r="A73" t="inlineStr" s="6">
        <is>
          <t/>
        </is>
      </c>
      <c r="B73" s="5">
        <f>IF(A73="","",TEXT(A73,"aaa"))</f>
      </c>
      <c r="C73" t="inlineStr" s="5">
        <is>
          <t/>
        </is>
      </c>
      <c r="D73" t="inlineStr" s="5">
        <is>
          <t/>
        </is>
      </c>
      <c r="E73" t="inlineStr" s="7">
        <is>
          <t/>
        </is>
      </c>
      <c r="F73" t="inlineStr" s="7">
        <is>
          <t/>
        </is>
      </c>
      <c r="G73" s="8">
        <f>IF(AND(E73="",F73=""),"",F73-E73)</f>
      </c>
      <c r="H73" t="inlineStr" s="5">
        <is>
          <t/>
        </is>
      </c>
      <c r="I73" t="inlineStr" s="5">
        <is>
          <t/>
        </is>
      </c>
    </row>
    <row r="74" ht="22" customHeight="1">
      <c r="A74" t="inlineStr" s="6">
        <is>
          <t/>
        </is>
      </c>
      <c r="B74" s="5">
        <f>IF(A74="","",TEXT(A74,"aaa"))</f>
      </c>
      <c r="C74" t="inlineStr" s="5">
        <is>
          <t/>
        </is>
      </c>
      <c r="D74" t="inlineStr" s="5">
        <is>
          <t/>
        </is>
      </c>
      <c r="E74" t="inlineStr" s="7">
        <is>
          <t/>
        </is>
      </c>
      <c r="F74" t="inlineStr" s="7">
        <is>
          <t/>
        </is>
      </c>
      <c r="G74" s="8">
        <f>IF(AND(E74="",F74=""),"",F74-E74)</f>
      </c>
      <c r="H74" t="inlineStr" s="5">
        <is>
          <t/>
        </is>
      </c>
      <c r="I74" t="inlineStr" s="5">
        <is>
          <t/>
        </is>
      </c>
    </row>
    <row r="75" ht="22" customHeight="1">
      <c r="A75" t="inlineStr" s="6">
        <is>
          <t/>
        </is>
      </c>
      <c r="B75" s="5">
        <f>IF(A75="","",TEXT(A75,"aaa"))</f>
      </c>
      <c r="C75" t="inlineStr" s="5">
        <is>
          <t/>
        </is>
      </c>
      <c r="D75" t="inlineStr" s="5">
        <is>
          <t/>
        </is>
      </c>
      <c r="E75" t="inlineStr" s="7">
        <is>
          <t/>
        </is>
      </c>
      <c r="F75" t="inlineStr" s="7">
        <is>
          <t/>
        </is>
      </c>
      <c r="G75" s="8">
        <f>IF(AND(E75="",F75=""),"",F75-E75)</f>
      </c>
      <c r="H75" t="inlineStr" s="5">
        <is>
          <t/>
        </is>
      </c>
      <c r="I75" t="inlineStr" s="5">
        <is>
          <t/>
        </is>
      </c>
    </row>
    <row r="76" ht="22" customHeight="1">
      <c r="A76" t="inlineStr" s="6">
        <is>
          <t/>
        </is>
      </c>
      <c r="B76" s="5">
        <f>IF(A76="","",TEXT(A76,"aaa"))</f>
      </c>
      <c r="C76" t="inlineStr" s="5">
        <is>
          <t/>
        </is>
      </c>
      <c r="D76" t="inlineStr" s="5">
        <is>
          <t/>
        </is>
      </c>
      <c r="E76" t="inlineStr" s="7">
        <is>
          <t/>
        </is>
      </c>
      <c r="F76" t="inlineStr" s="7">
        <is>
          <t/>
        </is>
      </c>
      <c r="G76" s="8">
        <f>IF(AND(E76="",F76=""),"",F76-E76)</f>
      </c>
      <c r="H76" t="inlineStr" s="5">
        <is>
          <t/>
        </is>
      </c>
      <c r="I76" t="inlineStr" s="5">
        <is>
          <t/>
        </is>
      </c>
    </row>
    <row r="77" ht="22" customHeight="1">
      <c r="A77" t="inlineStr" s="6">
        <is>
          <t/>
        </is>
      </c>
      <c r="B77" s="5">
        <f>IF(A77="","",TEXT(A77,"aaa"))</f>
      </c>
      <c r="C77" t="inlineStr" s="5">
        <is>
          <t/>
        </is>
      </c>
      <c r="D77" t="inlineStr" s="5">
        <is>
          <t/>
        </is>
      </c>
      <c r="E77" t="inlineStr" s="7">
        <is>
          <t/>
        </is>
      </c>
      <c r="F77" t="inlineStr" s="7">
        <is>
          <t/>
        </is>
      </c>
      <c r="G77" s="8">
        <f>IF(AND(E77="",F77=""),"",F77-E77)</f>
      </c>
      <c r="H77" t="inlineStr" s="5">
        <is>
          <t/>
        </is>
      </c>
      <c r="I77" t="inlineStr" s="5">
        <is>
          <t/>
        </is>
      </c>
    </row>
    <row r="78" ht="22" customHeight="1">
      <c r="A78" t="inlineStr" s="6">
        <is>
          <t/>
        </is>
      </c>
      <c r="B78" s="5">
        <f>IF(A78="","",TEXT(A78,"aaa"))</f>
      </c>
      <c r="C78" t="inlineStr" s="5">
        <is>
          <t/>
        </is>
      </c>
      <c r="D78" t="inlineStr" s="5">
        <is>
          <t/>
        </is>
      </c>
      <c r="E78" t="inlineStr" s="7">
        <is>
          <t/>
        </is>
      </c>
      <c r="F78" t="inlineStr" s="7">
        <is>
          <t/>
        </is>
      </c>
      <c r="G78" s="8">
        <f>IF(AND(E78="",F78=""),"",F78-E78)</f>
      </c>
      <c r="H78" t="inlineStr" s="5">
        <is>
          <t/>
        </is>
      </c>
      <c r="I78" t="inlineStr" s="5">
        <is>
          <t/>
        </is>
      </c>
    </row>
    <row r="79" ht="24" customHeight="1">
      <c r="A79" t="inlineStr" s="9">
        <is>
          <t>本周小计</t>
        </is>
      </c>
      <c r="B79" t="inlineStr" s="9">
        <is>
          <t/>
        </is>
      </c>
      <c r="C79" t="inlineStr" s="9">
        <is>
          <t/>
        </is>
      </c>
      <c r="D79" t="inlineStr" s="9">
        <is>
          <t/>
        </is>
      </c>
      <c r="E79" s="9">
        <f>SUM(E64:E78)</f>
      </c>
      <c r="F79" s="9">
        <f>SUM(F64:F78)</f>
      </c>
      <c r="G79" s="9">
        <f>SUM(G64:G78)</f>
      </c>
      <c r="H79" t="inlineStr" s="9">
        <is>
          <t/>
        </is>
      </c>
      <c r="I79" t="inlineStr" s="9">
        <is>
          <t/>
        </is>
      </c>
    </row>
    <row r="80" ht="18" customHeight="1">
      <c r="A80" t="inlineStr" s="10">
        <is>
          <t/>
        </is>
      </c>
      <c r="B80" t="inlineStr" s="10">
        <is>
          <t/>
        </is>
      </c>
      <c r="C80" t="inlineStr" s="10">
        <is>
          <t/>
        </is>
      </c>
      <c r="D80" t="inlineStr" s="10">
        <is>
          <t/>
        </is>
      </c>
      <c r="E80" t="inlineStr" s="10">
        <is>
          <t/>
        </is>
      </c>
      <c r="F80" t="inlineStr" s="10">
        <is>
          <t/>
        </is>
      </c>
      <c r="G80" t="inlineStr" s="10">
        <is>
          <t/>
        </is>
      </c>
      <c r="H80" t="inlineStr" s="10">
        <is>
          <t/>
        </is>
      </c>
      <c r="I80" t="inlineStr" s="10">
        <is>
          <t/>
        </is>
      </c>
    </row>
    <row r="81" ht="18" customHeight="1">
      <c r="A81" t="inlineStr" s="10">
        <is>
          <t/>
        </is>
      </c>
      <c r="B81" t="inlineStr" s="10">
        <is>
          <t/>
        </is>
      </c>
      <c r="C81" t="inlineStr" s="10">
        <is>
          <t/>
        </is>
      </c>
      <c r="D81" t="inlineStr" s="10">
        <is>
          <t/>
        </is>
      </c>
      <c r="E81" t="inlineStr" s="10">
        <is>
          <t/>
        </is>
      </c>
      <c r="F81" t="inlineStr" s="10">
        <is>
          <t/>
        </is>
      </c>
      <c r="G81" t="inlineStr" s="10">
        <is>
          <t/>
        </is>
      </c>
      <c r="H81" t="inlineStr" s="10">
        <is>
          <t/>
        </is>
      </c>
      <c r="I81" t="inlineStr" s="10">
        <is>
          <t/>
        </is>
      </c>
    </row>
    <row r="82" ht="28" customHeight="1">
      <c r="A82" t="inlineStr" s="3">
        <is>
          <t>2026年6月-7月｜第五周（6月29日 - 7月5日）</t>
        </is>
      </c>
      <c r="B82" t="inlineStr" s="3">
        <is>
          <t/>
        </is>
      </c>
      <c r="C82" t="inlineStr" s="3">
        <is>
          <t/>
        </is>
      </c>
      <c r="D82" t="inlineStr" s="3">
        <is>
          <t/>
        </is>
      </c>
      <c r="E82" t="inlineStr" s="3">
        <is>
          <t/>
        </is>
      </c>
      <c r="F82" t="inlineStr" s="3">
        <is>
          <t/>
        </is>
      </c>
      <c r="G82" t="inlineStr" s="3">
        <is>
          <t/>
        </is>
      </c>
      <c r="H82" t="inlineStr" s="3">
        <is>
          <t/>
        </is>
      </c>
      <c r="I82" t="inlineStr" s="3">
        <is>
          <t/>
        </is>
      </c>
    </row>
    <row r="83" ht="23" customHeight="1">
      <c r="A83" t="inlineStr" s="4">
        <is>
          <t>日期</t>
        </is>
      </c>
      <c r="B83" t="inlineStr" s="4">
        <is>
          <t>星期</t>
        </is>
      </c>
      <c r="C83" t="inlineStr" s="4">
        <is>
          <t>分类</t>
        </is>
      </c>
      <c r="D83" t="inlineStr" s="4">
        <is>
          <t>事项</t>
        </is>
      </c>
      <c r="E83" t="inlineStr" s="4">
        <is>
          <t>支出金额</t>
        </is>
      </c>
      <c r="F83" t="inlineStr" s="4">
        <is>
          <t>收入金额</t>
        </is>
      </c>
      <c r="G83" t="inlineStr" s="4">
        <is>
          <t>当笔净额</t>
        </is>
      </c>
      <c r="H83" t="inlineStr" s="4">
        <is>
          <t>支付方式</t>
        </is>
      </c>
      <c r="I83" t="inlineStr" s="4">
        <is>
          <t>备注</t>
        </is>
      </c>
    </row>
    <row r="84" ht="22" customHeight="1">
      <c r="A84" t="inlineStr" s="6">
        <is>
          <t/>
        </is>
      </c>
      <c r="B84" s="5">
        <f>IF(A84="","",TEXT(A84,"aaa"))</f>
      </c>
      <c r="C84" t="inlineStr" s="5">
        <is>
          <t/>
        </is>
      </c>
      <c r="D84" t="inlineStr" s="5">
        <is>
          <t/>
        </is>
      </c>
      <c r="E84" t="inlineStr" s="7">
        <is>
          <t/>
        </is>
      </c>
      <c r="F84" t="inlineStr" s="7">
        <is>
          <t/>
        </is>
      </c>
      <c r="G84" s="8">
        <f>IF(AND(E84="",F84=""),"",F84-E84)</f>
      </c>
      <c r="H84" t="inlineStr" s="5">
        <is>
          <t/>
        </is>
      </c>
      <c r="I84" t="inlineStr" s="5">
        <is>
          <t/>
        </is>
      </c>
    </row>
    <row r="85" ht="22" customHeight="1">
      <c r="A85" t="inlineStr" s="6">
        <is>
          <t/>
        </is>
      </c>
      <c r="B85" s="5">
        <f>IF(A85="","",TEXT(A85,"aaa"))</f>
      </c>
      <c r="C85" t="inlineStr" s="5">
        <is>
          <t/>
        </is>
      </c>
      <c r="D85" t="inlineStr" s="5">
        <is>
          <t/>
        </is>
      </c>
      <c r="E85" t="inlineStr" s="7">
        <is>
          <t/>
        </is>
      </c>
      <c r="F85" t="inlineStr" s="7">
        <is>
          <t/>
        </is>
      </c>
      <c r="G85" s="8">
        <f>IF(AND(E85="",F85=""),"",F85-E85)</f>
      </c>
      <c r="H85" t="inlineStr" s="5">
        <is>
          <t/>
        </is>
      </c>
      <c r="I85" t="inlineStr" s="5">
        <is>
          <t/>
        </is>
      </c>
    </row>
    <row r="86" ht="22" customHeight="1">
      <c r="A86" t="inlineStr" s="6">
        <is>
          <t/>
        </is>
      </c>
      <c r="B86" s="5">
        <f>IF(A86="","",TEXT(A86,"aaa"))</f>
      </c>
      <c r="C86" t="inlineStr" s="5">
        <is>
          <t/>
        </is>
      </c>
      <c r="D86" t="inlineStr" s="5">
        <is>
          <t/>
        </is>
      </c>
      <c r="E86" t="inlineStr" s="7">
        <is>
          <t/>
        </is>
      </c>
      <c r="F86" t="inlineStr" s="7">
        <is>
          <t/>
        </is>
      </c>
      <c r="G86" s="8">
        <f>IF(AND(E86="",F86=""),"",F86-E86)</f>
      </c>
      <c r="H86" t="inlineStr" s="5">
        <is>
          <t/>
        </is>
      </c>
      <c r="I86" t="inlineStr" s="5">
        <is>
          <t/>
        </is>
      </c>
    </row>
    <row r="87" ht="22" customHeight="1">
      <c r="A87" t="inlineStr" s="6">
        <is>
          <t/>
        </is>
      </c>
      <c r="B87" s="5">
        <f>IF(A87="","",TEXT(A87,"aaa"))</f>
      </c>
      <c r="C87" t="inlineStr" s="5">
        <is>
          <t/>
        </is>
      </c>
      <c r="D87" t="inlineStr" s="5">
        <is>
          <t/>
        </is>
      </c>
      <c r="E87" t="inlineStr" s="7">
        <is>
          <t/>
        </is>
      </c>
      <c r="F87" t="inlineStr" s="7">
        <is>
          <t/>
        </is>
      </c>
      <c r="G87" s="8">
        <f>IF(AND(E87="",F87=""),"",F87-E87)</f>
      </c>
      <c r="H87" t="inlineStr" s="5">
        <is>
          <t/>
        </is>
      </c>
      <c r="I87" t="inlineStr" s="5">
        <is>
          <t/>
        </is>
      </c>
    </row>
    <row r="88" ht="22" customHeight="1">
      <c r="A88" t="inlineStr" s="6">
        <is>
          <t/>
        </is>
      </c>
      <c r="B88" s="5">
        <f>IF(A88="","",TEXT(A88,"aaa"))</f>
      </c>
      <c r="C88" t="inlineStr" s="5">
        <is>
          <t/>
        </is>
      </c>
      <c r="D88" t="inlineStr" s="5">
        <is>
          <t/>
        </is>
      </c>
      <c r="E88" t="inlineStr" s="7">
        <is>
          <t/>
        </is>
      </c>
      <c r="F88" t="inlineStr" s="7">
        <is>
          <t/>
        </is>
      </c>
      <c r="G88" s="8">
        <f>IF(AND(E88="",F88=""),"",F88-E88)</f>
      </c>
      <c r="H88" t="inlineStr" s="5">
        <is>
          <t/>
        </is>
      </c>
      <c r="I88" t="inlineStr" s="5">
        <is>
          <t/>
        </is>
      </c>
    </row>
    <row r="89" ht="22" customHeight="1">
      <c r="A89" t="inlineStr" s="6">
        <is>
          <t/>
        </is>
      </c>
      <c r="B89" s="5">
        <f>IF(A89="","",TEXT(A89,"aaa"))</f>
      </c>
      <c r="C89" t="inlineStr" s="5">
        <is>
          <t/>
        </is>
      </c>
      <c r="D89" t="inlineStr" s="5">
        <is>
          <t/>
        </is>
      </c>
      <c r="E89" t="inlineStr" s="7">
        <is>
          <t/>
        </is>
      </c>
      <c r="F89" t="inlineStr" s="7">
        <is>
          <t/>
        </is>
      </c>
      <c r="G89" s="8">
        <f>IF(AND(E89="",F89=""),"",F89-E89)</f>
      </c>
      <c r="H89" t="inlineStr" s="5">
        <is>
          <t/>
        </is>
      </c>
      <c r="I89" t="inlineStr" s="5">
        <is>
          <t/>
        </is>
      </c>
    </row>
    <row r="90" ht="22" customHeight="1">
      <c r="A90" t="inlineStr" s="6">
        <is>
          <t/>
        </is>
      </c>
      <c r="B90" s="5">
        <f>IF(A90="","",TEXT(A90,"aaa"))</f>
      </c>
      <c r="C90" t="inlineStr" s="5">
        <is>
          <t/>
        </is>
      </c>
      <c r="D90" t="inlineStr" s="5">
        <is>
          <t/>
        </is>
      </c>
      <c r="E90" t="inlineStr" s="7">
        <is>
          <t/>
        </is>
      </c>
      <c r="F90" t="inlineStr" s="7">
        <is>
          <t/>
        </is>
      </c>
      <c r="G90" s="8">
        <f>IF(AND(E90="",F90=""),"",F90-E90)</f>
      </c>
      <c r="H90" t="inlineStr" s="5">
        <is>
          <t/>
        </is>
      </c>
      <c r="I90" t="inlineStr" s="5">
        <is>
          <t/>
        </is>
      </c>
    </row>
    <row r="91" ht="22" customHeight="1">
      <c r="A91" t="inlineStr" s="6">
        <is>
          <t/>
        </is>
      </c>
      <c r="B91" s="5">
        <f>IF(A91="","",TEXT(A91,"aaa"))</f>
      </c>
      <c r="C91" t="inlineStr" s="5">
        <is>
          <t/>
        </is>
      </c>
      <c r="D91" t="inlineStr" s="5">
        <is>
          <t/>
        </is>
      </c>
      <c r="E91" t="inlineStr" s="7">
        <is>
          <t/>
        </is>
      </c>
      <c r="F91" t="inlineStr" s="7">
        <is>
          <t/>
        </is>
      </c>
      <c r="G91" s="8">
        <f>IF(AND(E91="",F91=""),"",F91-E91)</f>
      </c>
      <c r="H91" t="inlineStr" s="5">
        <is>
          <t/>
        </is>
      </c>
      <c r="I91" t="inlineStr" s="5">
        <is>
          <t/>
        </is>
      </c>
    </row>
    <row r="92" ht="22" customHeight="1">
      <c r="A92" t="inlineStr" s="6">
        <is>
          <t/>
        </is>
      </c>
      <c r="B92" s="5">
        <f>IF(A92="","",TEXT(A92,"aaa"))</f>
      </c>
      <c r="C92" t="inlineStr" s="5">
        <is>
          <t/>
        </is>
      </c>
      <c r="D92" t="inlineStr" s="5">
        <is>
          <t/>
        </is>
      </c>
      <c r="E92" t="inlineStr" s="7">
        <is>
          <t/>
        </is>
      </c>
      <c r="F92" t="inlineStr" s="7">
        <is>
          <t/>
        </is>
      </c>
      <c r="G92" s="8">
        <f>IF(AND(E92="",F92=""),"",F92-E92)</f>
      </c>
      <c r="H92" t="inlineStr" s="5">
        <is>
          <t/>
        </is>
      </c>
      <c r="I92" t="inlineStr" s="5">
        <is>
          <t/>
        </is>
      </c>
    </row>
    <row r="93" ht="22" customHeight="1">
      <c r="A93" t="inlineStr" s="6">
        <is>
          <t/>
        </is>
      </c>
      <c r="B93" s="5">
        <f>IF(A93="","",TEXT(A93,"aaa"))</f>
      </c>
      <c r="C93" t="inlineStr" s="5">
        <is>
          <t/>
        </is>
      </c>
      <c r="D93" t="inlineStr" s="5">
        <is>
          <t/>
        </is>
      </c>
      <c r="E93" t="inlineStr" s="7">
        <is>
          <t/>
        </is>
      </c>
      <c r="F93" t="inlineStr" s="7">
        <is>
          <t/>
        </is>
      </c>
      <c r="G93" s="8">
        <f>IF(AND(E93="",F93=""),"",F93-E93)</f>
      </c>
      <c r="H93" t="inlineStr" s="5">
        <is>
          <t/>
        </is>
      </c>
      <c r="I93" t="inlineStr" s="5">
        <is>
          <t/>
        </is>
      </c>
    </row>
    <row r="94" ht="22" customHeight="1">
      <c r="A94" t="inlineStr" s="6">
        <is>
          <t/>
        </is>
      </c>
      <c r="B94" s="5">
        <f>IF(A94="","",TEXT(A94,"aaa"))</f>
      </c>
      <c r="C94" t="inlineStr" s="5">
        <is>
          <t/>
        </is>
      </c>
      <c r="D94" t="inlineStr" s="5">
        <is>
          <t/>
        </is>
      </c>
      <c r="E94" t="inlineStr" s="7">
        <is>
          <t/>
        </is>
      </c>
      <c r="F94" t="inlineStr" s="7">
        <is>
          <t/>
        </is>
      </c>
      <c r="G94" s="8">
        <f>IF(AND(E94="",F94=""),"",F94-E94)</f>
      </c>
      <c r="H94" t="inlineStr" s="5">
        <is>
          <t/>
        </is>
      </c>
      <c r="I94" t="inlineStr" s="5">
        <is>
          <t/>
        </is>
      </c>
    </row>
    <row r="95" ht="22" customHeight="1">
      <c r="A95" t="inlineStr" s="6">
        <is>
          <t/>
        </is>
      </c>
      <c r="B95" s="5">
        <f>IF(A95="","",TEXT(A95,"aaa"))</f>
      </c>
      <c r="C95" t="inlineStr" s="5">
        <is>
          <t/>
        </is>
      </c>
      <c r="D95" t="inlineStr" s="5">
        <is>
          <t/>
        </is>
      </c>
      <c r="E95" t="inlineStr" s="7">
        <is>
          <t/>
        </is>
      </c>
      <c r="F95" t="inlineStr" s="7">
        <is>
          <t/>
        </is>
      </c>
      <c r="G95" s="8">
        <f>IF(AND(E95="",F95=""),"",F95-E95)</f>
      </c>
      <c r="H95" t="inlineStr" s="5">
        <is>
          <t/>
        </is>
      </c>
      <c r="I95" t="inlineStr" s="5">
        <is>
          <t/>
        </is>
      </c>
    </row>
    <row r="96" ht="22" customHeight="1">
      <c r="A96" t="inlineStr" s="6">
        <is>
          <t/>
        </is>
      </c>
      <c r="B96" s="5">
        <f>IF(A96="","",TEXT(A96,"aaa"))</f>
      </c>
      <c r="C96" t="inlineStr" s="5">
        <is>
          <t/>
        </is>
      </c>
      <c r="D96" t="inlineStr" s="5">
        <is>
          <t/>
        </is>
      </c>
      <c r="E96" t="inlineStr" s="7">
        <is>
          <t/>
        </is>
      </c>
      <c r="F96" t="inlineStr" s="7">
        <is>
          <t/>
        </is>
      </c>
      <c r="G96" s="8">
        <f>IF(AND(E96="",F96=""),"",F96-E96)</f>
      </c>
      <c r="H96" t="inlineStr" s="5">
        <is>
          <t/>
        </is>
      </c>
      <c r="I96" t="inlineStr" s="5">
        <is>
          <t/>
        </is>
      </c>
    </row>
    <row r="97" ht="22" customHeight="1">
      <c r="A97" t="inlineStr" s="6">
        <is>
          <t/>
        </is>
      </c>
      <c r="B97" s="5">
        <f>IF(A97="","",TEXT(A97,"aaa"))</f>
      </c>
      <c r="C97" t="inlineStr" s="5">
        <is>
          <t/>
        </is>
      </c>
      <c r="D97" t="inlineStr" s="5">
        <is>
          <t/>
        </is>
      </c>
      <c r="E97" t="inlineStr" s="7">
        <is>
          <t/>
        </is>
      </c>
      <c r="F97" t="inlineStr" s="7">
        <is>
          <t/>
        </is>
      </c>
      <c r="G97" s="8">
        <f>IF(AND(E97="",F97=""),"",F97-E97)</f>
      </c>
      <c r="H97" t="inlineStr" s="5">
        <is>
          <t/>
        </is>
      </c>
      <c r="I97" t="inlineStr" s="5">
        <is>
          <t/>
        </is>
      </c>
    </row>
    <row r="98" ht="22" customHeight="1">
      <c r="A98" t="inlineStr" s="6">
        <is>
          <t/>
        </is>
      </c>
      <c r="B98" s="5">
        <f>IF(A98="","",TEXT(A98,"aaa"))</f>
      </c>
      <c r="C98" t="inlineStr" s="5">
        <is>
          <t/>
        </is>
      </c>
      <c r="D98" t="inlineStr" s="5">
        <is>
          <t/>
        </is>
      </c>
      <c r="E98" t="inlineStr" s="7">
        <is>
          <t/>
        </is>
      </c>
      <c r="F98" t="inlineStr" s="7">
        <is>
          <t/>
        </is>
      </c>
      <c r="G98" s="8">
        <f>IF(AND(E98="",F98=""),"",F98-E98)</f>
      </c>
      <c r="H98" t="inlineStr" s="5">
        <is>
          <t/>
        </is>
      </c>
      <c r="I98" t="inlineStr" s="5">
        <is>
          <t/>
        </is>
      </c>
    </row>
    <row r="99" ht="24" customHeight="1">
      <c r="A99" t="inlineStr" s="9">
        <is>
          <t>本周小计</t>
        </is>
      </c>
      <c r="B99" t="inlineStr" s="9">
        <is>
          <t/>
        </is>
      </c>
      <c r="C99" t="inlineStr" s="9">
        <is>
          <t/>
        </is>
      </c>
      <c r="D99" t="inlineStr" s="9">
        <is>
          <t/>
        </is>
      </c>
      <c r="E99" s="9">
        <f>SUM(E84:E98)</f>
      </c>
      <c r="F99" s="9">
        <f>SUM(F84:F98)</f>
      </c>
      <c r="G99" s="9">
        <f>SUM(G84:G98)</f>
      </c>
      <c r="H99" t="inlineStr" s="9">
        <is>
          <t/>
        </is>
      </c>
      <c r="I99" t="inlineStr" s="9">
        <is>
          <t/>
        </is>
      </c>
    </row>
    <row r="100" ht="18" customHeight="1">
      <c r="A100" t="inlineStr" s="10">
        <is>
          <t/>
        </is>
      </c>
      <c r="B100" t="inlineStr" s="10">
        <is>
          <t/>
        </is>
      </c>
      <c r="C100" t="inlineStr" s="10">
        <is>
          <t/>
        </is>
      </c>
      <c r="D100" t="inlineStr" s="10">
        <is>
          <t/>
        </is>
      </c>
      <c r="E100" t="inlineStr" s="10">
        <is>
          <t/>
        </is>
      </c>
      <c r="F100" t="inlineStr" s="10">
        <is>
          <t/>
        </is>
      </c>
      <c r="G100" t="inlineStr" s="10">
        <is>
          <t/>
        </is>
      </c>
      <c r="H100" t="inlineStr" s="10">
        <is>
          <t/>
        </is>
      </c>
      <c r="I100" t="inlineStr" s="10">
        <is>
          <t/>
        </is>
      </c>
    </row>
    <row r="101" ht="18" customHeight="1">
      <c r="A101" t="inlineStr" s="10">
        <is>
          <t/>
        </is>
      </c>
      <c r="B101" t="inlineStr" s="10">
        <is>
          <t/>
        </is>
      </c>
      <c r="C101" t="inlineStr" s="10">
        <is>
          <t/>
        </is>
      </c>
      <c r="D101" t="inlineStr" s="10">
        <is>
          <t/>
        </is>
      </c>
      <c r="E101" t="inlineStr" s="10">
        <is>
          <t/>
        </is>
      </c>
      <c r="F101" t="inlineStr" s="10">
        <is>
          <t/>
        </is>
      </c>
      <c r="G101" t="inlineStr" s="10">
        <is>
          <t/>
        </is>
      </c>
      <c r="H101" t="inlineStr" s="10">
        <is>
          <t/>
        </is>
      </c>
      <c r="I101" t="inlineStr" s="10">
        <is>
          <t/>
        </is>
      </c>
    </row>
    <row r="102" ht="28" customHeight="1">
      <c r="A102" t="inlineStr" s="3">
        <is>
          <t>2026年7月｜第一周（7月6日 - 7月12日）</t>
        </is>
      </c>
      <c r="B102" t="inlineStr" s="3">
        <is>
          <t/>
        </is>
      </c>
      <c r="C102" t="inlineStr" s="3">
        <is>
          <t/>
        </is>
      </c>
      <c r="D102" t="inlineStr" s="3">
        <is>
          <t/>
        </is>
      </c>
      <c r="E102" t="inlineStr" s="3">
        <is>
          <t/>
        </is>
      </c>
      <c r="F102" t="inlineStr" s="3">
        <is>
          <t/>
        </is>
      </c>
      <c r="G102" t="inlineStr" s="3">
        <is>
          <t/>
        </is>
      </c>
      <c r="H102" t="inlineStr" s="3">
        <is>
          <t/>
        </is>
      </c>
      <c r="I102" t="inlineStr" s="3">
        <is>
          <t/>
        </is>
      </c>
    </row>
    <row r="103" ht="23" customHeight="1">
      <c r="A103" t="inlineStr" s="4">
        <is>
          <t>日期</t>
        </is>
      </c>
      <c r="B103" t="inlineStr" s="4">
        <is>
          <t>星期</t>
        </is>
      </c>
      <c r="C103" t="inlineStr" s="4">
        <is>
          <t>分类</t>
        </is>
      </c>
      <c r="D103" t="inlineStr" s="4">
        <is>
          <t>事项</t>
        </is>
      </c>
      <c r="E103" t="inlineStr" s="4">
        <is>
          <t>支出金额</t>
        </is>
      </c>
      <c r="F103" t="inlineStr" s="4">
        <is>
          <t>收入金额</t>
        </is>
      </c>
      <c r="G103" t="inlineStr" s="4">
        <is>
          <t>当笔净额</t>
        </is>
      </c>
      <c r="H103" t="inlineStr" s="4">
        <is>
          <t>支付方式</t>
        </is>
      </c>
      <c r="I103" t="inlineStr" s="4">
        <is>
          <t>备注</t>
        </is>
      </c>
    </row>
    <row r="104" ht="22" customHeight="1">
      <c r="A104" t="inlineStr" s="6">
        <is>
          <t/>
        </is>
      </c>
      <c r="B104" s="5">
        <f>IF(A104="","",TEXT(A104,"aaa"))</f>
      </c>
      <c r="C104" t="inlineStr" s="5">
        <is>
          <t/>
        </is>
      </c>
      <c r="D104" t="inlineStr" s="5">
        <is>
          <t/>
        </is>
      </c>
      <c r="E104" t="inlineStr" s="7">
        <is>
          <t/>
        </is>
      </c>
      <c r="F104" t="inlineStr" s="7">
        <is>
          <t/>
        </is>
      </c>
      <c r="G104" s="8">
        <f>IF(AND(E104="",F104=""),"",F104-E104)</f>
      </c>
      <c r="H104" t="inlineStr" s="5">
        <is>
          <t/>
        </is>
      </c>
      <c r="I104" t="inlineStr" s="5">
        <is>
          <t/>
        </is>
      </c>
    </row>
    <row r="105" ht="22" customHeight="1">
      <c r="A105" t="inlineStr" s="6">
        <is>
          <t/>
        </is>
      </c>
      <c r="B105" s="5">
        <f>IF(A105="","",TEXT(A105,"aaa"))</f>
      </c>
      <c r="C105" t="inlineStr" s="5">
        <is>
          <t/>
        </is>
      </c>
      <c r="D105" t="inlineStr" s="5">
        <is>
          <t/>
        </is>
      </c>
      <c r="E105" t="inlineStr" s="7">
        <is>
          <t/>
        </is>
      </c>
      <c r="F105" t="inlineStr" s="7">
        <is>
          <t/>
        </is>
      </c>
      <c r="G105" s="8">
        <f>IF(AND(E105="",F105=""),"",F105-E105)</f>
      </c>
      <c r="H105" t="inlineStr" s="5">
        <is>
          <t/>
        </is>
      </c>
      <c r="I105" t="inlineStr" s="5">
        <is>
          <t/>
        </is>
      </c>
    </row>
    <row r="106" ht="22" customHeight="1">
      <c r="A106" t="inlineStr" s="6">
        <is>
          <t/>
        </is>
      </c>
      <c r="B106" s="5">
        <f>IF(A106="","",TEXT(A106,"aaa"))</f>
      </c>
      <c r="C106" t="inlineStr" s="5">
        <is>
          <t/>
        </is>
      </c>
      <c r="D106" t="inlineStr" s="5">
        <is>
          <t/>
        </is>
      </c>
      <c r="E106" t="inlineStr" s="7">
        <is>
          <t/>
        </is>
      </c>
      <c r="F106" t="inlineStr" s="7">
        <is>
          <t/>
        </is>
      </c>
      <c r="G106" s="8">
        <f>IF(AND(E106="",F106=""),"",F106-E106)</f>
      </c>
      <c r="H106" t="inlineStr" s="5">
        <is>
          <t/>
        </is>
      </c>
      <c r="I106" t="inlineStr" s="5">
        <is>
          <t/>
        </is>
      </c>
    </row>
    <row r="107" ht="22" customHeight="1">
      <c r="A107" t="inlineStr" s="6">
        <is>
          <t/>
        </is>
      </c>
      <c r="B107" s="5">
        <f>IF(A107="","",TEXT(A107,"aaa"))</f>
      </c>
      <c r="C107" t="inlineStr" s="5">
        <is>
          <t/>
        </is>
      </c>
      <c r="D107" t="inlineStr" s="5">
        <is>
          <t/>
        </is>
      </c>
      <c r="E107" t="inlineStr" s="7">
        <is>
          <t/>
        </is>
      </c>
      <c r="F107" t="inlineStr" s="7">
        <is>
          <t/>
        </is>
      </c>
      <c r="G107" s="8">
        <f>IF(AND(E107="",F107=""),"",F107-E107)</f>
      </c>
      <c r="H107" t="inlineStr" s="5">
        <is>
          <t/>
        </is>
      </c>
      <c r="I107" t="inlineStr" s="5">
        <is>
          <t/>
        </is>
      </c>
    </row>
    <row r="108" ht="22" customHeight="1">
      <c r="A108" t="inlineStr" s="6">
        <is>
          <t/>
        </is>
      </c>
      <c r="B108" s="5">
        <f>IF(A108="","",TEXT(A108,"aaa"))</f>
      </c>
      <c r="C108" t="inlineStr" s="5">
        <is>
          <t/>
        </is>
      </c>
      <c r="D108" t="inlineStr" s="5">
        <is>
          <t/>
        </is>
      </c>
      <c r="E108" t="inlineStr" s="7">
        <is>
          <t/>
        </is>
      </c>
      <c r="F108" t="inlineStr" s="7">
        <is>
          <t/>
        </is>
      </c>
      <c r="G108" s="8">
        <f>IF(AND(E108="",F108=""),"",F108-E108)</f>
      </c>
      <c r="H108" t="inlineStr" s="5">
        <is>
          <t/>
        </is>
      </c>
      <c r="I108" t="inlineStr" s="5">
        <is>
          <t/>
        </is>
      </c>
    </row>
    <row r="109" ht="22" customHeight="1">
      <c r="A109" t="inlineStr" s="6">
        <is>
          <t/>
        </is>
      </c>
      <c r="B109" s="5">
        <f>IF(A109="","",TEXT(A109,"aaa"))</f>
      </c>
      <c r="C109" t="inlineStr" s="5">
        <is>
          <t/>
        </is>
      </c>
      <c r="D109" t="inlineStr" s="5">
        <is>
          <t/>
        </is>
      </c>
      <c r="E109" t="inlineStr" s="7">
        <is>
          <t/>
        </is>
      </c>
      <c r="F109" t="inlineStr" s="7">
        <is>
          <t/>
        </is>
      </c>
      <c r="G109" s="8">
        <f>IF(AND(E109="",F109=""),"",F109-E109)</f>
      </c>
      <c r="H109" t="inlineStr" s="5">
        <is>
          <t/>
        </is>
      </c>
      <c r="I109" t="inlineStr" s="5">
        <is>
          <t/>
        </is>
      </c>
    </row>
    <row r="110" ht="22" customHeight="1">
      <c r="A110" t="inlineStr" s="6">
        <is>
          <t/>
        </is>
      </c>
      <c r="B110" s="5">
        <f>IF(A110="","",TEXT(A110,"aaa"))</f>
      </c>
      <c r="C110" t="inlineStr" s="5">
        <is>
          <t/>
        </is>
      </c>
      <c r="D110" t="inlineStr" s="5">
        <is>
          <t/>
        </is>
      </c>
      <c r="E110" t="inlineStr" s="7">
        <is>
          <t/>
        </is>
      </c>
      <c r="F110" t="inlineStr" s="7">
        <is>
          <t/>
        </is>
      </c>
      <c r="G110" s="8">
        <f>IF(AND(E110="",F110=""),"",F110-E110)</f>
      </c>
      <c r="H110" t="inlineStr" s="5">
        <is>
          <t/>
        </is>
      </c>
      <c r="I110" t="inlineStr" s="5">
        <is>
          <t/>
        </is>
      </c>
    </row>
    <row r="111" ht="22" customHeight="1">
      <c r="A111" t="inlineStr" s="6">
        <is>
          <t/>
        </is>
      </c>
      <c r="B111" s="5">
        <f>IF(A111="","",TEXT(A111,"aaa"))</f>
      </c>
      <c r="C111" t="inlineStr" s="5">
        <is>
          <t/>
        </is>
      </c>
      <c r="D111" t="inlineStr" s="5">
        <is>
          <t/>
        </is>
      </c>
      <c r="E111" t="inlineStr" s="7">
        <is>
          <t/>
        </is>
      </c>
      <c r="F111" t="inlineStr" s="7">
        <is>
          <t/>
        </is>
      </c>
      <c r="G111" s="8">
        <f>IF(AND(E111="",F111=""),"",F111-E111)</f>
      </c>
      <c r="H111" t="inlineStr" s="5">
        <is>
          <t/>
        </is>
      </c>
      <c r="I111" t="inlineStr" s="5">
        <is>
          <t/>
        </is>
      </c>
    </row>
    <row r="112" ht="22" customHeight="1">
      <c r="A112" t="inlineStr" s="6">
        <is>
          <t/>
        </is>
      </c>
      <c r="B112" s="5">
        <f>IF(A112="","",TEXT(A112,"aaa"))</f>
      </c>
      <c r="C112" t="inlineStr" s="5">
        <is>
          <t/>
        </is>
      </c>
      <c r="D112" t="inlineStr" s="5">
        <is>
          <t/>
        </is>
      </c>
      <c r="E112" t="inlineStr" s="7">
        <is>
          <t/>
        </is>
      </c>
      <c r="F112" t="inlineStr" s="7">
        <is>
          <t/>
        </is>
      </c>
      <c r="G112" s="8">
        <f>IF(AND(E112="",F112=""),"",F112-E112)</f>
      </c>
      <c r="H112" t="inlineStr" s="5">
        <is>
          <t/>
        </is>
      </c>
      <c r="I112" t="inlineStr" s="5">
        <is>
          <t/>
        </is>
      </c>
    </row>
    <row r="113" ht="22" customHeight="1">
      <c r="A113" t="inlineStr" s="6">
        <is>
          <t/>
        </is>
      </c>
      <c r="B113" s="5">
        <f>IF(A113="","",TEXT(A113,"aaa"))</f>
      </c>
      <c r="C113" t="inlineStr" s="5">
        <is>
          <t/>
        </is>
      </c>
      <c r="D113" t="inlineStr" s="5">
        <is>
          <t/>
        </is>
      </c>
      <c r="E113" t="inlineStr" s="7">
        <is>
          <t/>
        </is>
      </c>
      <c r="F113" t="inlineStr" s="7">
        <is>
          <t/>
        </is>
      </c>
      <c r="G113" s="8">
        <f>IF(AND(E113="",F113=""),"",F113-E113)</f>
      </c>
      <c r="H113" t="inlineStr" s="5">
        <is>
          <t/>
        </is>
      </c>
      <c r="I113" t="inlineStr" s="5">
        <is>
          <t/>
        </is>
      </c>
    </row>
    <row r="114" ht="22" customHeight="1">
      <c r="A114" t="inlineStr" s="6">
        <is>
          <t/>
        </is>
      </c>
      <c r="B114" s="5">
        <f>IF(A114="","",TEXT(A114,"aaa"))</f>
      </c>
      <c r="C114" t="inlineStr" s="5">
        <is>
          <t/>
        </is>
      </c>
      <c r="D114" t="inlineStr" s="5">
        <is>
          <t/>
        </is>
      </c>
      <c r="E114" t="inlineStr" s="7">
        <is>
          <t/>
        </is>
      </c>
      <c r="F114" t="inlineStr" s="7">
        <is>
          <t/>
        </is>
      </c>
      <c r="G114" s="8">
        <f>IF(AND(E114="",F114=""),"",F114-E114)</f>
      </c>
      <c r="H114" t="inlineStr" s="5">
        <is>
          <t/>
        </is>
      </c>
      <c r="I114" t="inlineStr" s="5">
        <is>
          <t/>
        </is>
      </c>
    </row>
    <row r="115" ht="22" customHeight="1">
      <c r="A115" t="inlineStr" s="6">
        <is>
          <t/>
        </is>
      </c>
      <c r="B115" s="5">
        <f>IF(A115="","",TEXT(A115,"aaa"))</f>
      </c>
      <c r="C115" t="inlineStr" s="5">
        <is>
          <t/>
        </is>
      </c>
      <c r="D115" t="inlineStr" s="5">
        <is>
          <t/>
        </is>
      </c>
      <c r="E115" t="inlineStr" s="7">
        <is>
          <t/>
        </is>
      </c>
      <c r="F115" t="inlineStr" s="7">
        <is>
          <t/>
        </is>
      </c>
      <c r="G115" s="8">
        <f>IF(AND(E115="",F115=""),"",F115-E115)</f>
      </c>
      <c r="H115" t="inlineStr" s="5">
        <is>
          <t/>
        </is>
      </c>
      <c r="I115" t="inlineStr" s="5">
        <is>
          <t/>
        </is>
      </c>
    </row>
    <row r="116" ht="22" customHeight="1">
      <c r="A116" t="inlineStr" s="6">
        <is>
          <t/>
        </is>
      </c>
      <c r="B116" s="5">
        <f>IF(A116="","",TEXT(A116,"aaa"))</f>
      </c>
      <c r="C116" t="inlineStr" s="5">
        <is>
          <t/>
        </is>
      </c>
      <c r="D116" t="inlineStr" s="5">
        <is>
          <t/>
        </is>
      </c>
      <c r="E116" t="inlineStr" s="7">
        <is>
          <t/>
        </is>
      </c>
      <c r="F116" t="inlineStr" s="7">
        <is>
          <t/>
        </is>
      </c>
      <c r="G116" s="8">
        <f>IF(AND(E116="",F116=""),"",F116-E116)</f>
      </c>
      <c r="H116" t="inlineStr" s="5">
        <is>
          <t/>
        </is>
      </c>
      <c r="I116" t="inlineStr" s="5">
        <is>
          <t/>
        </is>
      </c>
    </row>
    <row r="117" ht="22" customHeight="1">
      <c r="A117" t="inlineStr" s="6">
        <is>
          <t/>
        </is>
      </c>
      <c r="B117" s="5">
        <f>IF(A117="","",TEXT(A117,"aaa"))</f>
      </c>
      <c r="C117" t="inlineStr" s="5">
        <is>
          <t/>
        </is>
      </c>
      <c r="D117" t="inlineStr" s="5">
        <is>
          <t/>
        </is>
      </c>
      <c r="E117" t="inlineStr" s="7">
        <is>
          <t/>
        </is>
      </c>
      <c r="F117" t="inlineStr" s="7">
        <is>
          <t/>
        </is>
      </c>
      <c r="G117" s="8">
        <f>IF(AND(E117="",F117=""),"",F117-E117)</f>
      </c>
      <c r="H117" t="inlineStr" s="5">
        <is>
          <t/>
        </is>
      </c>
      <c r="I117" t="inlineStr" s="5">
        <is>
          <t/>
        </is>
      </c>
    </row>
    <row r="118" ht="22" customHeight="1">
      <c r="A118" t="inlineStr" s="6">
        <is>
          <t/>
        </is>
      </c>
      <c r="B118" s="5">
        <f>IF(A118="","",TEXT(A118,"aaa"))</f>
      </c>
      <c r="C118" t="inlineStr" s="5">
        <is>
          <t/>
        </is>
      </c>
      <c r="D118" t="inlineStr" s="5">
        <is>
          <t/>
        </is>
      </c>
      <c r="E118" t="inlineStr" s="7">
        <is>
          <t/>
        </is>
      </c>
      <c r="F118" t="inlineStr" s="7">
        <is>
          <t/>
        </is>
      </c>
      <c r="G118" s="8">
        <f>IF(AND(E118="",F118=""),"",F118-E118)</f>
      </c>
      <c r="H118" t="inlineStr" s="5">
        <is>
          <t/>
        </is>
      </c>
      <c r="I118" t="inlineStr" s="5">
        <is>
          <t/>
        </is>
      </c>
    </row>
    <row r="119" ht="24" customHeight="1">
      <c r="A119" t="inlineStr" s="9">
        <is>
          <t>本周小计</t>
        </is>
      </c>
      <c r="B119" t="inlineStr" s="9">
        <is>
          <t/>
        </is>
      </c>
      <c r="C119" t="inlineStr" s="9">
        <is>
          <t/>
        </is>
      </c>
      <c r="D119" t="inlineStr" s="9">
        <is>
          <t/>
        </is>
      </c>
      <c r="E119" s="9">
        <f>SUM(E104:E118)</f>
      </c>
      <c r="F119" s="9">
        <f>SUM(F104:F118)</f>
      </c>
      <c r="G119" s="9">
        <f>SUM(G104:G118)</f>
      </c>
      <c r="H119" t="inlineStr" s="9">
        <is>
          <t/>
        </is>
      </c>
      <c r="I119" t="inlineStr" s="9">
        <is>
          <t/>
        </is>
      </c>
    </row>
    <row r="120" ht="18" customHeight="1">
      <c r="A120" t="inlineStr" s="10">
        <is>
          <t/>
        </is>
      </c>
      <c r="B120" t="inlineStr" s="10">
        <is>
          <t/>
        </is>
      </c>
      <c r="C120" t="inlineStr" s="10">
        <is>
          <t/>
        </is>
      </c>
      <c r="D120" t="inlineStr" s="10">
        <is>
          <t/>
        </is>
      </c>
      <c r="E120" t="inlineStr" s="10">
        <is>
          <t/>
        </is>
      </c>
      <c r="F120" t="inlineStr" s="10">
        <is>
          <t/>
        </is>
      </c>
      <c r="G120" t="inlineStr" s="10">
        <is>
          <t/>
        </is>
      </c>
      <c r="H120" t="inlineStr" s="10">
        <is>
          <t/>
        </is>
      </c>
      <c r="I120" t="inlineStr" s="10">
        <is>
          <t/>
        </is>
      </c>
    </row>
    <row r="121" ht="18" customHeight="1">
      <c r="A121" t="inlineStr" s="10">
        <is>
          <t/>
        </is>
      </c>
      <c r="B121" t="inlineStr" s="10">
        <is>
          <t/>
        </is>
      </c>
      <c r="C121" t="inlineStr" s="10">
        <is>
          <t/>
        </is>
      </c>
      <c r="D121" t="inlineStr" s="10">
        <is>
          <t/>
        </is>
      </c>
      <c r="E121" t="inlineStr" s="10">
        <is>
          <t/>
        </is>
      </c>
      <c r="F121" t="inlineStr" s="10">
        <is>
          <t/>
        </is>
      </c>
      <c r="G121" t="inlineStr" s="10">
        <is>
          <t/>
        </is>
      </c>
      <c r="H121" t="inlineStr" s="10">
        <is>
          <t/>
        </is>
      </c>
      <c r="I121" t="inlineStr" s="10">
        <is>
          <t/>
        </is>
      </c>
    </row>
    <row r="122" ht="28" customHeight="1">
      <c r="A122" t="inlineStr" s="3">
        <is>
          <t>2026年7月｜第二周（7月13日 - 7月19日）</t>
        </is>
      </c>
      <c r="B122" t="inlineStr" s="3">
        <is>
          <t/>
        </is>
      </c>
      <c r="C122" t="inlineStr" s="3">
        <is>
          <t/>
        </is>
      </c>
      <c r="D122" t="inlineStr" s="3">
        <is>
          <t/>
        </is>
      </c>
      <c r="E122" t="inlineStr" s="3">
        <is>
          <t/>
        </is>
      </c>
      <c r="F122" t="inlineStr" s="3">
        <is>
          <t/>
        </is>
      </c>
      <c r="G122" t="inlineStr" s="3">
        <is>
          <t/>
        </is>
      </c>
      <c r="H122" t="inlineStr" s="3">
        <is>
          <t/>
        </is>
      </c>
      <c r="I122" t="inlineStr" s="3">
        <is>
          <t/>
        </is>
      </c>
    </row>
    <row r="123" ht="23" customHeight="1">
      <c r="A123" t="inlineStr" s="4">
        <is>
          <t>日期</t>
        </is>
      </c>
      <c r="B123" t="inlineStr" s="4">
        <is>
          <t>星期</t>
        </is>
      </c>
      <c r="C123" t="inlineStr" s="4">
        <is>
          <t>分类</t>
        </is>
      </c>
      <c r="D123" t="inlineStr" s="4">
        <is>
          <t>事项</t>
        </is>
      </c>
      <c r="E123" t="inlineStr" s="4">
        <is>
          <t>支出金额</t>
        </is>
      </c>
      <c r="F123" t="inlineStr" s="4">
        <is>
          <t>收入金额</t>
        </is>
      </c>
      <c r="G123" t="inlineStr" s="4">
        <is>
          <t>当笔净额</t>
        </is>
      </c>
      <c r="H123" t="inlineStr" s="4">
        <is>
          <t>支付方式</t>
        </is>
      </c>
      <c r="I123" t="inlineStr" s="4">
        <is>
          <t>备注</t>
        </is>
      </c>
    </row>
    <row r="124" ht="22" customHeight="1">
      <c r="A124" t="inlineStr" s="6">
        <is>
          <t/>
        </is>
      </c>
      <c r="B124" s="5">
        <f>IF(A124="","",TEXT(A124,"aaa"))</f>
      </c>
      <c r="C124" t="inlineStr" s="5">
        <is>
          <t/>
        </is>
      </c>
      <c r="D124" t="inlineStr" s="5">
        <is>
          <t/>
        </is>
      </c>
      <c r="E124" t="inlineStr" s="7">
        <is>
          <t/>
        </is>
      </c>
      <c r="F124" t="inlineStr" s="7">
        <is>
          <t/>
        </is>
      </c>
      <c r="G124" s="8">
        <f>IF(AND(E124="",F124=""),"",F124-E124)</f>
      </c>
      <c r="H124" t="inlineStr" s="5">
        <is>
          <t/>
        </is>
      </c>
      <c r="I124" t="inlineStr" s="5">
        <is>
          <t/>
        </is>
      </c>
    </row>
    <row r="125" ht="22" customHeight="1">
      <c r="A125" t="inlineStr" s="6">
        <is>
          <t/>
        </is>
      </c>
      <c r="B125" s="5">
        <f>IF(A125="","",TEXT(A125,"aaa"))</f>
      </c>
      <c r="C125" t="inlineStr" s="5">
        <is>
          <t/>
        </is>
      </c>
      <c r="D125" t="inlineStr" s="5">
        <is>
          <t/>
        </is>
      </c>
      <c r="E125" t="inlineStr" s="7">
        <is>
          <t/>
        </is>
      </c>
      <c r="F125" t="inlineStr" s="7">
        <is>
          <t/>
        </is>
      </c>
      <c r="G125" s="8">
        <f>IF(AND(E125="",F125=""),"",F125-E125)</f>
      </c>
      <c r="H125" t="inlineStr" s="5">
        <is>
          <t/>
        </is>
      </c>
      <c r="I125" t="inlineStr" s="5">
        <is>
          <t/>
        </is>
      </c>
    </row>
    <row r="126" ht="22" customHeight="1">
      <c r="A126" t="inlineStr" s="6">
        <is>
          <t/>
        </is>
      </c>
      <c r="B126" s="5">
        <f>IF(A126="","",TEXT(A126,"aaa"))</f>
      </c>
      <c r="C126" t="inlineStr" s="5">
        <is>
          <t/>
        </is>
      </c>
      <c r="D126" t="inlineStr" s="5">
        <is>
          <t/>
        </is>
      </c>
      <c r="E126" t="inlineStr" s="7">
        <is>
          <t/>
        </is>
      </c>
      <c r="F126" t="inlineStr" s="7">
        <is>
          <t/>
        </is>
      </c>
      <c r="G126" s="8">
        <f>IF(AND(E126="",F126=""),"",F126-E126)</f>
      </c>
      <c r="H126" t="inlineStr" s="5">
        <is>
          <t/>
        </is>
      </c>
      <c r="I126" t="inlineStr" s="5">
        <is>
          <t/>
        </is>
      </c>
    </row>
    <row r="127" ht="22" customHeight="1">
      <c r="A127" t="inlineStr" s="6">
        <is>
          <t/>
        </is>
      </c>
      <c r="B127" s="5">
        <f>IF(A127="","",TEXT(A127,"aaa"))</f>
      </c>
      <c r="C127" t="inlineStr" s="5">
        <is>
          <t/>
        </is>
      </c>
      <c r="D127" t="inlineStr" s="5">
        <is>
          <t/>
        </is>
      </c>
      <c r="E127" t="inlineStr" s="7">
        <is>
          <t/>
        </is>
      </c>
      <c r="F127" t="inlineStr" s="7">
        <is>
          <t/>
        </is>
      </c>
      <c r="G127" s="8">
        <f>IF(AND(E127="",F127=""),"",F127-E127)</f>
      </c>
      <c r="H127" t="inlineStr" s="5">
        <is>
          <t/>
        </is>
      </c>
      <c r="I127" t="inlineStr" s="5">
        <is>
          <t/>
        </is>
      </c>
    </row>
    <row r="128" ht="22" customHeight="1">
      <c r="A128" t="inlineStr" s="6">
        <is>
          <t/>
        </is>
      </c>
      <c r="B128" s="5">
        <f>IF(A128="","",TEXT(A128,"aaa"))</f>
      </c>
      <c r="C128" t="inlineStr" s="5">
        <is>
          <t/>
        </is>
      </c>
      <c r="D128" t="inlineStr" s="5">
        <is>
          <t/>
        </is>
      </c>
      <c r="E128" t="inlineStr" s="7">
        <is>
          <t/>
        </is>
      </c>
      <c r="F128" t="inlineStr" s="7">
        <is>
          <t/>
        </is>
      </c>
      <c r="G128" s="8">
        <f>IF(AND(E128="",F128=""),"",F128-E128)</f>
      </c>
      <c r="H128" t="inlineStr" s="5">
        <is>
          <t/>
        </is>
      </c>
      <c r="I128" t="inlineStr" s="5">
        <is>
          <t/>
        </is>
      </c>
    </row>
    <row r="129" ht="22" customHeight="1">
      <c r="A129" t="inlineStr" s="6">
        <is>
          <t/>
        </is>
      </c>
      <c r="B129" s="5">
        <f>IF(A129="","",TEXT(A129,"aaa"))</f>
      </c>
      <c r="C129" t="inlineStr" s="5">
        <is>
          <t/>
        </is>
      </c>
      <c r="D129" t="inlineStr" s="5">
        <is>
          <t/>
        </is>
      </c>
      <c r="E129" t="inlineStr" s="7">
        <is>
          <t/>
        </is>
      </c>
      <c r="F129" t="inlineStr" s="7">
        <is>
          <t/>
        </is>
      </c>
      <c r="G129" s="8">
        <f>IF(AND(E129="",F129=""),"",F129-E129)</f>
      </c>
      <c r="H129" t="inlineStr" s="5">
        <is>
          <t/>
        </is>
      </c>
      <c r="I129" t="inlineStr" s="5">
        <is>
          <t/>
        </is>
      </c>
    </row>
    <row r="130" ht="22" customHeight="1">
      <c r="A130" t="inlineStr" s="6">
        <is>
          <t/>
        </is>
      </c>
      <c r="B130" s="5">
        <f>IF(A130="","",TEXT(A130,"aaa"))</f>
      </c>
      <c r="C130" t="inlineStr" s="5">
        <is>
          <t/>
        </is>
      </c>
      <c r="D130" t="inlineStr" s="5">
        <is>
          <t/>
        </is>
      </c>
      <c r="E130" t="inlineStr" s="7">
        <is>
          <t/>
        </is>
      </c>
      <c r="F130" t="inlineStr" s="7">
        <is>
          <t/>
        </is>
      </c>
      <c r="G130" s="8">
        <f>IF(AND(E130="",F130=""),"",F130-E130)</f>
      </c>
      <c r="H130" t="inlineStr" s="5">
        <is>
          <t/>
        </is>
      </c>
      <c r="I130" t="inlineStr" s="5">
        <is>
          <t/>
        </is>
      </c>
    </row>
    <row r="131" ht="22" customHeight="1">
      <c r="A131" t="inlineStr" s="6">
        <is>
          <t/>
        </is>
      </c>
      <c r="B131" s="5">
        <f>IF(A131="","",TEXT(A131,"aaa"))</f>
      </c>
      <c r="C131" t="inlineStr" s="5">
        <is>
          <t/>
        </is>
      </c>
      <c r="D131" t="inlineStr" s="5">
        <is>
          <t/>
        </is>
      </c>
      <c r="E131" t="inlineStr" s="7">
        <is>
          <t/>
        </is>
      </c>
      <c r="F131" t="inlineStr" s="7">
        <is>
          <t/>
        </is>
      </c>
      <c r="G131" s="8">
        <f>IF(AND(E131="",F131=""),"",F131-E131)</f>
      </c>
      <c r="H131" t="inlineStr" s="5">
        <is>
          <t/>
        </is>
      </c>
      <c r="I131" t="inlineStr" s="5">
        <is>
          <t/>
        </is>
      </c>
    </row>
    <row r="132" ht="22" customHeight="1">
      <c r="A132" t="inlineStr" s="6">
        <is>
          <t/>
        </is>
      </c>
      <c r="B132" s="5">
        <f>IF(A132="","",TEXT(A132,"aaa"))</f>
      </c>
      <c r="C132" t="inlineStr" s="5">
        <is>
          <t/>
        </is>
      </c>
      <c r="D132" t="inlineStr" s="5">
        <is>
          <t/>
        </is>
      </c>
      <c r="E132" t="inlineStr" s="7">
        <is>
          <t/>
        </is>
      </c>
      <c r="F132" t="inlineStr" s="7">
        <is>
          <t/>
        </is>
      </c>
      <c r="G132" s="8">
        <f>IF(AND(E132="",F132=""),"",F132-E132)</f>
      </c>
      <c r="H132" t="inlineStr" s="5">
        <is>
          <t/>
        </is>
      </c>
      <c r="I132" t="inlineStr" s="5">
        <is>
          <t/>
        </is>
      </c>
    </row>
    <row r="133" ht="22" customHeight="1">
      <c r="A133" t="inlineStr" s="6">
        <is>
          <t/>
        </is>
      </c>
      <c r="B133" s="5">
        <f>IF(A133="","",TEXT(A133,"aaa"))</f>
      </c>
      <c r="C133" t="inlineStr" s="5">
        <is>
          <t/>
        </is>
      </c>
      <c r="D133" t="inlineStr" s="5">
        <is>
          <t/>
        </is>
      </c>
      <c r="E133" t="inlineStr" s="7">
        <is>
          <t/>
        </is>
      </c>
      <c r="F133" t="inlineStr" s="7">
        <is>
          <t/>
        </is>
      </c>
      <c r="G133" s="8">
        <f>IF(AND(E133="",F133=""),"",F133-E133)</f>
      </c>
      <c r="H133" t="inlineStr" s="5">
        <is>
          <t/>
        </is>
      </c>
      <c r="I133" t="inlineStr" s="5">
        <is>
          <t/>
        </is>
      </c>
    </row>
    <row r="134" ht="22" customHeight="1">
      <c r="A134" t="inlineStr" s="6">
        <is>
          <t/>
        </is>
      </c>
      <c r="B134" s="5">
        <f>IF(A134="","",TEXT(A134,"aaa"))</f>
      </c>
      <c r="C134" t="inlineStr" s="5">
        <is>
          <t/>
        </is>
      </c>
      <c r="D134" t="inlineStr" s="5">
        <is>
          <t/>
        </is>
      </c>
      <c r="E134" t="inlineStr" s="7">
        <is>
          <t/>
        </is>
      </c>
      <c r="F134" t="inlineStr" s="7">
        <is>
          <t/>
        </is>
      </c>
      <c r="G134" s="8">
        <f>IF(AND(E134="",F134=""),"",F134-E134)</f>
      </c>
      <c r="H134" t="inlineStr" s="5">
        <is>
          <t/>
        </is>
      </c>
      <c r="I134" t="inlineStr" s="5">
        <is>
          <t/>
        </is>
      </c>
    </row>
    <row r="135" ht="22" customHeight="1">
      <c r="A135" t="inlineStr" s="6">
        <is>
          <t/>
        </is>
      </c>
      <c r="B135" s="5">
        <f>IF(A135="","",TEXT(A135,"aaa"))</f>
      </c>
      <c r="C135" t="inlineStr" s="5">
        <is>
          <t/>
        </is>
      </c>
      <c r="D135" t="inlineStr" s="5">
        <is>
          <t/>
        </is>
      </c>
      <c r="E135" t="inlineStr" s="7">
        <is>
          <t/>
        </is>
      </c>
      <c r="F135" t="inlineStr" s="7">
        <is>
          <t/>
        </is>
      </c>
      <c r="G135" s="8">
        <f>IF(AND(E135="",F135=""),"",F135-E135)</f>
      </c>
      <c r="H135" t="inlineStr" s="5">
        <is>
          <t/>
        </is>
      </c>
      <c r="I135" t="inlineStr" s="5">
        <is>
          <t/>
        </is>
      </c>
    </row>
    <row r="136" ht="22" customHeight="1">
      <c r="A136" t="inlineStr" s="6">
        <is>
          <t/>
        </is>
      </c>
      <c r="B136" s="5">
        <f>IF(A136="","",TEXT(A136,"aaa"))</f>
      </c>
      <c r="C136" t="inlineStr" s="5">
        <is>
          <t/>
        </is>
      </c>
      <c r="D136" t="inlineStr" s="5">
        <is>
          <t/>
        </is>
      </c>
      <c r="E136" t="inlineStr" s="7">
        <is>
          <t/>
        </is>
      </c>
      <c r="F136" t="inlineStr" s="7">
        <is>
          <t/>
        </is>
      </c>
      <c r="G136" s="8">
        <f>IF(AND(E136="",F136=""),"",F136-E136)</f>
      </c>
      <c r="H136" t="inlineStr" s="5">
        <is>
          <t/>
        </is>
      </c>
      <c r="I136" t="inlineStr" s="5">
        <is>
          <t/>
        </is>
      </c>
    </row>
    <row r="137" ht="22" customHeight="1">
      <c r="A137" t="inlineStr" s="6">
        <is>
          <t/>
        </is>
      </c>
      <c r="B137" s="5">
        <f>IF(A137="","",TEXT(A137,"aaa"))</f>
      </c>
      <c r="C137" t="inlineStr" s="5">
        <is>
          <t/>
        </is>
      </c>
      <c r="D137" t="inlineStr" s="5">
        <is>
          <t/>
        </is>
      </c>
      <c r="E137" t="inlineStr" s="7">
        <is>
          <t/>
        </is>
      </c>
      <c r="F137" t="inlineStr" s="7">
        <is>
          <t/>
        </is>
      </c>
      <c r="G137" s="8">
        <f>IF(AND(E137="",F137=""),"",F137-E137)</f>
      </c>
      <c r="H137" t="inlineStr" s="5">
        <is>
          <t/>
        </is>
      </c>
      <c r="I137" t="inlineStr" s="5">
        <is>
          <t/>
        </is>
      </c>
    </row>
    <row r="138" ht="22" customHeight="1">
      <c r="A138" t="inlineStr" s="6">
        <is>
          <t/>
        </is>
      </c>
      <c r="B138" s="5">
        <f>IF(A138="","",TEXT(A138,"aaa"))</f>
      </c>
      <c r="C138" t="inlineStr" s="5">
        <is>
          <t/>
        </is>
      </c>
      <c r="D138" t="inlineStr" s="5">
        <is>
          <t/>
        </is>
      </c>
      <c r="E138" t="inlineStr" s="7">
        <is>
          <t/>
        </is>
      </c>
      <c r="F138" t="inlineStr" s="7">
        <is>
          <t/>
        </is>
      </c>
      <c r="G138" s="8">
        <f>IF(AND(E138="",F138=""),"",F138-E138)</f>
      </c>
      <c r="H138" t="inlineStr" s="5">
        <is>
          <t/>
        </is>
      </c>
      <c r="I138" t="inlineStr" s="5">
        <is>
          <t/>
        </is>
      </c>
    </row>
    <row r="139" ht="24" customHeight="1">
      <c r="A139" t="inlineStr" s="9">
        <is>
          <t>本周小计</t>
        </is>
      </c>
      <c r="B139" t="inlineStr" s="9">
        <is>
          <t/>
        </is>
      </c>
      <c r="C139" t="inlineStr" s="9">
        <is>
          <t/>
        </is>
      </c>
      <c r="D139" t="inlineStr" s="9">
        <is>
          <t/>
        </is>
      </c>
      <c r="E139" s="9">
        <f>SUM(E124:E138)</f>
      </c>
      <c r="F139" s="9">
        <f>SUM(F124:F138)</f>
      </c>
      <c r="G139" s="9">
        <f>SUM(G124:G138)</f>
      </c>
      <c r="H139" t="inlineStr" s="9">
        <is>
          <t/>
        </is>
      </c>
      <c r="I139" t="inlineStr" s="9">
        <is>
          <t/>
        </is>
      </c>
    </row>
    <row r="140" ht="18" customHeight="1">
      <c r="A140" t="inlineStr" s="10">
        <is>
          <t/>
        </is>
      </c>
      <c r="B140" t="inlineStr" s="10">
        <is>
          <t/>
        </is>
      </c>
      <c r="C140" t="inlineStr" s="10">
        <is>
          <t/>
        </is>
      </c>
      <c r="D140" t="inlineStr" s="10">
        <is>
          <t/>
        </is>
      </c>
      <c r="E140" t="inlineStr" s="10">
        <is>
          <t/>
        </is>
      </c>
      <c r="F140" t="inlineStr" s="10">
        <is>
          <t/>
        </is>
      </c>
      <c r="G140" t="inlineStr" s="10">
        <is>
          <t/>
        </is>
      </c>
      <c r="H140" t="inlineStr" s="10">
        <is>
          <t/>
        </is>
      </c>
      <c r="I140" t="inlineStr" s="10">
        <is>
          <t/>
        </is>
      </c>
    </row>
    <row r="141" ht="18" customHeight="1">
      <c r="A141" t="inlineStr" s="10">
        <is>
          <t/>
        </is>
      </c>
      <c r="B141" t="inlineStr" s="10">
        <is>
          <t/>
        </is>
      </c>
      <c r="C141" t="inlineStr" s="10">
        <is>
          <t/>
        </is>
      </c>
      <c r="D141" t="inlineStr" s="10">
        <is>
          <t/>
        </is>
      </c>
      <c r="E141" t="inlineStr" s="10">
        <is>
          <t/>
        </is>
      </c>
      <c r="F141" t="inlineStr" s="10">
        <is>
          <t/>
        </is>
      </c>
      <c r="G141" t="inlineStr" s="10">
        <is>
          <t/>
        </is>
      </c>
      <c r="H141" t="inlineStr" s="10">
        <is>
          <t/>
        </is>
      </c>
      <c r="I141" t="inlineStr" s="10">
        <is>
          <t/>
        </is>
      </c>
    </row>
    <row r="142" ht="28" customHeight="1">
      <c r="A142" t="inlineStr" s="3">
        <is>
          <t>2026年7月｜第三周（7月20日 - 7月26日）</t>
        </is>
      </c>
      <c r="B142" t="inlineStr" s="3">
        <is>
          <t/>
        </is>
      </c>
      <c r="C142" t="inlineStr" s="3">
        <is>
          <t/>
        </is>
      </c>
      <c r="D142" t="inlineStr" s="3">
        <is>
          <t/>
        </is>
      </c>
      <c r="E142" t="inlineStr" s="3">
        <is>
          <t/>
        </is>
      </c>
      <c r="F142" t="inlineStr" s="3">
        <is>
          <t/>
        </is>
      </c>
      <c r="G142" t="inlineStr" s="3">
        <is>
          <t/>
        </is>
      </c>
      <c r="H142" t="inlineStr" s="3">
        <is>
          <t/>
        </is>
      </c>
      <c r="I142" t="inlineStr" s="3">
        <is>
          <t/>
        </is>
      </c>
    </row>
    <row r="143" ht="23" customHeight="1">
      <c r="A143" t="inlineStr" s="4">
        <is>
          <t>日期</t>
        </is>
      </c>
      <c r="B143" t="inlineStr" s="4">
        <is>
          <t>星期</t>
        </is>
      </c>
      <c r="C143" t="inlineStr" s="4">
        <is>
          <t>分类</t>
        </is>
      </c>
      <c r="D143" t="inlineStr" s="4">
        <is>
          <t>事项</t>
        </is>
      </c>
      <c r="E143" t="inlineStr" s="4">
        <is>
          <t>支出金额</t>
        </is>
      </c>
      <c r="F143" t="inlineStr" s="4">
        <is>
          <t>收入金额</t>
        </is>
      </c>
      <c r="G143" t="inlineStr" s="4">
        <is>
          <t>当笔净额</t>
        </is>
      </c>
      <c r="H143" t="inlineStr" s="4">
        <is>
          <t>支付方式</t>
        </is>
      </c>
      <c r="I143" t="inlineStr" s="4">
        <is>
          <t>备注</t>
        </is>
      </c>
    </row>
    <row r="144" ht="22" customHeight="1">
      <c r="A144" t="inlineStr" s="6">
        <is>
          <t/>
        </is>
      </c>
      <c r="B144" s="5">
        <f>IF(A144="","",TEXT(A144,"aaa"))</f>
      </c>
      <c r="C144" t="inlineStr" s="5">
        <is>
          <t/>
        </is>
      </c>
      <c r="D144" t="inlineStr" s="5">
        <is>
          <t/>
        </is>
      </c>
      <c r="E144" t="inlineStr" s="7">
        <is>
          <t/>
        </is>
      </c>
      <c r="F144" t="inlineStr" s="7">
        <is>
          <t/>
        </is>
      </c>
      <c r="G144" s="8">
        <f>IF(AND(E144="",F144=""),"",F144-E144)</f>
      </c>
      <c r="H144" t="inlineStr" s="5">
        <is>
          <t/>
        </is>
      </c>
      <c r="I144" t="inlineStr" s="5">
        <is>
          <t/>
        </is>
      </c>
    </row>
    <row r="145" ht="22" customHeight="1">
      <c r="A145" t="inlineStr" s="6">
        <is>
          <t/>
        </is>
      </c>
      <c r="B145" s="5">
        <f>IF(A145="","",TEXT(A145,"aaa"))</f>
      </c>
      <c r="C145" t="inlineStr" s="5">
        <is>
          <t/>
        </is>
      </c>
      <c r="D145" t="inlineStr" s="5">
        <is>
          <t/>
        </is>
      </c>
      <c r="E145" t="inlineStr" s="7">
        <is>
          <t/>
        </is>
      </c>
      <c r="F145" t="inlineStr" s="7">
        <is>
          <t/>
        </is>
      </c>
      <c r="G145" s="8">
        <f>IF(AND(E145="",F145=""),"",F145-E145)</f>
      </c>
      <c r="H145" t="inlineStr" s="5">
        <is>
          <t/>
        </is>
      </c>
      <c r="I145" t="inlineStr" s="5">
        <is>
          <t/>
        </is>
      </c>
    </row>
    <row r="146" ht="22" customHeight="1">
      <c r="A146" t="inlineStr" s="6">
        <is>
          <t/>
        </is>
      </c>
      <c r="B146" s="5">
        <f>IF(A146="","",TEXT(A146,"aaa"))</f>
      </c>
      <c r="C146" t="inlineStr" s="5">
        <is>
          <t/>
        </is>
      </c>
      <c r="D146" t="inlineStr" s="5">
        <is>
          <t/>
        </is>
      </c>
      <c r="E146" t="inlineStr" s="7">
        <is>
          <t/>
        </is>
      </c>
      <c r="F146" t="inlineStr" s="7">
        <is>
          <t/>
        </is>
      </c>
      <c r="G146" s="8">
        <f>IF(AND(E146="",F146=""),"",F146-E146)</f>
      </c>
      <c r="H146" t="inlineStr" s="5">
        <is>
          <t/>
        </is>
      </c>
      <c r="I146" t="inlineStr" s="5">
        <is>
          <t/>
        </is>
      </c>
    </row>
    <row r="147" ht="22" customHeight="1">
      <c r="A147" t="inlineStr" s="6">
        <is>
          <t/>
        </is>
      </c>
      <c r="B147" s="5">
        <f>IF(A147="","",TEXT(A147,"aaa"))</f>
      </c>
      <c r="C147" t="inlineStr" s="5">
        <is>
          <t/>
        </is>
      </c>
      <c r="D147" t="inlineStr" s="5">
        <is>
          <t/>
        </is>
      </c>
      <c r="E147" t="inlineStr" s="7">
        <is>
          <t/>
        </is>
      </c>
      <c r="F147" t="inlineStr" s="7">
        <is>
          <t/>
        </is>
      </c>
      <c r="G147" s="8">
        <f>IF(AND(E147="",F147=""),"",F147-E147)</f>
      </c>
      <c r="H147" t="inlineStr" s="5">
        <is>
          <t/>
        </is>
      </c>
      <c r="I147" t="inlineStr" s="5">
        <is>
          <t/>
        </is>
      </c>
    </row>
    <row r="148" ht="22" customHeight="1">
      <c r="A148" t="inlineStr" s="6">
        <is>
          <t/>
        </is>
      </c>
      <c r="B148" s="5">
        <f>IF(A148="","",TEXT(A148,"aaa"))</f>
      </c>
      <c r="C148" t="inlineStr" s="5">
        <is>
          <t/>
        </is>
      </c>
      <c r="D148" t="inlineStr" s="5">
        <is>
          <t/>
        </is>
      </c>
      <c r="E148" t="inlineStr" s="7">
        <is>
          <t/>
        </is>
      </c>
      <c r="F148" t="inlineStr" s="7">
        <is>
          <t/>
        </is>
      </c>
      <c r="G148" s="8">
        <f>IF(AND(E148="",F148=""),"",F148-E148)</f>
      </c>
      <c r="H148" t="inlineStr" s="5">
        <is>
          <t/>
        </is>
      </c>
      <c r="I148" t="inlineStr" s="5">
        <is>
          <t/>
        </is>
      </c>
    </row>
    <row r="149" ht="22" customHeight="1">
      <c r="A149" t="inlineStr" s="6">
        <is>
          <t/>
        </is>
      </c>
      <c r="B149" s="5">
        <f>IF(A149="","",TEXT(A149,"aaa"))</f>
      </c>
      <c r="C149" t="inlineStr" s="5">
        <is>
          <t/>
        </is>
      </c>
      <c r="D149" t="inlineStr" s="5">
        <is>
          <t/>
        </is>
      </c>
      <c r="E149" t="inlineStr" s="7">
        <is>
          <t/>
        </is>
      </c>
      <c r="F149" t="inlineStr" s="7">
        <is>
          <t/>
        </is>
      </c>
      <c r="G149" s="8">
        <f>IF(AND(E149="",F149=""),"",F149-E149)</f>
      </c>
      <c r="H149" t="inlineStr" s="5">
        <is>
          <t/>
        </is>
      </c>
      <c r="I149" t="inlineStr" s="5">
        <is>
          <t/>
        </is>
      </c>
    </row>
    <row r="150" ht="22" customHeight="1">
      <c r="A150" t="inlineStr" s="6">
        <is>
          <t/>
        </is>
      </c>
      <c r="B150" s="5">
        <f>IF(A150="","",TEXT(A150,"aaa"))</f>
      </c>
      <c r="C150" t="inlineStr" s="5">
        <is>
          <t/>
        </is>
      </c>
      <c r="D150" t="inlineStr" s="5">
        <is>
          <t/>
        </is>
      </c>
      <c r="E150" t="inlineStr" s="7">
        <is>
          <t/>
        </is>
      </c>
      <c r="F150" t="inlineStr" s="7">
        <is>
          <t/>
        </is>
      </c>
      <c r="G150" s="8">
        <f>IF(AND(E150="",F150=""),"",F150-E150)</f>
      </c>
      <c r="H150" t="inlineStr" s="5">
        <is>
          <t/>
        </is>
      </c>
      <c r="I150" t="inlineStr" s="5">
        <is>
          <t/>
        </is>
      </c>
    </row>
    <row r="151" ht="22" customHeight="1">
      <c r="A151" t="inlineStr" s="6">
        <is>
          <t/>
        </is>
      </c>
      <c r="B151" s="5">
        <f>IF(A151="","",TEXT(A151,"aaa"))</f>
      </c>
      <c r="C151" t="inlineStr" s="5">
        <is>
          <t/>
        </is>
      </c>
      <c r="D151" t="inlineStr" s="5">
        <is>
          <t/>
        </is>
      </c>
      <c r="E151" t="inlineStr" s="7">
        <is>
          <t/>
        </is>
      </c>
      <c r="F151" t="inlineStr" s="7">
        <is>
          <t/>
        </is>
      </c>
      <c r="G151" s="8">
        <f>IF(AND(E151="",F151=""),"",F151-E151)</f>
      </c>
      <c r="H151" t="inlineStr" s="5">
        <is>
          <t/>
        </is>
      </c>
      <c r="I151" t="inlineStr" s="5">
        <is>
          <t/>
        </is>
      </c>
    </row>
    <row r="152" ht="22" customHeight="1">
      <c r="A152" t="inlineStr" s="6">
        <is>
          <t/>
        </is>
      </c>
      <c r="B152" s="5">
        <f>IF(A152="","",TEXT(A152,"aaa"))</f>
      </c>
      <c r="C152" t="inlineStr" s="5">
        <is>
          <t/>
        </is>
      </c>
      <c r="D152" t="inlineStr" s="5">
        <is>
          <t/>
        </is>
      </c>
      <c r="E152" t="inlineStr" s="7">
        <is>
          <t/>
        </is>
      </c>
      <c r="F152" t="inlineStr" s="7">
        <is>
          <t/>
        </is>
      </c>
      <c r="G152" s="8">
        <f>IF(AND(E152="",F152=""),"",F152-E152)</f>
      </c>
      <c r="H152" t="inlineStr" s="5">
        <is>
          <t/>
        </is>
      </c>
      <c r="I152" t="inlineStr" s="5">
        <is>
          <t/>
        </is>
      </c>
    </row>
    <row r="153" ht="22" customHeight="1">
      <c r="A153" t="inlineStr" s="6">
        <is>
          <t/>
        </is>
      </c>
      <c r="B153" s="5">
        <f>IF(A153="","",TEXT(A153,"aaa"))</f>
      </c>
      <c r="C153" t="inlineStr" s="5">
        <is>
          <t/>
        </is>
      </c>
      <c r="D153" t="inlineStr" s="5">
        <is>
          <t/>
        </is>
      </c>
      <c r="E153" t="inlineStr" s="7">
        <is>
          <t/>
        </is>
      </c>
      <c r="F153" t="inlineStr" s="7">
        <is>
          <t/>
        </is>
      </c>
      <c r="G153" s="8">
        <f>IF(AND(E153="",F153=""),"",F153-E153)</f>
      </c>
      <c r="H153" t="inlineStr" s="5">
        <is>
          <t/>
        </is>
      </c>
      <c r="I153" t="inlineStr" s="5">
        <is>
          <t/>
        </is>
      </c>
    </row>
    <row r="154" ht="22" customHeight="1">
      <c r="A154" t="inlineStr" s="6">
        <is>
          <t/>
        </is>
      </c>
      <c r="B154" s="5">
        <f>IF(A154="","",TEXT(A154,"aaa"))</f>
      </c>
      <c r="C154" t="inlineStr" s="5">
        <is>
          <t/>
        </is>
      </c>
      <c r="D154" t="inlineStr" s="5">
        <is>
          <t/>
        </is>
      </c>
      <c r="E154" t="inlineStr" s="7">
        <is>
          <t/>
        </is>
      </c>
      <c r="F154" t="inlineStr" s="7">
        <is>
          <t/>
        </is>
      </c>
      <c r="G154" s="8">
        <f>IF(AND(E154="",F154=""),"",F154-E154)</f>
      </c>
      <c r="H154" t="inlineStr" s="5">
        <is>
          <t/>
        </is>
      </c>
      <c r="I154" t="inlineStr" s="5">
        <is>
          <t/>
        </is>
      </c>
    </row>
    <row r="155" ht="22" customHeight="1">
      <c r="A155" t="inlineStr" s="6">
        <is>
          <t/>
        </is>
      </c>
      <c r="B155" s="5">
        <f>IF(A155="","",TEXT(A155,"aaa"))</f>
      </c>
      <c r="C155" t="inlineStr" s="5">
        <is>
          <t/>
        </is>
      </c>
      <c r="D155" t="inlineStr" s="5">
        <is>
          <t/>
        </is>
      </c>
      <c r="E155" t="inlineStr" s="7">
        <is>
          <t/>
        </is>
      </c>
      <c r="F155" t="inlineStr" s="7">
        <is>
          <t/>
        </is>
      </c>
      <c r="G155" s="8">
        <f>IF(AND(E155="",F155=""),"",F155-E155)</f>
      </c>
      <c r="H155" t="inlineStr" s="5">
        <is>
          <t/>
        </is>
      </c>
      <c r="I155" t="inlineStr" s="5">
        <is>
          <t/>
        </is>
      </c>
    </row>
    <row r="156" ht="22" customHeight="1">
      <c r="A156" t="inlineStr" s="6">
        <is>
          <t/>
        </is>
      </c>
      <c r="B156" s="5">
        <f>IF(A156="","",TEXT(A156,"aaa"))</f>
      </c>
      <c r="C156" t="inlineStr" s="5">
        <is>
          <t/>
        </is>
      </c>
      <c r="D156" t="inlineStr" s="5">
        <is>
          <t/>
        </is>
      </c>
      <c r="E156" t="inlineStr" s="7">
        <is>
          <t/>
        </is>
      </c>
      <c r="F156" t="inlineStr" s="7">
        <is>
          <t/>
        </is>
      </c>
      <c r="G156" s="8">
        <f>IF(AND(E156="",F156=""),"",F156-E156)</f>
      </c>
      <c r="H156" t="inlineStr" s="5">
        <is>
          <t/>
        </is>
      </c>
      <c r="I156" t="inlineStr" s="5">
        <is>
          <t/>
        </is>
      </c>
    </row>
    <row r="157" ht="22" customHeight="1">
      <c r="A157" t="inlineStr" s="6">
        <is>
          <t/>
        </is>
      </c>
      <c r="B157" s="5">
        <f>IF(A157="","",TEXT(A157,"aaa"))</f>
      </c>
      <c r="C157" t="inlineStr" s="5">
        <is>
          <t/>
        </is>
      </c>
      <c r="D157" t="inlineStr" s="5">
        <is>
          <t/>
        </is>
      </c>
      <c r="E157" t="inlineStr" s="7">
        <is>
          <t/>
        </is>
      </c>
      <c r="F157" t="inlineStr" s="7">
        <is>
          <t/>
        </is>
      </c>
      <c r="G157" s="8">
        <f>IF(AND(E157="",F157=""),"",F157-E157)</f>
      </c>
      <c r="H157" t="inlineStr" s="5">
        <is>
          <t/>
        </is>
      </c>
      <c r="I157" t="inlineStr" s="5">
        <is>
          <t/>
        </is>
      </c>
    </row>
    <row r="158" ht="22" customHeight="1">
      <c r="A158" t="inlineStr" s="6">
        <is>
          <t/>
        </is>
      </c>
      <c r="B158" s="5">
        <f>IF(A158="","",TEXT(A158,"aaa"))</f>
      </c>
      <c r="C158" t="inlineStr" s="5">
        <is>
          <t/>
        </is>
      </c>
      <c r="D158" t="inlineStr" s="5">
        <is>
          <t/>
        </is>
      </c>
      <c r="E158" t="inlineStr" s="7">
        <is>
          <t/>
        </is>
      </c>
      <c r="F158" t="inlineStr" s="7">
        <is>
          <t/>
        </is>
      </c>
      <c r="G158" s="8">
        <f>IF(AND(E158="",F158=""),"",F158-E158)</f>
      </c>
      <c r="H158" t="inlineStr" s="5">
        <is>
          <t/>
        </is>
      </c>
      <c r="I158" t="inlineStr" s="5">
        <is>
          <t/>
        </is>
      </c>
    </row>
    <row r="159" ht="24" customHeight="1">
      <c r="A159" t="inlineStr" s="9">
        <is>
          <t>本周小计</t>
        </is>
      </c>
      <c r="B159" t="inlineStr" s="9">
        <is>
          <t/>
        </is>
      </c>
      <c r="C159" t="inlineStr" s="9">
        <is>
          <t/>
        </is>
      </c>
      <c r="D159" t="inlineStr" s="9">
        <is>
          <t/>
        </is>
      </c>
      <c r="E159" s="9">
        <f>SUM(E144:E158)</f>
      </c>
      <c r="F159" s="9">
        <f>SUM(F144:F158)</f>
      </c>
      <c r="G159" s="9">
        <f>SUM(G144:G158)</f>
      </c>
      <c r="H159" t="inlineStr" s="9">
        <is>
          <t/>
        </is>
      </c>
      <c r="I159" t="inlineStr" s="9">
        <is>
          <t/>
        </is>
      </c>
    </row>
    <row r="160" ht="18" customHeight="1">
      <c r="A160" t="inlineStr" s="10">
        <is>
          <t/>
        </is>
      </c>
      <c r="B160" t="inlineStr" s="10">
        <is>
          <t/>
        </is>
      </c>
      <c r="C160" t="inlineStr" s="10">
        <is>
          <t/>
        </is>
      </c>
      <c r="D160" t="inlineStr" s="10">
        <is>
          <t/>
        </is>
      </c>
      <c r="E160" t="inlineStr" s="10">
        <is>
          <t/>
        </is>
      </c>
      <c r="F160" t="inlineStr" s="10">
        <is>
          <t/>
        </is>
      </c>
      <c r="G160" t="inlineStr" s="10">
        <is>
          <t/>
        </is>
      </c>
      <c r="H160" t="inlineStr" s="10">
        <is>
          <t/>
        </is>
      </c>
      <c r="I160" t="inlineStr" s="10">
        <is>
          <t/>
        </is>
      </c>
    </row>
    <row r="161" ht="18" customHeight="1">
      <c r="A161" t="inlineStr" s="10">
        <is>
          <t/>
        </is>
      </c>
      <c r="B161" t="inlineStr" s="10">
        <is>
          <t/>
        </is>
      </c>
      <c r="C161" t="inlineStr" s="10">
        <is>
          <t/>
        </is>
      </c>
      <c r="D161" t="inlineStr" s="10">
        <is>
          <t/>
        </is>
      </c>
      <c r="E161" t="inlineStr" s="10">
        <is>
          <t/>
        </is>
      </c>
      <c r="F161" t="inlineStr" s="10">
        <is>
          <t/>
        </is>
      </c>
      <c r="G161" t="inlineStr" s="10">
        <is>
          <t/>
        </is>
      </c>
      <c r="H161" t="inlineStr" s="10">
        <is>
          <t/>
        </is>
      </c>
      <c r="I161" t="inlineStr" s="10">
        <is>
          <t/>
        </is>
      </c>
    </row>
    <row r="162" ht="28" customHeight="1">
      <c r="A162" t="inlineStr" s="3">
        <is>
          <t>2026年7月-8月｜第四周（7月27日 - 8月2日）</t>
        </is>
      </c>
      <c r="B162" t="inlineStr" s="3">
        <is>
          <t/>
        </is>
      </c>
      <c r="C162" t="inlineStr" s="3">
        <is>
          <t/>
        </is>
      </c>
      <c r="D162" t="inlineStr" s="3">
        <is>
          <t/>
        </is>
      </c>
      <c r="E162" t="inlineStr" s="3">
        <is>
          <t/>
        </is>
      </c>
      <c r="F162" t="inlineStr" s="3">
        <is>
          <t/>
        </is>
      </c>
      <c r="G162" t="inlineStr" s="3">
        <is>
          <t/>
        </is>
      </c>
      <c r="H162" t="inlineStr" s="3">
        <is>
          <t/>
        </is>
      </c>
      <c r="I162" t="inlineStr" s="3">
        <is>
          <t/>
        </is>
      </c>
    </row>
    <row r="163" ht="23" customHeight="1">
      <c r="A163" t="inlineStr" s="4">
        <is>
          <t>日期</t>
        </is>
      </c>
      <c r="B163" t="inlineStr" s="4">
        <is>
          <t>星期</t>
        </is>
      </c>
      <c r="C163" t="inlineStr" s="4">
        <is>
          <t>分类</t>
        </is>
      </c>
      <c r="D163" t="inlineStr" s="4">
        <is>
          <t>事项</t>
        </is>
      </c>
      <c r="E163" t="inlineStr" s="4">
        <is>
          <t>支出金额</t>
        </is>
      </c>
      <c r="F163" t="inlineStr" s="4">
        <is>
          <t>收入金额</t>
        </is>
      </c>
      <c r="G163" t="inlineStr" s="4">
        <is>
          <t>当笔净额</t>
        </is>
      </c>
      <c r="H163" t="inlineStr" s="4">
        <is>
          <t>支付方式</t>
        </is>
      </c>
      <c r="I163" t="inlineStr" s="4">
        <is>
          <t>备注</t>
        </is>
      </c>
    </row>
    <row r="164" ht="22" customHeight="1">
      <c r="A164" t="inlineStr" s="6">
        <is>
          <t/>
        </is>
      </c>
      <c r="B164" s="5">
        <f>IF(A164="","",TEXT(A164,"aaa"))</f>
      </c>
      <c r="C164" t="inlineStr" s="5">
        <is>
          <t/>
        </is>
      </c>
      <c r="D164" t="inlineStr" s="5">
        <is>
          <t/>
        </is>
      </c>
      <c r="E164" t="inlineStr" s="7">
        <is>
          <t/>
        </is>
      </c>
      <c r="F164" t="inlineStr" s="7">
        <is>
          <t/>
        </is>
      </c>
      <c r="G164" s="8">
        <f>IF(AND(E164="",F164=""),"",F164-E164)</f>
      </c>
      <c r="H164" t="inlineStr" s="5">
        <is>
          <t/>
        </is>
      </c>
      <c r="I164" t="inlineStr" s="5">
        <is>
          <t/>
        </is>
      </c>
    </row>
    <row r="165" ht="22" customHeight="1">
      <c r="A165" t="inlineStr" s="6">
        <is>
          <t/>
        </is>
      </c>
      <c r="B165" s="5">
        <f>IF(A165="","",TEXT(A165,"aaa"))</f>
      </c>
      <c r="C165" t="inlineStr" s="5">
        <is>
          <t/>
        </is>
      </c>
      <c r="D165" t="inlineStr" s="5">
        <is>
          <t/>
        </is>
      </c>
      <c r="E165" t="inlineStr" s="7">
        <is>
          <t/>
        </is>
      </c>
      <c r="F165" t="inlineStr" s="7">
        <is>
          <t/>
        </is>
      </c>
      <c r="G165" s="8">
        <f>IF(AND(E165="",F165=""),"",F165-E165)</f>
      </c>
      <c r="H165" t="inlineStr" s="5">
        <is>
          <t/>
        </is>
      </c>
      <c r="I165" t="inlineStr" s="5">
        <is>
          <t/>
        </is>
      </c>
    </row>
    <row r="166" ht="22" customHeight="1">
      <c r="A166" t="inlineStr" s="6">
        <is>
          <t/>
        </is>
      </c>
      <c r="B166" s="5">
        <f>IF(A166="","",TEXT(A166,"aaa"))</f>
      </c>
      <c r="C166" t="inlineStr" s="5">
        <is>
          <t/>
        </is>
      </c>
      <c r="D166" t="inlineStr" s="5">
        <is>
          <t/>
        </is>
      </c>
      <c r="E166" t="inlineStr" s="7">
        <is>
          <t/>
        </is>
      </c>
      <c r="F166" t="inlineStr" s="7">
        <is>
          <t/>
        </is>
      </c>
      <c r="G166" s="8">
        <f>IF(AND(E166="",F166=""),"",F166-E166)</f>
      </c>
      <c r="H166" t="inlineStr" s="5">
        <is>
          <t/>
        </is>
      </c>
      <c r="I166" t="inlineStr" s="5">
        <is>
          <t/>
        </is>
      </c>
    </row>
    <row r="167" ht="22" customHeight="1">
      <c r="A167" t="inlineStr" s="6">
        <is>
          <t/>
        </is>
      </c>
      <c r="B167" s="5">
        <f>IF(A167="","",TEXT(A167,"aaa"))</f>
      </c>
      <c r="C167" t="inlineStr" s="5">
        <is>
          <t/>
        </is>
      </c>
      <c r="D167" t="inlineStr" s="5">
        <is>
          <t/>
        </is>
      </c>
      <c r="E167" t="inlineStr" s="7">
        <is>
          <t/>
        </is>
      </c>
      <c r="F167" t="inlineStr" s="7">
        <is>
          <t/>
        </is>
      </c>
      <c r="G167" s="8">
        <f>IF(AND(E167="",F167=""),"",F167-E167)</f>
      </c>
      <c r="H167" t="inlineStr" s="5">
        <is>
          <t/>
        </is>
      </c>
      <c r="I167" t="inlineStr" s="5">
        <is>
          <t/>
        </is>
      </c>
    </row>
    <row r="168" ht="22" customHeight="1">
      <c r="A168" t="inlineStr" s="6">
        <is>
          <t/>
        </is>
      </c>
      <c r="B168" s="5">
        <f>IF(A168="","",TEXT(A168,"aaa"))</f>
      </c>
      <c r="C168" t="inlineStr" s="5">
        <is>
          <t/>
        </is>
      </c>
      <c r="D168" t="inlineStr" s="5">
        <is>
          <t/>
        </is>
      </c>
      <c r="E168" t="inlineStr" s="7">
        <is>
          <t/>
        </is>
      </c>
      <c r="F168" t="inlineStr" s="7">
        <is>
          <t/>
        </is>
      </c>
      <c r="G168" s="8">
        <f>IF(AND(E168="",F168=""),"",F168-E168)</f>
      </c>
      <c r="H168" t="inlineStr" s="5">
        <is>
          <t/>
        </is>
      </c>
      <c r="I168" t="inlineStr" s="5">
        <is>
          <t/>
        </is>
      </c>
    </row>
    <row r="169" ht="22" customHeight="1">
      <c r="A169" t="inlineStr" s="6">
        <is>
          <t/>
        </is>
      </c>
      <c r="B169" s="5">
        <f>IF(A169="","",TEXT(A169,"aaa"))</f>
      </c>
      <c r="C169" t="inlineStr" s="5">
        <is>
          <t/>
        </is>
      </c>
      <c r="D169" t="inlineStr" s="5">
        <is>
          <t/>
        </is>
      </c>
      <c r="E169" t="inlineStr" s="7">
        <is>
          <t/>
        </is>
      </c>
      <c r="F169" t="inlineStr" s="7">
        <is>
          <t/>
        </is>
      </c>
      <c r="G169" s="8">
        <f>IF(AND(E169="",F169=""),"",F169-E169)</f>
      </c>
      <c r="H169" t="inlineStr" s="5">
        <is>
          <t/>
        </is>
      </c>
      <c r="I169" t="inlineStr" s="5">
        <is>
          <t/>
        </is>
      </c>
    </row>
    <row r="170" ht="22" customHeight="1">
      <c r="A170" t="inlineStr" s="6">
        <is>
          <t/>
        </is>
      </c>
      <c r="B170" s="5">
        <f>IF(A170="","",TEXT(A170,"aaa"))</f>
      </c>
      <c r="C170" t="inlineStr" s="5">
        <is>
          <t/>
        </is>
      </c>
      <c r="D170" t="inlineStr" s="5">
        <is>
          <t/>
        </is>
      </c>
      <c r="E170" t="inlineStr" s="7">
        <is>
          <t/>
        </is>
      </c>
      <c r="F170" t="inlineStr" s="7">
        <is>
          <t/>
        </is>
      </c>
      <c r="G170" s="8">
        <f>IF(AND(E170="",F170=""),"",F170-E170)</f>
      </c>
      <c r="H170" t="inlineStr" s="5">
        <is>
          <t/>
        </is>
      </c>
      <c r="I170" t="inlineStr" s="5">
        <is>
          <t/>
        </is>
      </c>
    </row>
    <row r="171" ht="22" customHeight="1">
      <c r="A171" t="inlineStr" s="6">
        <is>
          <t/>
        </is>
      </c>
      <c r="B171" s="5">
        <f>IF(A171="","",TEXT(A171,"aaa"))</f>
      </c>
      <c r="C171" t="inlineStr" s="5">
        <is>
          <t/>
        </is>
      </c>
      <c r="D171" t="inlineStr" s="5">
        <is>
          <t/>
        </is>
      </c>
      <c r="E171" t="inlineStr" s="7">
        <is>
          <t/>
        </is>
      </c>
      <c r="F171" t="inlineStr" s="7">
        <is>
          <t/>
        </is>
      </c>
      <c r="G171" s="8">
        <f>IF(AND(E171="",F171=""),"",F171-E171)</f>
      </c>
      <c r="H171" t="inlineStr" s="5">
        <is>
          <t/>
        </is>
      </c>
      <c r="I171" t="inlineStr" s="5">
        <is>
          <t/>
        </is>
      </c>
    </row>
    <row r="172" ht="22" customHeight="1">
      <c r="A172" t="inlineStr" s="6">
        <is>
          <t/>
        </is>
      </c>
      <c r="B172" s="5">
        <f>IF(A172="","",TEXT(A172,"aaa"))</f>
      </c>
      <c r="C172" t="inlineStr" s="5">
        <is>
          <t/>
        </is>
      </c>
      <c r="D172" t="inlineStr" s="5">
        <is>
          <t/>
        </is>
      </c>
      <c r="E172" t="inlineStr" s="7">
        <is>
          <t/>
        </is>
      </c>
      <c r="F172" t="inlineStr" s="7">
        <is>
          <t/>
        </is>
      </c>
      <c r="G172" s="8">
        <f>IF(AND(E172="",F172=""),"",F172-E172)</f>
      </c>
      <c r="H172" t="inlineStr" s="5">
        <is>
          <t/>
        </is>
      </c>
      <c r="I172" t="inlineStr" s="5">
        <is>
          <t/>
        </is>
      </c>
    </row>
    <row r="173" ht="22" customHeight="1">
      <c r="A173" t="inlineStr" s="6">
        <is>
          <t/>
        </is>
      </c>
      <c r="B173" s="5">
        <f>IF(A173="","",TEXT(A173,"aaa"))</f>
      </c>
      <c r="C173" t="inlineStr" s="5">
        <is>
          <t/>
        </is>
      </c>
      <c r="D173" t="inlineStr" s="5">
        <is>
          <t/>
        </is>
      </c>
      <c r="E173" t="inlineStr" s="7">
        <is>
          <t/>
        </is>
      </c>
      <c r="F173" t="inlineStr" s="7">
        <is>
          <t/>
        </is>
      </c>
      <c r="G173" s="8">
        <f>IF(AND(E173="",F173=""),"",F173-E173)</f>
      </c>
      <c r="H173" t="inlineStr" s="5">
        <is>
          <t/>
        </is>
      </c>
      <c r="I173" t="inlineStr" s="5">
        <is>
          <t/>
        </is>
      </c>
    </row>
    <row r="174" ht="22" customHeight="1">
      <c r="A174" t="inlineStr" s="6">
        <is>
          <t/>
        </is>
      </c>
      <c r="B174" s="5">
        <f>IF(A174="","",TEXT(A174,"aaa"))</f>
      </c>
      <c r="C174" t="inlineStr" s="5">
        <is>
          <t/>
        </is>
      </c>
      <c r="D174" t="inlineStr" s="5">
        <is>
          <t/>
        </is>
      </c>
      <c r="E174" t="inlineStr" s="7">
        <is>
          <t/>
        </is>
      </c>
      <c r="F174" t="inlineStr" s="7">
        <is>
          <t/>
        </is>
      </c>
      <c r="G174" s="8">
        <f>IF(AND(E174="",F174=""),"",F174-E174)</f>
      </c>
      <c r="H174" t="inlineStr" s="5">
        <is>
          <t/>
        </is>
      </c>
      <c r="I174" t="inlineStr" s="5">
        <is>
          <t/>
        </is>
      </c>
    </row>
    <row r="175" ht="22" customHeight="1">
      <c r="A175" t="inlineStr" s="6">
        <is>
          <t/>
        </is>
      </c>
      <c r="B175" s="5">
        <f>IF(A175="","",TEXT(A175,"aaa"))</f>
      </c>
      <c r="C175" t="inlineStr" s="5">
        <is>
          <t/>
        </is>
      </c>
      <c r="D175" t="inlineStr" s="5">
        <is>
          <t/>
        </is>
      </c>
      <c r="E175" t="inlineStr" s="7">
        <is>
          <t/>
        </is>
      </c>
      <c r="F175" t="inlineStr" s="7">
        <is>
          <t/>
        </is>
      </c>
      <c r="G175" s="8">
        <f>IF(AND(E175="",F175=""),"",F175-E175)</f>
      </c>
      <c r="H175" t="inlineStr" s="5">
        <is>
          <t/>
        </is>
      </c>
      <c r="I175" t="inlineStr" s="5">
        <is>
          <t/>
        </is>
      </c>
    </row>
    <row r="176" ht="22" customHeight="1">
      <c r="A176" t="inlineStr" s="6">
        <is>
          <t/>
        </is>
      </c>
      <c r="B176" s="5">
        <f>IF(A176="","",TEXT(A176,"aaa"))</f>
      </c>
      <c r="C176" t="inlineStr" s="5">
        <is>
          <t/>
        </is>
      </c>
      <c r="D176" t="inlineStr" s="5">
        <is>
          <t/>
        </is>
      </c>
      <c r="E176" t="inlineStr" s="7">
        <is>
          <t/>
        </is>
      </c>
      <c r="F176" t="inlineStr" s="7">
        <is>
          <t/>
        </is>
      </c>
      <c r="G176" s="8">
        <f>IF(AND(E176="",F176=""),"",F176-E176)</f>
      </c>
      <c r="H176" t="inlineStr" s="5">
        <is>
          <t/>
        </is>
      </c>
      <c r="I176" t="inlineStr" s="5">
        <is>
          <t/>
        </is>
      </c>
    </row>
    <row r="177" ht="22" customHeight="1">
      <c r="A177" t="inlineStr" s="6">
        <is>
          <t/>
        </is>
      </c>
      <c r="B177" s="5">
        <f>IF(A177="","",TEXT(A177,"aaa"))</f>
      </c>
      <c r="C177" t="inlineStr" s="5">
        <is>
          <t/>
        </is>
      </c>
      <c r="D177" t="inlineStr" s="5">
        <is>
          <t/>
        </is>
      </c>
      <c r="E177" t="inlineStr" s="7">
        <is>
          <t/>
        </is>
      </c>
      <c r="F177" t="inlineStr" s="7">
        <is>
          <t/>
        </is>
      </c>
      <c r="G177" s="8">
        <f>IF(AND(E177="",F177=""),"",F177-E177)</f>
      </c>
      <c r="H177" t="inlineStr" s="5">
        <is>
          <t/>
        </is>
      </c>
      <c r="I177" t="inlineStr" s="5">
        <is>
          <t/>
        </is>
      </c>
    </row>
    <row r="178" ht="22" customHeight="1">
      <c r="A178" t="inlineStr" s="6">
        <is>
          <t/>
        </is>
      </c>
      <c r="B178" s="5">
        <f>IF(A178="","",TEXT(A178,"aaa"))</f>
      </c>
      <c r="C178" t="inlineStr" s="5">
        <is>
          <t/>
        </is>
      </c>
      <c r="D178" t="inlineStr" s="5">
        <is>
          <t/>
        </is>
      </c>
      <c r="E178" t="inlineStr" s="7">
        <is>
          <t/>
        </is>
      </c>
      <c r="F178" t="inlineStr" s="7">
        <is>
          <t/>
        </is>
      </c>
      <c r="G178" s="8">
        <f>IF(AND(E178="",F178=""),"",F178-E178)</f>
      </c>
      <c r="H178" t="inlineStr" s="5">
        <is>
          <t/>
        </is>
      </c>
      <c r="I178" t="inlineStr" s="5">
        <is>
          <t/>
        </is>
      </c>
    </row>
    <row r="179" ht="24" customHeight="1">
      <c r="A179" t="inlineStr" s="9">
        <is>
          <t>本周小计</t>
        </is>
      </c>
      <c r="B179" t="inlineStr" s="9">
        <is>
          <t/>
        </is>
      </c>
      <c r="C179" t="inlineStr" s="9">
        <is>
          <t/>
        </is>
      </c>
      <c r="D179" t="inlineStr" s="9">
        <is>
          <t/>
        </is>
      </c>
      <c r="E179" s="9">
        <f>SUM(E164:E178)</f>
      </c>
      <c r="F179" s="9">
        <f>SUM(F164:F178)</f>
      </c>
      <c r="G179" s="9">
        <f>SUM(G164:G178)</f>
      </c>
      <c r="H179" t="inlineStr" s="9">
        <is>
          <t/>
        </is>
      </c>
      <c r="I179" t="inlineStr" s="9">
        <is>
          <t/>
        </is>
      </c>
    </row>
    <row r="180" ht="18" customHeight="1">
      <c r="A180" t="inlineStr" s="10">
        <is>
          <t/>
        </is>
      </c>
      <c r="B180" t="inlineStr" s="10">
        <is>
          <t/>
        </is>
      </c>
      <c r="C180" t="inlineStr" s="10">
        <is>
          <t/>
        </is>
      </c>
      <c r="D180" t="inlineStr" s="10">
        <is>
          <t/>
        </is>
      </c>
      <c r="E180" t="inlineStr" s="10">
        <is>
          <t/>
        </is>
      </c>
      <c r="F180" t="inlineStr" s="10">
        <is>
          <t/>
        </is>
      </c>
      <c r="G180" t="inlineStr" s="10">
        <is>
          <t/>
        </is>
      </c>
      <c r="H180" t="inlineStr" s="10">
        <is>
          <t/>
        </is>
      </c>
      <c r="I180" t="inlineStr" s="10">
        <is>
          <t/>
        </is>
      </c>
    </row>
    <row r="181" ht="18" customHeight="1">
      <c r="A181" t="inlineStr" s="10">
        <is>
          <t/>
        </is>
      </c>
      <c r="B181" t="inlineStr" s="10">
        <is>
          <t/>
        </is>
      </c>
      <c r="C181" t="inlineStr" s="10">
        <is>
          <t/>
        </is>
      </c>
      <c r="D181" t="inlineStr" s="10">
        <is>
          <t/>
        </is>
      </c>
      <c r="E181" t="inlineStr" s="10">
        <is>
          <t/>
        </is>
      </c>
      <c r="F181" t="inlineStr" s="10">
        <is>
          <t/>
        </is>
      </c>
      <c r="G181" t="inlineStr" s="10">
        <is>
          <t/>
        </is>
      </c>
      <c r="H181" t="inlineStr" s="10">
        <is>
          <t/>
        </is>
      </c>
      <c r="I181" t="inlineStr" s="10">
        <is>
          <t/>
        </is>
      </c>
    </row>
    <row r="182" ht="28" customHeight="1">
      <c r="A182" t="inlineStr" s="3">
        <is>
          <t>2026年8月｜第一周（8月3日 - 8月9日）</t>
        </is>
      </c>
      <c r="B182" t="inlineStr" s="3">
        <is>
          <t/>
        </is>
      </c>
      <c r="C182" t="inlineStr" s="3">
        <is>
          <t/>
        </is>
      </c>
      <c r="D182" t="inlineStr" s="3">
        <is>
          <t/>
        </is>
      </c>
      <c r="E182" t="inlineStr" s="3">
        <is>
          <t/>
        </is>
      </c>
      <c r="F182" t="inlineStr" s="3">
        <is>
          <t/>
        </is>
      </c>
      <c r="G182" t="inlineStr" s="3">
        <is>
          <t/>
        </is>
      </c>
      <c r="H182" t="inlineStr" s="3">
        <is>
          <t/>
        </is>
      </c>
      <c r="I182" t="inlineStr" s="3">
        <is>
          <t/>
        </is>
      </c>
    </row>
    <row r="183" ht="23" customHeight="1">
      <c r="A183" t="inlineStr" s="4">
        <is>
          <t>日期</t>
        </is>
      </c>
      <c r="B183" t="inlineStr" s="4">
        <is>
          <t>星期</t>
        </is>
      </c>
      <c r="C183" t="inlineStr" s="4">
        <is>
          <t>分类</t>
        </is>
      </c>
      <c r="D183" t="inlineStr" s="4">
        <is>
          <t>事项</t>
        </is>
      </c>
      <c r="E183" t="inlineStr" s="4">
        <is>
          <t>支出金额</t>
        </is>
      </c>
      <c r="F183" t="inlineStr" s="4">
        <is>
          <t>收入金额</t>
        </is>
      </c>
      <c r="G183" t="inlineStr" s="4">
        <is>
          <t>当笔净额</t>
        </is>
      </c>
      <c r="H183" t="inlineStr" s="4">
        <is>
          <t>支付方式</t>
        </is>
      </c>
      <c r="I183" t="inlineStr" s="4">
        <is>
          <t>备注</t>
        </is>
      </c>
    </row>
    <row r="184" ht="22" customHeight="1">
      <c r="A184" t="inlineStr" s="6">
        <is>
          <t/>
        </is>
      </c>
      <c r="B184" s="5">
        <f>IF(A184="","",TEXT(A184,"aaa"))</f>
      </c>
      <c r="C184" t="inlineStr" s="5">
        <is>
          <t/>
        </is>
      </c>
      <c r="D184" t="inlineStr" s="5">
        <is>
          <t/>
        </is>
      </c>
      <c r="E184" t="inlineStr" s="7">
        <is>
          <t/>
        </is>
      </c>
      <c r="F184" t="inlineStr" s="7">
        <is>
          <t/>
        </is>
      </c>
      <c r="G184" s="8">
        <f>IF(AND(E184="",F184=""),"",F184-E184)</f>
      </c>
      <c r="H184" t="inlineStr" s="5">
        <is>
          <t/>
        </is>
      </c>
      <c r="I184" t="inlineStr" s="5">
        <is>
          <t/>
        </is>
      </c>
    </row>
    <row r="185" ht="22" customHeight="1">
      <c r="A185" t="inlineStr" s="6">
        <is>
          <t/>
        </is>
      </c>
      <c r="B185" s="5">
        <f>IF(A185="","",TEXT(A185,"aaa"))</f>
      </c>
      <c r="C185" t="inlineStr" s="5">
        <is>
          <t/>
        </is>
      </c>
      <c r="D185" t="inlineStr" s="5">
        <is>
          <t/>
        </is>
      </c>
      <c r="E185" t="inlineStr" s="7">
        <is>
          <t/>
        </is>
      </c>
      <c r="F185" t="inlineStr" s="7">
        <is>
          <t/>
        </is>
      </c>
      <c r="G185" s="8">
        <f>IF(AND(E185="",F185=""),"",F185-E185)</f>
      </c>
      <c r="H185" t="inlineStr" s="5">
        <is>
          <t/>
        </is>
      </c>
      <c r="I185" t="inlineStr" s="5">
        <is>
          <t/>
        </is>
      </c>
    </row>
    <row r="186" ht="22" customHeight="1">
      <c r="A186" t="inlineStr" s="6">
        <is>
          <t/>
        </is>
      </c>
      <c r="B186" s="5">
        <f>IF(A186="","",TEXT(A186,"aaa"))</f>
      </c>
      <c r="C186" t="inlineStr" s="5">
        <is>
          <t/>
        </is>
      </c>
      <c r="D186" t="inlineStr" s="5">
        <is>
          <t/>
        </is>
      </c>
      <c r="E186" t="inlineStr" s="7">
        <is>
          <t/>
        </is>
      </c>
      <c r="F186" t="inlineStr" s="7">
        <is>
          <t/>
        </is>
      </c>
      <c r="G186" s="8">
        <f>IF(AND(E186="",F186=""),"",F186-E186)</f>
      </c>
      <c r="H186" t="inlineStr" s="5">
        <is>
          <t/>
        </is>
      </c>
      <c r="I186" t="inlineStr" s="5">
        <is>
          <t/>
        </is>
      </c>
    </row>
    <row r="187" ht="22" customHeight="1">
      <c r="A187" t="inlineStr" s="6">
        <is>
          <t/>
        </is>
      </c>
      <c r="B187" s="5">
        <f>IF(A187="","",TEXT(A187,"aaa"))</f>
      </c>
      <c r="C187" t="inlineStr" s="5">
        <is>
          <t/>
        </is>
      </c>
      <c r="D187" t="inlineStr" s="5">
        <is>
          <t/>
        </is>
      </c>
      <c r="E187" t="inlineStr" s="7">
        <is>
          <t/>
        </is>
      </c>
      <c r="F187" t="inlineStr" s="7">
        <is>
          <t/>
        </is>
      </c>
      <c r="G187" s="8">
        <f>IF(AND(E187="",F187=""),"",F187-E187)</f>
      </c>
      <c r="H187" t="inlineStr" s="5">
        <is>
          <t/>
        </is>
      </c>
      <c r="I187" t="inlineStr" s="5">
        <is>
          <t/>
        </is>
      </c>
    </row>
    <row r="188" ht="22" customHeight="1">
      <c r="A188" t="inlineStr" s="6">
        <is>
          <t/>
        </is>
      </c>
      <c r="B188" s="5">
        <f>IF(A188="","",TEXT(A188,"aaa"))</f>
      </c>
      <c r="C188" t="inlineStr" s="5">
        <is>
          <t/>
        </is>
      </c>
      <c r="D188" t="inlineStr" s="5">
        <is>
          <t/>
        </is>
      </c>
      <c r="E188" t="inlineStr" s="7">
        <is>
          <t/>
        </is>
      </c>
      <c r="F188" t="inlineStr" s="7">
        <is>
          <t/>
        </is>
      </c>
      <c r="G188" s="8">
        <f>IF(AND(E188="",F188=""),"",F188-E188)</f>
      </c>
      <c r="H188" t="inlineStr" s="5">
        <is>
          <t/>
        </is>
      </c>
      <c r="I188" t="inlineStr" s="5">
        <is>
          <t/>
        </is>
      </c>
    </row>
    <row r="189" ht="22" customHeight="1">
      <c r="A189" t="inlineStr" s="6">
        <is>
          <t/>
        </is>
      </c>
      <c r="B189" s="5">
        <f>IF(A189="","",TEXT(A189,"aaa"))</f>
      </c>
      <c r="C189" t="inlineStr" s="5">
        <is>
          <t/>
        </is>
      </c>
      <c r="D189" t="inlineStr" s="5">
        <is>
          <t/>
        </is>
      </c>
      <c r="E189" t="inlineStr" s="7">
        <is>
          <t/>
        </is>
      </c>
      <c r="F189" t="inlineStr" s="7">
        <is>
          <t/>
        </is>
      </c>
      <c r="G189" s="8">
        <f>IF(AND(E189="",F189=""),"",F189-E189)</f>
      </c>
      <c r="H189" t="inlineStr" s="5">
        <is>
          <t/>
        </is>
      </c>
      <c r="I189" t="inlineStr" s="5">
        <is>
          <t/>
        </is>
      </c>
    </row>
    <row r="190" ht="22" customHeight="1">
      <c r="A190" t="inlineStr" s="6">
        <is>
          <t/>
        </is>
      </c>
      <c r="B190" s="5">
        <f>IF(A190="","",TEXT(A190,"aaa"))</f>
      </c>
      <c r="C190" t="inlineStr" s="5">
        <is>
          <t/>
        </is>
      </c>
      <c r="D190" t="inlineStr" s="5">
        <is>
          <t/>
        </is>
      </c>
      <c r="E190" t="inlineStr" s="7">
        <is>
          <t/>
        </is>
      </c>
      <c r="F190" t="inlineStr" s="7">
        <is>
          <t/>
        </is>
      </c>
      <c r="G190" s="8">
        <f>IF(AND(E190="",F190=""),"",F190-E190)</f>
      </c>
      <c r="H190" t="inlineStr" s="5">
        <is>
          <t/>
        </is>
      </c>
      <c r="I190" t="inlineStr" s="5">
        <is>
          <t/>
        </is>
      </c>
    </row>
    <row r="191" ht="22" customHeight="1">
      <c r="A191" t="inlineStr" s="6">
        <is>
          <t/>
        </is>
      </c>
      <c r="B191" s="5">
        <f>IF(A191="","",TEXT(A191,"aaa"))</f>
      </c>
      <c r="C191" t="inlineStr" s="5">
        <is>
          <t/>
        </is>
      </c>
      <c r="D191" t="inlineStr" s="5">
        <is>
          <t/>
        </is>
      </c>
      <c r="E191" t="inlineStr" s="7">
        <is>
          <t/>
        </is>
      </c>
      <c r="F191" t="inlineStr" s="7">
        <is>
          <t/>
        </is>
      </c>
      <c r="G191" s="8">
        <f>IF(AND(E191="",F191=""),"",F191-E191)</f>
      </c>
      <c r="H191" t="inlineStr" s="5">
        <is>
          <t/>
        </is>
      </c>
      <c r="I191" t="inlineStr" s="5">
        <is>
          <t/>
        </is>
      </c>
    </row>
    <row r="192" ht="22" customHeight="1">
      <c r="A192" t="inlineStr" s="6">
        <is>
          <t/>
        </is>
      </c>
      <c r="B192" s="5">
        <f>IF(A192="","",TEXT(A192,"aaa"))</f>
      </c>
      <c r="C192" t="inlineStr" s="5">
        <is>
          <t/>
        </is>
      </c>
      <c r="D192" t="inlineStr" s="5">
        <is>
          <t/>
        </is>
      </c>
      <c r="E192" t="inlineStr" s="7">
        <is>
          <t/>
        </is>
      </c>
      <c r="F192" t="inlineStr" s="7">
        <is>
          <t/>
        </is>
      </c>
      <c r="G192" s="8">
        <f>IF(AND(E192="",F192=""),"",F192-E192)</f>
      </c>
      <c r="H192" t="inlineStr" s="5">
        <is>
          <t/>
        </is>
      </c>
      <c r="I192" t="inlineStr" s="5">
        <is>
          <t/>
        </is>
      </c>
    </row>
    <row r="193" ht="22" customHeight="1">
      <c r="A193" t="inlineStr" s="6">
        <is>
          <t/>
        </is>
      </c>
      <c r="B193" s="5">
        <f>IF(A193="","",TEXT(A193,"aaa"))</f>
      </c>
      <c r="C193" t="inlineStr" s="5">
        <is>
          <t/>
        </is>
      </c>
      <c r="D193" t="inlineStr" s="5">
        <is>
          <t/>
        </is>
      </c>
      <c r="E193" t="inlineStr" s="7">
        <is>
          <t/>
        </is>
      </c>
      <c r="F193" t="inlineStr" s="7">
        <is>
          <t/>
        </is>
      </c>
      <c r="G193" s="8">
        <f>IF(AND(E193="",F193=""),"",F193-E193)</f>
      </c>
      <c r="H193" t="inlineStr" s="5">
        <is>
          <t/>
        </is>
      </c>
      <c r="I193" t="inlineStr" s="5">
        <is>
          <t/>
        </is>
      </c>
    </row>
    <row r="194" ht="22" customHeight="1">
      <c r="A194" t="inlineStr" s="6">
        <is>
          <t/>
        </is>
      </c>
      <c r="B194" s="5">
        <f>IF(A194="","",TEXT(A194,"aaa"))</f>
      </c>
      <c r="C194" t="inlineStr" s="5">
        <is>
          <t/>
        </is>
      </c>
      <c r="D194" t="inlineStr" s="5">
        <is>
          <t/>
        </is>
      </c>
      <c r="E194" t="inlineStr" s="7">
        <is>
          <t/>
        </is>
      </c>
      <c r="F194" t="inlineStr" s="7">
        <is>
          <t/>
        </is>
      </c>
      <c r="G194" s="8">
        <f>IF(AND(E194="",F194=""),"",F194-E194)</f>
      </c>
      <c r="H194" t="inlineStr" s="5">
        <is>
          <t/>
        </is>
      </c>
      <c r="I194" t="inlineStr" s="5">
        <is>
          <t/>
        </is>
      </c>
    </row>
    <row r="195" ht="22" customHeight="1">
      <c r="A195" t="inlineStr" s="6">
        <is>
          <t/>
        </is>
      </c>
      <c r="B195" s="5">
        <f>IF(A195="","",TEXT(A195,"aaa"))</f>
      </c>
      <c r="C195" t="inlineStr" s="5">
        <is>
          <t/>
        </is>
      </c>
      <c r="D195" t="inlineStr" s="5">
        <is>
          <t/>
        </is>
      </c>
      <c r="E195" t="inlineStr" s="7">
        <is>
          <t/>
        </is>
      </c>
      <c r="F195" t="inlineStr" s="7">
        <is>
          <t/>
        </is>
      </c>
      <c r="G195" s="8">
        <f>IF(AND(E195="",F195=""),"",F195-E195)</f>
      </c>
      <c r="H195" t="inlineStr" s="5">
        <is>
          <t/>
        </is>
      </c>
      <c r="I195" t="inlineStr" s="5">
        <is>
          <t/>
        </is>
      </c>
    </row>
    <row r="196" ht="22" customHeight="1">
      <c r="A196" t="inlineStr" s="6">
        <is>
          <t/>
        </is>
      </c>
      <c r="B196" s="5">
        <f>IF(A196="","",TEXT(A196,"aaa"))</f>
      </c>
      <c r="C196" t="inlineStr" s="5">
        <is>
          <t/>
        </is>
      </c>
      <c r="D196" t="inlineStr" s="5">
        <is>
          <t/>
        </is>
      </c>
      <c r="E196" t="inlineStr" s="7">
        <is>
          <t/>
        </is>
      </c>
      <c r="F196" t="inlineStr" s="7">
        <is>
          <t/>
        </is>
      </c>
      <c r="G196" s="8">
        <f>IF(AND(E196="",F196=""),"",F196-E196)</f>
      </c>
      <c r="H196" t="inlineStr" s="5">
        <is>
          <t/>
        </is>
      </c>
      <c r="I196" t="inlineStr" s="5">
        <is>
          <t/>
        </is>
      </c>
    </row>
    <row r="197" ht="22" customHeight="1">
      <c r="A197" t="inlineStr" s="6">
        <is>
          <t/>
        </is>
      </c>
      <c r="B197" s="5">
        <f>IF(A197="","",TEXT(A197,"aaa"))</f>
      </c>
      <c r="C197" t="inlineStr" s="5">
        <is>
          <t/>
        </is>
      </c>
      <c r="D197" t="inlineStr" s="5">
        <is>
          <t/>
        </is>
      </c>
      <c r="E197" t="inlineStr" s="7">
        <is>
          <t/>
        </is>
      </c>
      <c r="F197" t="inlineStr" s="7">
        <is>
          <t/>
        </is>
      </c>
      <c r="G197" s="8">
        <f>IF(AND(E197="",F197=""),"",F197-E197)</f>
      </c>
      <c r="H197" t="inlineStr" s="5">
        <is>
          <t/>
        </is>
      </c>
      <c r="I197" t="inlineStr" s="5">
        <is>
          <t/>
        </is>
      </c>
    </row>
    <row r="198" ht="22" customHeight="1">
      <c r="A198" t="inlineStr" s="6">
        <is>
          <t/>
        </is>
      </c>
      <c r="B198" s="5">
        <f>IF(A198="","",TEXT(A198,"aaa"))</f>
      </c>
      <c r="C198" t="inlineStr" s="5">
        <is>
          <t/>
        </is>
      </c>
      <c r="D198" t="inlineStr" s="5">
        <is>
          <t/>
        </is>
      </c>
      <c r="E198" t="inlineStr" s="7">
        <is>
          <t/>
        </is>
      </c>
      <c r="F198" t="inlineStr" s="7">
        <is>
          <t/>
        </is>
      </c>
      <c r="G198" s="8">
        <f>IF(AND(E198="",F198=""),"",F198-E198)</f>
      </c>
      <c r="H198" t="inlineStr" s="5">
        <is>
          <t/>
        </is>
      </c>
      <c r="I198" t="inlineStr" s="5">
        <is>
          <t/>
        </is>
      </c>
    </row>
    <row r="199" ht="24" customHeight="1">
      <c r="A199" t="inlineStr" s="9">
        <is>
          <t>本周小计</t>
        </is>
      </c>
      <c r="B199" t="inlineStr" s="9">
        <is>
          <t/>
        </is>
      </c>
      <c r="C199" t="inlineStr" s="9">
        <is>
          <t/>
        </is>
      </c>
      <c r="D199" t="inlineStr" s="9">
        <is>
          <t/>
        </is>
      </c>
      <c r="E199" s="9">
        <f>SUM(E184:E198)</f>
      </c>
      <c r="F199" s="9">
        <f>SUM(F184:F198)</f>
      </c>
      <c r="G199" s="9">
        <f>SUM(G184:G198)</f>
      </c>
      <c r="H199" t="inlineStr" s="9">
        <is>
          <t/>
        </is>
      </c>
      <c r="I199" t="inlineStr" s="9">
        <is>
          <t/>
        </is>
      </c>
    </row>
    <row r="200" ht="18" customHeight="1">
      <c r="A200" t="inlineStr" s="10">
        <is>
          <t/>
        </is>
      </c>
      <c r="B200" t="inlineStr" s="10">
        <is>
          <t/>
        </is>
      </c>
      <c r="C200" t="inlineStr" s="10">
        <is>
          <t/>
        </is>
      </c>
      <c r="D200" t="inlineStr" s="10">
        <is>
          <t/>
        </is>
      </c>
      <c r="E200" t="inlineStr" s="10">
        <is>
          <t/>
        </is>
      </c>
      <c r="F200" t="inlineStr" s="10">
        <is>
          <t/>
        </is>
      </c>
      <c r="G200" t="inlineStr" s="10">
        <is>
          <t/>
        </is>
      </c>
      <c r="H200" t="inlineStr" s="10">
        <is>
          <t/>
        </is>
      </c>
      <c r="I200" t="inlineStr" s="10">
        <is>
          <t/>
        </is>
      </c>
    </row>
    <row r="201" ht="18" customHeight="1">
      <c r="A201" t="inlineStr" s="10">
        <is>
          <t/>
        </is>
      </c>
      <c r="B201" t="inlineStr" s="10">
        <is>
          <t/>
        </is>
      </c>
      <c r="C201" t="inlineStr" s="10">
        <is>
          <t/>
        </is>
      </c>
      <c r="D201" t="inlineStr" s="10">
        <is>
          <t/>
        </is>
      </c>
      <c r="E201" t="inlineStr" s="10">
        <is>
          <t/>
        </is>
      </c>
      <c r="F201" t="inlineStr" s="10">
        <is>
          <t/>
        </is>
      </c>
      <c r="G201" t="inlineStr" s="10">
        <is>
          <t/>
        </is>
      </c>
      <c r="H201" t="inlineStr" s="10">
        <is>
          <t/>
        </is>
      </c>
      <c r="I201" t="inlineStr" s="10">
        <is>
          <t/>
        </is>
      </c>
    </row>
    <row r="202" ht="28" customHeight="1">
      <c r="A202" t="inlineStr" s="3">
        <is>
          <t>2026年8月｜第二周（8月10日 - 8月16日）</t>
        </is>
      </c>
      <c r="B202" t="inlineStr" s="3">
        <is>
          <t/>
        </is>
      </c>
      <c r="C202" t="inlineStr" s="3">
        <is>
          <t/>
        </is>
      </c>
      <c r="D202" t="inlineStr" s="3">
        <is>
          <t/>
        </is>
      </c>
      <c r="E202" t="inlineStr" s="3">
        <is>
          <t/>
        </is>
      </c>
      <c r="F202" t="inlineStr" s="3">
        <is>
          <t/>
        </is>
      </c>
      <c r="G202" t="inlineStr" s="3">
        <is>
          <t/>
        </is>
      </c>
      <c r="H202" t="inlineStr" s="3">
        <is>
          <t/>
        </is>
      </c>
      <c r="I202" t="inlineStr" s="3">
        <is>
          <t/>
        </is>
      </c>
    </row>
    <row r="203" ht="23" customHeight="1">
      <c r="A203" t="inlineStr" s="4">
        <is>
          <t>日期</t>
        </is>
      </c>
      <c r="B203" t="inlineStr" s="4">
        <is>
          <t>星期</t>
        </is>
      </c>
      <c r="C203" t="inlineStr" s="4">
        <is>
          <t>分类</t>
        </is>
      </c>
      <c r="D203" t="inlineStr" s="4">
        <is>
          <t>事项</t>
        </is>
      </c>
      <c r="E203" t="inlineStr" s="4">
        <is>
          <t>支出金额</t>
        </is>
      </c>
      <c r="F203" t="inlineStr" s="4">
        <is>
          <t>收入金额</t>
        </is>
      </c>
      <c r="G203" t="inlineStr" s="4">
        <is>
          <t>当笔净额</t>
        </is>
      </c>
      <c r="H203" t="inlineStr" s="4">
        <is>
          <t>支付方式</t>
        </is>
      </c>
      <c r="I203" t="inlineStr" s="4">
        <is>
          <t>备注</t>
        </is>
      </c>
    </row>
    <row r="204" ht="22" customHeight="1">
      <c r="A204" t="inlineStr" s="6">
        <is>
          <t/>
        </is>
      </c>
      <c r="B204" s="5">
        <f>IF(A204="","",TEXT(A204,"aaa"))</f>
      </c>
      <c r="C204" t="inlineStr" s="5">
        <is>
          <t/>
        </is>
      </c>
      <c r="D204" t="inlineStr" s="5">
        <is>
          <t/>
        </is>
      </c>
      <c r="E204" t="inlineStr" s="7">
        <is>
          <t/>
        </is>
      </c>
      <c r="F204" t="inlineStr" s="7">
        <is>
          <t/>
        </is>
      </c>
      <c r="G204" s="8">
        <f>IF(AND(E204="",F204=""),"",F204-E204)</f>
      </c>
      <c r="H204" t="inlineStr" s="5">
        <is>
          <t/>
        </is>
      </c>
      <c r="I204" t="inlineStr" s="5">
        <is>
          <t/>
        </is>
      </c>
    </row>
    <row r="205" ht="22" customHeight="1">
      <c r="A205" t="inlineStr" s="6">
        <is>
          <t/>
        </is>
      </c>
      <c r="B205" s="5">
        <f>IF(A205="","",TEXT(A205,"aaa"))</f>
      </c>
      <c r="C205" t="inlineStr" s="5">
        <is>
          <t/>
        </is>
      </c>
      <c r="D205" t="inlineStr" s="5">
        <is>
          <t/>
        </is>
      </c>
      <c r="E205" t="inlineStr" s="7">
        <is>
          <t/>
        </is>
      </c>
      <c r="F205" t="inlineStr" s="7">
        <is>
          <t/>
        </is>
      </c>
      <c r="G205" s="8">
        <f>IF(AND(E205="",F205=""),"",F205-E205)</f>
      </c>
      <c r="H205" t="inlineStr" s="5">
        <is>
          <t/>
        </is>
      </c>
      <c r="I205" t="inlineStr" s="5">
        <is>
          <t/>
        </is>
      </c>
    </row>
    <row r="206" ht="22" customHeight="1">
      <c r="A206" t="inlineStr" s="6">
        <is>
          <t/>
        </is>
      </c>
      <c r="B206" s="5">
        <f>IF(A206="","",TEXT(A206,"aaa"))</f>
      </c>
      <c r="C206" t="inlineStr" s="5">
        <is>
          <t/>
        </is>
      </c>
      <c r="D206" t="inlineStr" s="5">
        <is>
          <t/>
        </is>
      </c>
      <c r="E206" t="inlineStr" s="7">
        <is>
          <t/>
        </is>
      </c>
      <c r="F206" t="inlineStr" s="7">
        <is>
          <t/>
        </is>
      </c>
      <c r="G206" s="8">
        <f>IF(AND(E206="",F206=""),"",F206-E206)</f>
      </c>
      <c r="H206" t="inlineStr" s="5">
        <is>
          <t/>
        </is>
      </c>
      <c r="I206" t="inlineStr" s="5">
        <is>
          <t/>
        </is>
      </c>
    </row>
    <row r="207" ht="22" customHeight="1">
      <c r="A207" t="inlineStr" s="6">
        <is>
          <t/>
        </is>
      </c>
      <c r="B207" s="5">
        <f>IF(A207="","",TEXT(A207,"aaa"))</f>
      </c>
      <c r="C207" t="inlineStr" s="5">
        <is>
          <t/>
        </is>
      </c>
      <c r="D207" t="inlineStr" s="5">
        <is>
          <t/>
        </is>
      </c>
      <c r="E207" t="inlineStr" s="7">
        <is>
          <t/>
        </is>
      </c>
      <c r="F207" t="inlineStr" s="7">
        <is>
          <t/>
        </is>
      </c>
      <c r="G207" s="8">
        <f>IF(AND(E207="",F207=""),"",F207-E207)</f>
      </c>
      <c r="H207" t="inlineStr" s="5">
        <is>
          <t/>
        </is>
      </c>
      <c r="I207" t="inlineStr" s="5">
        <is>
          <t/>
        </is>
      </c>
    </row>
    <row r="208" ht="22" customHeight="1">
      <c r="A208" t="inlineStr" s="6">
        <is>
          <t/>
        </is>
      </c>
      <c r="B208" s="5">
        <f>IF(A208="","",TEXT(A208,"aaa"))</f>
      </c>
      <c r="C208" t="inlineStr" s="5">
        <is>
          <t/>
        </is>
      </c>
      <c r="D208" t="inlineStr" s="5">
        <is>
          <t/>
        </is>
      </c>
      <c r="E208" t="inlineStr" s="7">
        <is>
          <t/>
        </is>
      </c>
      <c r="F208" t="inlineStr" s="7">
        <is>
          <t/>
        </is>
      </c>
      <c r="G208" s="8">
        <f>IF(AND(E208="",F208=""),"",F208-E208)</f>
      </c>
      <c r="H208" t="inlineStr" s="5">
        <is>
          <t/>
        </is>
      </c>
      <c r="I208" t="inlineStr" s="5">
        <is>
          <t/>
        </is>
      </c>
    </row>
    <row r="209" ht="22" customHeight="1">
      <c r="A209" t="inlineStr" s="6">
        <is>
          <t/>
        </is>
      </c>
      <c r="B209" s="5">
        <f>IF(A209="","",TEXT(A209,"aaa"))</f>
      </c>
      <c r="C209" t="inlineStr" s="5">
        <is>
          <t/>
        </is>
      </c>
      <c r="D209" t="inlineStr" s="5">
        <is>
          <t/>
        </is>
      </c>
      <c r="E209" t="inlineStr" s="7">
        <is>
          <t/>
        </is>
      </c>
      <c r="F209" t="inlineStr" s="7">
        <is>
          <t/>
        </is>
      </c>
      <c r="G209" s="8">
        <f>IF(AND(E209="",F209=""),"",F209-E209)</f>
      </c>
      <c r="H209" t="inlineStr" s="5">
        <is>
          <t/>
        </is>
      </c>
      <c r="I209" t="inlineStr" s="5">
        <is>
          <t/>
        </is>
      </c>
    </row>
    <row r="210" ht="22" customHeight="1">
      <c r="A210" t="inlineStr" s="6">
        <is>
          <t/>
        </is>
      </c>
      <c r="B210" s="5">
        <f>IF(A210="","",TEXT(A210,"aaa"))</f>
      </c>
      <c r="C210" t="inlineStr" s="5">
        <is>
          <t/>
        </is>
      </c>
      <c r="D210" t="inlineStr" s="5">
        <is>
          <t/>
        </is>
      </c>
      <c r="E210" t="inlineStr" s="7">
        <is>
          <t/>
        </is>
      </c>
      <c r="F210" t="inlineStr" s="7">
        <is>
          <t/>
        </is>
      </c>
      <c r="G210" s="8">
        <f>IF(AND(E210="",F210=""),"",F210-E210)</f>
      </c>
      <c r="H210" t="inlineStr" s="5">
        <is>
          <t/>
        </is>
      </c>
      <c r="I210" t="inlineStr" s="5">
        <is>
          <t/>
        </is>
      </c>
    </row>
    <row r="211" ht="22" customHeight="1">
      <c r="A211" t="inlineStr" s="6">
        <is>
          <t/>
        </is>
      </c>
      <c r="B211" s="5">
        <f>IF(A211="","",TEXT(A211,"aaa"))</f>
      </c>
      <c r="C211" t="inlineStr" s="5">
        <is>
          <t/>
        </is>
      </c>
      <c r="D211" t="inlineStr" s="5">
        <is>
          <t/>
        </is>
      </c>
      <c r="E211" t="inlineStr" s="7">
        <is>
          <t/>
        </is>
      </c>
      <c r="F211" t="inlineStr" s="7">
        <is>
          <t/>
        </is>
      </c>
      <c r="G211" s="8">
        <f>IF(AND(E211="",F211=""),"",F211-E211)</f>
      </c>
      <c r="H211" t="inlineStr" s="5">
        <is>
          <t/>
        </is>
      </c>
      <c r="I211" t="inlineStr" s="5">
        <is>
          <t/>
        </is>
      </c>
    </row>
    <row r="212" ht="22" customHeight="1">
      <c r="A212" t="inlineStr" s="6">
        <is>
          <t/>
        </is>
      </c>
      <c r="B212" s="5">
        <f>IF(A212="","",TEXT(A212,"aaa"))</f>
      </c>
      <c r="C212" t="inlineStr" s="5">
        <is>
          <t/>
        </is>
      </c>
      <c r="D212" t="inlineStr" s="5">
        <is>
          <t/>
        </is>
      </c>
      <c r="E212" t="inlineStr" s="7">
        <is>
          <t/>
        </is>
      </c>
      <c r="F212" t="inlineStr" s="7">
        <is>
          <t/>
        </is>
      </c>
      <c r="G212" s="8">
        <f>IF(AND(E212="",F212=""),"",F212-E212)</f>
      </c>
      <c r="H212" t="inlineStr" s="5">
        <is>
          <t/>
        </is>
      </c>
      <c r="I212" t="inlineStr" s="5">
        <is>
          <t/>
        </is>
      </c>
    </row>
    <row r="213" ht="22" customHeight="1">
      <c r="A213" t="inlineStr" s="6">
        <is>
          <t/>
        </is>
      </c>
      <c r="B213" s="5">
        <f>IF(A213="","",TEXT(A213,"aaa"))</f>
      </c>
      <c r="C213" t="inlineStr" s="5">
        <is>
          <t/>
        </is>
      </c>
      <c r="D213" t="inlineStr" s="5">
        <is>
          <t/>
        </is>
      </c>
      <c r="E213" t="inlineStr" s="7">
        <is>
          <t/>
        </is>
      </c>
      <c r="F213" t="inlineStr" s="7">
        <is>
          <t/>
        </is>
      </c>
      <c r="G213" s="8">
        <f>IF(AND(E213="",F213=""),"",F213-E213)</f>
      </c>
      <c r="H213" t="inlineStr" s="5">
        <is>
          <t/>
        </is>
      </c>
      <c r="I213" t="inlineStr" s="5">
        <is>
          <t/>
        </is>
      </c>
    </row>
    <row r="214" ht="22" customHeight="1">
      <c r="A214" t="inlineStr" s="6">
        <is>
          <t/>
        </is>
      </c>
      <c r="B214" s="5">
        <f>IF(A214="","",TEXT(A214,"aaa"))</f>
      </c>
      <c r="C214" t="inlineStr" s="5">
        <is>
          <t/>
        </is>
      </c>
      <c r="D214" t="inlineStr" s="5">
        <is>
          <t/>
        </is>
      </c>
      <c r="E214" t="inlineStr" s="7">
        <is>
          <t/>
        </is>
      </c>
      <c r="F214" t="inlineStr" s="7">
        <is>
          <t/>
        </is>
      </c>
      <c r="G214" s="8">
        <f>IF(AND(E214="",F214=""),"",F214-E214)</f>
      </c>
      <c r="H214" t="inlineStr" s="5">
        <is>
          <t/>
        </is>
      </c>
      <c r="I214" t="inlineStr" s="5">
        <is>
          <t/>
        </is>
      </c>
    </row>
    <row r="215" ht="22" customHeight="1">
      <c r="A215" t="inlineStr" s="6">
        <is>
          <t/>
        </is>
      </c>
      <c r="B215" s="5">
        <f>IF(A215="","",TEXT(A215,"aaa"))</f>
      </c>
      <c r="C215" t="inlineStr" s="5">
        <is>
          <t/>
        </is>
      </c>
      <c r="D215" t="inlineStr" s="5">
        <is>
          <t/>
        </is>
      </c>
      <c r="E215" t="inlineStr" s="7">
        <is>
          <t/>
        </is>
      </c>
      <c r="F215" t="inlineStr" s="7">
        <is>
          <t/>
        </is>
      </c>
      <c r="G215" s="8">
        <f>IF(AND(E215="",F215=""),"",F215-E215)</f>
      </c>
      <c r="H215" t="inlineStr" s="5">
        <is>
          <t/>
        </is>
      </c>
      <c r="I215" t="inlineStr" s="5">
        <is>
          <t/>
        </is>
      </c>
    </row>
    <row r="216" ht="22" customHeight="1">
      <c r="A216" t="inlineStr" s="6">
        <is>
          <t/>
        </is>
      </c>
      <c r="B216" s="5">
        <f>IF(A216="","",TEXT(A216,"aaa"))</f>
      </c>
      <c r="C216" t="inlineStr" s="5">
        <is>
          <t/>
        </is>
      </c>
      <c r="D216" t="inlineStr" s="5">
        <is>
          <t/>
        </is>
      </c>
      <c r="E216" t="inlineStr" s="7">
        <is>
          <t/>
        </is>
      </c>
      <c r="F216" t="inlineStr" s="7">
        <is>
          <t/>
        </is>
      </c>
      <c r="G216" s="8">
        <f>IF(AND(E216="",F216=""),"",F216-E216)</f>
      </c>
      <c r="H216" t="inlineStr" s="5">
        <is>
          <t/>
        </is>
      </c>
      <c r="I216" t="inlineStr" s="5">
        <is>
          <t/>
        </is>
      </c>
    </row>
    <row r="217" ht="22" customHeight="1">
      <c r="A217" t="inlineStr" s="6">
        <is>
          <t/>
        </is>
      </c>
      <c r="B217" s="5">
        <f>IF(A217="","",TEXT(A217,"aaa"))</f>
      </c>
      <c r="C217" t="inlineStr" s="5">
        <is>
          <t/>
        </is>
      </c>
      <c r="D217" t="inlineStr" s="5">
        <is>
          <t/>
        </is>
      </c>
      <c r="E217" t="inlineStr" s="7">
        <is>
          <t/>
        </is>
      </c>
      <c r="F217" t="inlineStr" s="7">
        <is>
          <t/>
        </is>
      </c>
      <c r="G217" s="8">
        <f>IF(AND(E217="",F217=""),"",F217-E217)</f>
      </c>
      <c r="H217" t="inlineStr" s="5">
        <is>
          <t/>
        </is>
      </c>
      <c r="I217" t="inlineStr" s="5">
        <is>
          <t/>
        </is>
      </c>
    </row>
    <row r="218" ht="22" customHeight="1">
      <c r="A218" t="inlineStr" s="6">
        <is>
          <t/>
        </is>
      </c>
      <c r="B218" s="5">
        <f>IF(A218="","",TEXT(A218,"aaa"))</f>
      </c>
      <c r="C218" t="inlineStr" s="5">
        <is>
          <t/>
        </is>
      </c>
      <c r="D218" t="inlineStr" s="5">
        <is>
          <t/>
        </is>
      </c>
      <c r="E218" t="inlineStr" s="7">
        <is>
          <t/>
        </is>
      </c>
      <c r="F218" t="inlineStr" s="7">
        <is>
          <t/>
        </is>
      </c>
      <c r="G218" s="8">
        <f>IF(AND(E218="",F218=""),"",F218-E218)</f>
      </c>
      <c r="H218" t="inlineStr" s="5">
        <is>
          <t/>
        </is>
      </c>
      <c r="I218" t="inlineStr" s="5">
        <is>
          <t/>
        </is>
      </c>
    </row>
    <row r="219" ht="24" customHeight="1">
      <c r="A219" t="inlineStr" s="9">
        <is>
          <t>本周小计</t>
        </is>
      </c>
      <c r="B219" t="inlineStr" s="9">
        <is>
          <t/>
        </is>
      </c>
      <c r="C219" t="inlineStr" s="9">
        <is>
          <t/>
        </is>
      </c>
      <c r="D219" t="inlineStr" s="9">
        <is>
          <t/>
        </is>
      </c>
      <c r="E219" s="9">
        <f>SUM(E204:E218)</f>
      </c>
      <c r="F219" s="9">
        <f>SUM(F204:F218)</f>
      </c>
      <c r="G219" s="9">
        <f>SUM(G204:G218)</f>
      </c>
      <c r="H219" t="inlineStr" s="9">
        <is>
          <t/>
        </is>
      </c>
      <c r="I219" t="inlineStr" s="9">
        <is>
          <t/>
        </is>
      </c>
    </row>
    <row r="220" ht="18" customHeight="1">
      <c r="A220" t="inlineStr" s="10">
        <is>
          <t/>
        </is>
      </c>
      <c r="B220" t="inlineStr" s="10">
        <is>
          <t/>
        </is>
      </c>
      <c r="C220" t="inlineStr" s="10">
        <is>
          <t/>
        </is>
      </c>
      <c r="D220" t="inlineStr" s="10">
        <is>
          <t/>
        </is>
      </c>
      <c r="E220" t="inlineStr" s="10">
        <is>
          <t/>
        </is>
      </c>
      <c r="F220" t="inlineStr" s="10">
        <is>
          <t/>
        </is>
      </c>
      <c r="G220" t="inlineStr" s="10">
        <is>
          <t/>
        </is>
      </c>
      <c r="H220" t="inlineStr" s="10">
        <is>
          <t/>
        </is>
      </c>
      <c r="I220" t="inlineStr" s="10">
        <is>
          <t/>
        </is>
      </c>
    </row>
    <row r="221" ht="18" customHeight="1">
      <c r="A221" t="inlineStr" s="10">
        <is>
          <t/>
        </is>
      </c>
      <c r="B221" t="inlineStr" s="10">
        <is>
          <t/>
        </is>
      </c>
      <c r="C221" t="inlineStr" s="10">
        <is>
          <t/>
        </is>
      </c>
      <c r="D221" t="inlineStr" s="10">
        <is>
          <t/>
        </is>
      </c>
      <c r="E221" t="inlineStr" s="10">
        <is>
          <t/>
        </is>
      </c>
      <c r="F221" t="inlineStr" s="10">
        <is>
          <t/>
        </is>
      </c>
      <c r="G221" t="inlineStr" s="10">
        <is>
          <t/>
        </is>
      </c>
      <c r="H221" t="inlineStr" s="10">
        <is>
          <t/>
        </is>
      </c>
      <c r="I221" t="inlineStr" s="10">
        <is>
          <t/>
        </is>
      </c>
    </row>
    <row r="222" ht="28" customHeight="1">
      <c r="A222" t="inlineStr" s="3">
        <is>
          <t>2026年8月｜第三周（8月17日 - 8月23日）</t>
        </is>
      </c>
      <c r="B222" t="inlineStr" s="3">
        <is>
          <t/>
        </is>
      </c>
      <c r="C222" t="inlineStr" s="3">
        <is>
          <t/>
        </is>
      </c>
      <c r="D222" t="inlineStr" s="3">
        <is>
          <t/>
        </is>
      </c>
      <c r="E222" t="inlineStr" s="3">
        <is>
          <t/>
        </is>
      </c>
      <c r="F222" t="inlineStr" s="3">
        <is>
          <t/>
        </is>
      </c>
      <c r="G222" t="inlineStr" s="3">
        <is>
          <t/>
        </is>
      </c>
      <c r="H222" t="inlineStr" s="3">
        <is>
          <t/>
        </is>
      </c>
      <c r="I222" t="inlineStr" s="3">
        <is>
          <t/>
        </is>
      </c>
    </row>
    <row r="223" ht="23" customHeight="1">
      <c r="A223" t="inlineStr" s="4">
        <is>
          <t>日期</t>
        </is>
      </c>
      <c r="B223" t="inlineStr" s="4">
        <is>
          <t>星期</t>
        </is>
      </c>
      <c r="C223" t="inlineStr" s="4">
        <is>
          <t>分类</t>
        </is>
      </c>
      <c r="D223" t="inlineStr" s="4">
        <is>
          <t>事项</t>
        </is>
      </c>
      <c r="E223" t="inlineStr" s="4">
        <is>
          <t>支出金额</t>
        </is>
      </c>
      <c r="F223" t="inlineStr" s="4">
        <is>
          <t>收入金额</t>
        </is>
      </c>
      <c r="G223" t="inlineStr" s="4">
        <is>
          <t>当笔净额</t>
        </is>
      </c>
      <c r="H223" t="inlineStr" s="4">
        <is>
          <t>支付方式</t>
        </is>
      </c>
      <c r="I223" t="inlineStr" s="4">
        <is>
          <t>备注</t>
        </is>
      </c>
    </row>
    <row r="224" ht="22" customHeight="1">
      <c r="A224" t="inlineStr" s="6">
        <is>
          <t/>
        </is>
      </c>
      <c r="B224" s="5">
        <f>IF(A224="","",TEXT(A224,"aaa"))</f>
      </c>
      <c r="C224" t="inlineStr" s="5">
        <is>
          <t/>
        </is>
      </c>
      <c r="D224" t="inlineStr" s="5">
        <is>
          <t/>
        </is>
      </c>
      <c r="E224" t="inlineStr" s="7">
        <is>
          <t/>
        </is>
      </c>
      <c r="F224" t="inlineStr" s="7">
        <is>
          <t/>
        </is>
      </c>
      <c r="G224" s="8">
        <f>IF(AND(E224="",F224=""),"",F224-E224)</f>
      </c>
      <c r="H224" t="inlineStr" s="5">
        <is>
          <t/>
        </is>
      </c>
      <c r="I224" t="inlineStr" s="5">
        <is>
          <t/>
        </is>
      </c>
    </row>
    <row r="225" ht="22" customHeight="1">
      <c r="A225" t="inlineStr" s="6">
        <is>
          <t/>
        </is>
      </c>
      <c r="B225" s="5">
        <f>IF(A225="","",TEXT(A225,"aaa"))</f>
      </c>
      <c r="C225" t="inlineStr" s="5">
        <is>
          <t/>
        </is>
      </c>
      <c r="D225" t="inlineStr" s="5">
        <is>
          <t/>
        </is>
      </c>
      <c r="E225" t="inlineStr" s="7">
        <is>
          <t/>
        </is>
      </c>
      <c r="F225" t="inlineStr" s="7">
        <is>
          <t/>
        </is>
      </c>
      <c r="G225" s="8">
        <f>IF(AND(E225="",F225=""),"",F225-E225)</f>
      </c>
      <c r="H225" t="inlineStr" s="5">
        <is>
          <t/>
        </is>
      </c>
      <c r="I225" t="inlineStr" s="5">
        <is>
          <t/>
        </is>
      </c>
    </row>
    <row r="226" ht="22" customHeight="1">
      <c r="A226" t="inlineStr" s="6">
        <is>
          <t/>
        </is>
      </c>
      <c r="B226" s="5">
        <f>IF(A226="","",TEXT(A226,"aaa"))</f>
      </c>
      <c r="C226" t="inlineStr" s="5">
        <is>
          <t/>
        </is>
      </c>
      <c r="D226" t="inlineStr" s="5">
        <is>
          <t/>
        </is>
      </c>
      <c r="E226" t="inlineStr" s="7">
        <is>
          <t/>
        </is>
      </c>
      <c r="F226" t="inlineStr" s="7">
        <is>
          <t/>
        </is>
      </c>
      <c r="G226" s="8">
        <f>IF(AND(E226="",F226=""),"",F226-E226)</f>
      </c>
      <c r="H226" t="inlineStr" s="5">
        <is>
          <t/>
        </is>
      </c>
      <c r="I226" t="inlineStr" s="5">
        <is>
          <t/>
        </is>
      </c>
    </row>
    <row r="227" ht="22" customHeight="1">
      <c r="A227" t="inlineStr" s="6">
        <is>
          <t/>
        </is>
      </c>
      <c r="B227" s="5">
        <f>IF(A227="","",TEXT(A227,"aaa"))</f>
      </c>
      <c r="C227" t="inlineStr" s="5">
        <is>
          <t/>
        </is>
      </c>
      <c r="D227" t="inlineStr" s="5">
        <is>
          <t/>
        </is>
      </c>
      <c r="E227" t="inlineStr" s="7">
        <is>
          <t/>
        </is>
      </c>
      <c r="F227" t="inlineStr" s="7">
        <is>
          <t/>
        </is>
      </c>
      <c r="G227" s="8">
        <f>IF(AND(E227="",F227=""),"",F227-E227)</f>
      </c>
      <c r="H227" t="inlineStr" s="5">
        <is>
          <t/>
        </is>
      </c>
      <c r="I227" t="inlineStr" s="5">
        <is>
          <t/>
        </is>
      </c>
    </row>
    <row r="228" ht="22" customHeight="1">
      <c r="A228" t="inlineStr" s="6">
        <is>
          <t/>
        </is>
      </c>
      <c r="B228" s="5">
        <f>IF(A228="","",TEXT(A228,"aaa"))</f>
      </c>
      <c r="C228" t="inlineStr" s="5">
        <is>
          <t/>
        </is>
      </c>
      <c r="D228" t="inlineStr" s="5">
        <is>
          <t/>
        </is>
      </c>
      <c r="E228" t="inlineStr" s="7">
        <is>
          <t/>
        </is>
      </c>
      <c r="F228" t="inlineStr" s="7">
        <is>
          <t/>
        </is>
      </c>
      <c r="G228" s="8">
        <f>IF(AND(E228="",F228=""),"",F228-E228)</f>
      </c>
      <c r="H228" t="inlineStr" s="5">
        <is>
          <t/>
        </is>
      </c>
      <c r="I228" t="inlineStr" s="5">
        <is>
          <t/>
        </is>
      </c>
    </row>
    <row r="229" ht="22" customHeight="1">
      <c r="A229" t="inlineStr" s="6">
        <is>
          <t/>
        </is>
      </c>
      <c r="B229" s="5">
        <f>IF(A229="","",TEXT(A229,"aaa"))</f>
      </c>
      <c r="C229" t="inlineStr" s="5">
        <is>
          <t/>
        </is>
      </c>
      <c r="D229" t="inlineStr" s="5">
        <is>
          <t/>
        </is>
      </c>
      <c r="E229" t="inlineStr" s="7">
        <is>
          <t/>
        </is>
      </c>
      <c r="F229" t="inlineStr" s="7">
        <is>
          <t/>
        </is>
      </c>
      <c r="G229" s="8">
        <f>IF(AND(E229="",F229=""),"",F229-E229)</f>
      </c>
      <c r="H229" t="inlineStr" s="5">
        <is>
          <t/>
        </is>
      </c>
      <c r="I229" t="inlineStr" s="5">
        <is>
          <t/>
        </is>
      </c>
    </row>
    <row r="230" ht="22" customHeight="1">
      <c r="A230" t="inlineStr" s="6">
        <is>
          <t/>
        </is>
      </c>
      <c r="B230" s="5">
        <f>IF(A230="","",TEXT(A230,"aaa"))</f>
      </c>
      <c r="C230" t="inlineStr" s="5">
        <is>
          <t/>
        </is>
      </c>
      <c r="D230" t="inlineStr" s="5">
        <is>
          <t/>
        </is>
      </c>
      <c r="E230" t="inlineStr" s="7">
        <is>
          <t/>
        </is>
      </c>
      <c r="F230" t="inlineStr" s="7">
        <is>
          <t/>
        </is>
      </c>
      <c r="G230" s="8">
        <f>IF(AND(E230="",F230=""),"",F230-E230)</f>
      </c>
      <c r="H230" t="inlineStr" s="5">
        <is>
          <t/>
        </is>
      </c>
      <c r="I230" t="inlineStr" s="5">
        <is>
          <t/>
        </is>
      </c>
    </row>
    <row r="231" ht="22" customHeight="1">
      <c r="A231" t="inlineStr" s="6">
        <is>
          <t/>
        </is>
      </c>
      <c r="B231" s="5">
        <f>IF(A231="","",TEXT(A231,"aaa"))</f>
      </c>
      <c r="C231" t="inlineStr" s="5">
        <is>
          <t/>
        </is>
      </c>
      <c r="D231" t="inlineStr" s="5">
        <is>
          <t/>
        </is>
      </c>
      <c r="E231" t="inlineStr" s="7">
        <is>
          <t/>
        </is>
      </c>
      <c r="F231" t="inlineStr" s="7">
        <is>
          <t/>
        </is>
      </c>
      <c r="G231" s="8">
        <f>IF(AND(E231="",F231=""),"",F231-E231)</f>
      </c>
      <c r="H231" t="inlineStr" s="5">
        <is>
          <t/>
        </is>
      </c>
      <c r="I231" t="inlineStr" s="5">
        <is>
          <t/>
        </is>
      </c>
    </row>
    <row r="232" ht="22" customHeight="1">
      <c r="A232" t="inlineStr" s="6">
        <is>
          <t/>
        </is>
      </c>
      <c r="B232" s="5">
        <f>IF(A232="","",TEXT(A232,"aaa"))</f>
      </c>
      <c r="C232" t="inlineStr" s="5">
        <is>
          <t/>
        </is>
      </c>
      <c r="D232" t="inlineStr" s="5">
        <is>
          <t/>
        </is>
      </c>
      <c r="E232" t="inlineStr" s="7">
        <is>
          <t/>
        </is>
      </c>
      <c r="F232" t="inlineStr" s="7">
        <is>
          <t/>
        </is>
      </c>
      <c r="G232" s="8">
        <f>IF(AND(E232="",F232=""),"",F232-E232)</f>
      </c>
      <c r="H232" t="inlineStr" s="5">
        <is>
          <t/>
        </is>
      </c>
      <c r="I232" t="inlineStr" s="5">
        <is>
          <t/>
        </is>
      </c>
    </row>
    <row r="233" ht="22" customHeight="1">
      <c r="A233" t="inlineStr" s="6">
        <is>
          <t/>
        </is>
      </c>
      <c r="B233" s="5">
        <f>IF(A233="","",TEXT(A233,"aaa"))</f>
      </c>
      <c r="C233" t="inlineStr" s="5">
        <is>
          <t/>
        </is>
      </c>
      <c r="D233" t="inlineStr" s="5">
        <is>
          <t/>
        </is>
      </c>
      <c r="E233" t="inlineStr" s="7">
        <is>
          <t/>
        </is>
      </c>
      <c r="F233" t="inlineStr" s="7">
        <is>
          <t/>
        </is>
      </c>
      <c r="G233" s="8">
        <f>IF(AND(E233="",F233=""),"",F233-E233)</f>
      </c>
      <c r="H233" t="inlineStr" s="5">
        <is>
          <t/>
        </is>
      </c>
      <c r="I233" t="inlineStr" s="5">
        <is>
          <t/>
        </is>
      </c>
    </row>
    <row r="234" ht="22" customHeight="1">
      <c r="A234" t="inlineStr" s="6">
        <is>
          <t/>
        </is>
      </c>
      <c r="B234" s="5">
        <f>IF(A234="","",TEXT(A234,"aaa"))</f>
      </c>
      <c r="C234" t="inlineStr" s="5">
        <is>
          <t/>
        </is>
      </c>
      <c r="D234" t="inlineStr" s="5">
        <is>
          <t/>
        </is>
      </c>
      <c r="E234" t="inlineStr" s="7">
        <is>
          <t/>
        </is>
      </c>
      <c r="F234" t="inlineStr" s="7">
        <is>
          <t/>
        </is>
      </c>
      <c r="G234" s="8">
        <f>IF(AND(E234="",F234=""),"",F234-E234)</f>
      </c>
      <c r="H234" t="inlineStr" s="5">
        <is>
          <t/>
        </is>
      </c>
      <c r="I234" t="inlineStr" s="5">
        <is>
          <t/>
        </is>
      </c>
    </row>
    <row r="235" ht="22" customHeight="1">
      <c r="A235" t="inlineStr" s="6">
        <is>
          <t/>
        </is>
      </c>
      <c r="B235" s="5">
        <f>IF(A235="","",TEXT(A235,"aaa"))</f>
      </c>
      <c r="C235" t="inlineStr" s="5">
        <is>
          <t/>
        </is>
      </c>
      <c r="D235" t="inlineStr" s="5">
        <is>
          <t/>
        </is>
      </c>
      <c r="E235" t="inlineStr" s="7">
        <is>
          <t/>
        </is>
      </c>
      <c r="F235" t="inlineStr" s="7">
        <is>
          <t/>
        </is>
      </c>
      <c r="G235" s="8">
        <f>IF(AND(E235="",F235=""),"",F235-E235)</f>
      </c>
      <c r="H235" t="inlineStr" s="5">
        <is>
          <t/>
        </is>
      </c>
      <c r="I235" t="inlineStr" s="5">
        <is>
          <t/>
        </is>
      </c>
    </row>
    <row r="236" ht="22" customHeight="1">
      <c r="A236" t="inlineStr" s="6">
        <is>
          <t/>
        </is>
      </c>
      <c r="B236" s="5">
        <f>IF(A236="","",TEXT(A236,"aaa"))</f>
      </c>
      <c r="C236" t="inlineStr" s="5">
        <is>
          <t/>
        </is>
      </c>
      <c r="D236" t="inlineStr" s="5">
        <is>
          <t/>
        </is>
      </c>
      <c r="E236" t="inlineStr" s="7">
        <is>
          <t/>
        </is>
      </c>
      <c r="F236" t="inlineStr" s="7">
        <is>
          <t/>
        </is>
      </c>
      <c r="G236" s="8">
        <f>IF(AND(E236="",F236=""),"",F236-E236)</f>
      </c>
      <c r="H236" t="inlineStr" s="5">
        <is>
          <t/>
        </is>
      </c>
      <c r="I236" t="inlineStr" s="5">
        <is>
          <t/>
        </is>
      </c>
    </row>
    <row r="237" ht="22" customHeight="1">
      <c r="A237" t="inlineStr" s="6">
        <is>
          <t/>
        </is>
      </c>
      <c r="B237" s="5">
        <f>IF(A237="","",TEXT(A237,"aaa"))</f>
      </c>
      <c r="C237" t="inlineStr" s="5">
        <is>
          <t/>
        </is>
      </c>
      <c r="D237" t="inlineStr" s="5">
        <is>
          <t/>
        </is>
      </c>
      <c r="E237" t="inlineStr" s="7">
        <is>
          <t/>
        </is>
      </c>
      <c r="F237" t="inlineStr" s="7">
        <is>
          <t/>
        </is>
      </c>
      <c r="G237" s="8">
        <f>IF(AND(E237="",F237=""),"",F237-E237)</f>
      </c>
      <c r="H237" t="inlineStr" s="5">
        <is>
          <t/>
        </is>
      </c>
      <c r="I237" t="inlineStr" s="5">
        <is>
          <t/>
        </is>
      </c>
    </row>
    <row r="238" ht="22" customHeight="1">
      <c r="A238" t="inlineStr" s="6">
        <is>
          <t/>
        </is>
      </c>
      <c r="B238" s="5">
        <f>IF(A238="","",TEXT(A238,"aaa"))</f>
      </c>
      <c r="C238" t="inlineStr" s="5">
        <is>
          <t/>
        </is>
      </c>
      <c r="D238" t="inlineStr" s="5">
        <is>
          <t/>
        </is>
      </c>
      <c r="E238" t="inlineStr" s="7">
        <is>
          <t/>
        </is>
      </c>
      <c r="F238" t="inlineStr" s="7">
        <is>
          <t/>
        </is>
      </c>
      <c r="G238" s="8">
        <f>IF(AND(E238="",F238=""),"",F238-E238)</f>
      </c>
      <c r="H238" t="inlineStr" s="5">
        <is>
          <t/>
        </is>
      </c>
      <c r="I238" t="inlineStr" s="5">
        <is>
          <t/>
        </is>
      </c>
    </row>
    <row r="239" ht="24" customHeight="1">
      <c r="A239" t="inlineStr" s="9">
        <is>
          <t>本周小计</t>
        </is>
      </c>
      <c r="B239" t="inlineStr" s="9">
        <is>
          <t/>
        </is>
      </c>
      <c r="C239" t="inlineStr" s="9">
        <is>
          <t/>
        </is>
      </c>
      <c r="D239" t="inlineStr" s="9">
        <is>
          <t/>
        </is>
      </c>
      <c r="E239" s="9">
        <f>SUM(E224:E238)</f>
      </c>
      <c r="F239" s="9">
        <f>SUM(F224:F238)</f>
      </c>
      <c r="G239" s="9">
        <f>SUM(G224:G238)</f>
      </c>
      <c r="H239" t="inlineStr" s="9">
        <is>
          <t/>
        </is>
      </c>
      <c r="I239" t="inlineStr" s="9">
        <is>
          <t/>
        </is>
      </c>
    </row>
    <row r="240" ht="18" customHeight="1">
      <c r="A240" t="inlineStr" s="10">
        <is>
          <t/>
        </is>
      </c>
      <c r="B240" t="inlineStr" s="10">
        <is>
          <t/>
        </is>
      </c>
      <c r="C240" t="inlineStr" s="10">
        <is>
          <t/>
        </is>
      </c>
      <c r="D240" t="inlineStr" s="10">
        <is>
          <t/>
        </is>
      </c>
      <c r="E240" t="inlineStr" s="10">
        <is>
          <t/>
        </is>
      </c>
      <c r="F240" t="inlineStr" s="10">
        <is>
          <t/>
        </is>
      </c>
      <c r="G240" t="inlineStr" s="10">
        <is>
          <t/>
        </is>
      </c>
      <c r="H240" t="inlineStr" s="10">
        <is>
          <t/>
        </is>
      </c>
      <c r="I240" t="inlineStr" s="10">
        <is>
          <t/>
        </is>
      </c>
    </row>
    <row r="241" ht="18" customHeight="1">
      <c r="A241" t="inlineStr" s="10">
        <is>
          <t/>
        </is>
      </c>
      <c r="B241" t="inlineStr" s="10">
        <is>
          <t/>
        </is>
      </c>
      <c r="C241" t="inlineStr" s="10">
        <is>
          <t/>
        </is>
      </c>
      <c r="D241" t="inlineStr" s="10">
        <is>
          <t/>
        </is>
      </c>
      <c r="E241" t="inlineStr" s="10">
        <is>
          <t/>
        </is>
      </c>
      <c r="F241" t="inlineStr" s="10">
        <is>
          <t/>
        </is>
      </c>
      <c r="G241" t="inlineStr" s="10">
        <is>
          <t/>
        </is>
      </c>
      <c r="H241" t="inlineStr" s="10">
        <is>
          <t/>
        </is>
      </c>
      <c r="I241" t="inlineStr" s="10">
        <is>
          <t/>
        </is>
      </c>
    </row>
    <row r="242" ht="28" customHeight="1">
      <c r="A242" t="inlineStr" s="3">
        <is>
          <t>2026年8月｜第四周（8月24日 - 8月30日）</t>
        </is>
      </c>
      <c r="B242" t="inlineStr" s="3">
        <is>
          <t/>
        </is>
      </c>
      <c r="C242" t="inlineStr" s="3">
        <is>
          <t/>
        </is>
      </c>
      <c r="D242" t="inlineStr" s="3">
        <is>
          <t/>
        </is>
      </c>
      <c r="E242" t="inlineStr" s="3">
        <is>
          <t/>
        </is>
      </c>
      <c r="F242" t="inlineStr" s="3">
        <is>
          <t/>
        </is>
      </c>
      <c r="G242" t="inlineStr" s="3">
        <is>
          <t/>
        </is>
      </c>
      <c r="H242" t="inlineStr" s="3">
        <is>
          <t/>
        </is>
      </c>
      <c r="I242" t="inlineStr" s="3">
        <is>
          <t/>
        </is>
      </c>
    </row>
    <row r="243" ht="23" customHeight="1">
      <c r="A243" t="inlineStr" s="4">
        <is>
          <t>日期</t>
        </is>
      </c>
      <c r="B243" t="inlineStr" s="4">
        <is>
          <t>星期</t>
        </is>
      </c>
      <c r="C243" t="inlineStr" s="4">
        <is>
          <t>分类</t>
        </is>
      </c>
      <c r="D243" t="inlineStr" s="4">
        <is>
          <t>事项</t>
        </is>
      </c>
      <c r="E243" t="inlineStr" s="4">
        <is>
          <t>支出金额</t>
        </is>
      </c>
      <c r="F243" t="inlineStr" s="4">
        <is>
          <t>收入金额</t>
        </is>
      </c>
      <c r="G243" t="inlineStr" s="4">
        <is>
          <t>当笔净额</t>
        </is>
      </c>
      <c r="H243" t="inlineStr" s="4">
        <is>
          <t>支付方式</t>
        </is>
      </c>
      <c r="I243" t="inlineStr" s="4">
        <is>
          <t>备注</t>
        </is>
      </c>
    </row>
    <row r="244" ht="22" customHeight="1">
      <c r="A244" t="inlineStr" s="6">
        <is>
          <t/>
        </is>
      </c>
      <c r="B244" s="5">
        <f>IF(A244="","",TEXT(A244,"aaa"))</f>
      </c>
      <c r="C244" t="inlineStr" s="5">
        <is>
          <t/>
        </is>
      </c>
      <c r="D244" t="inlineStr" s="5">
        <is>
          <t/>
        </is>
      </c>
      <c r="E244" t="inlineStr" s="7">
        <is>
          <t/>
        </is>
      </c>
      <c r="F244" t="inlineStr" s="7">
        <is>
          <t/>
        </is>
      </c>
      <c r="G244" s="8">
        <f>IF(AND(E244="",F244=""),"",F244-E244)</f>
      </c>
      <c r="H244" t="inlineStr" s="5">
        <is>
          <t/>
        </is>
      </c>
      <c r="I244" t="inlineStr" s="5">
        <is>
          <t/>
        </is>
      </c>
    </row>
    <row r="245" ht="22" customHeight="1">
      <c r="A245" t="inlineStr" s="6">
        <is>
          <t/>
        </is>
      </c>
      <c r="B245" s="5">
        <f>IF(A245="","",TEXT(A245,"aaa"))</f>
      </c>
      <c r="C245" t="inlineStr" s="5">
        <is>
          <t/>
        </is>
      </c>
      <c r="D245" t="inlineStr" s="5">
        <is>
          <t/>
        </is>
      </c>
      <c r="E245" t="inlineStr" s="7">
        <is>
          <t/>
        </is>
      </c>
      <c r="F245" t="inlineStr" s="7">
        <is>
          <t/>
        </is>
      </c>
      <c r="G245" s="8">
        <f>IF(AND(E245="",F245=""),"",F245-E245)</f>
      </c>
      <c r="H245" t="inlineStr" s="5">
        <is>
          <t/>
        </is>
      </c>
      <c r="I245" t="inlineStr" s="5">
        <is>
          <t/>
        </is>
      </c>
    </row>
    <row r="246" ht="22" customHeight="1">
      <c r="A246" t="inlineStr" s="6">
        <is>
          <t/>
        </is>
      </c>
      <c r="B246" s="5">
        <f>IF(A246="","",TEXT(A246,"aaa"))</f>
      </c>
      <c r="C246" t="inlineStr" s="5">
        <is>
          <t/>
        </is>
      </c>
      <c r="D246" t="inlineStr" s="5">
        <is>
          <t/>
        </is>
      </c>
      <c r="E246" t="inlineStr" s="7">
        <is>
          <t/>
        </is>
      </c>
      <c r="F246" t="inlineStr" s="7">
        <is>
          <t/>
        </is>
      </c>
      <c r="G246" s="8">
        <f>IF(AND(E246="",F246=""),"",F246-E246)</f>
      </c>
      <c r="H246" t="inlineStr" s="5">
        <is>
          <t/>
        </is>
      </c>
      <c r="I246" t="inlineStr" s="5">
        <is>
          <t/>
        </is>
      </c>
    </row>
    <row r="247" ht="22" customHeight="1">
      <c r="A247" t="inlineStr" s="6">
        <is>
          <t/>
        </is>
      </c>
      <c r="B247" s="5">
        <f>IF(A247="","",TEXT(A247,"aaa"))</f>
      </c>
      <c r="C247" t="inlineStr" s="5">
        <is>
          <t/>
        </is>
      </c>
      <c r="D247" t="inlineStr" s="5">
        <is>
          <t/>
        </is>
      </c>
      <c r="E247" t="inlineStr" s="7">
        <is>
          <t/>
        </is>
      </c>
      <c r="F247" t="inlineStr" s="7">
        <is>
          <t/>
        </is>
      </c>
      <c r="G247" s="8">
        <f>IF(AND(E247="",F247=""),"",F247-E247)</f>
      </c>
      <c r="H247" t="inlineStr" s="5">
        <is>
          <t/>
        </is>
      </c>
      <c r="I247" t="inlineStr" s="5">
        <is>
          <t/>
        </is>
      </c>
    </row>
    <row r="248" ht="22" customHeight="1">
      <c r="A248" t="inlineStr" s="6">
        <is>
          <t/>
        </is>
      </c>
      <c r="B248" s="5">
        <f>IF(A248="","",TEXT(A248,"aaa"))</f>
      </c>
      <c r="C248" t="inlineStr" s="5">
        <is>
          <t/>
        </is>
      </c>
      <c r="D248" t="inlineStr" s="5">
        <is>
          <t/>
        </is>
      </c>
      <c r="E248" t="inlineStr" s="7">
        <is>
          <t/>
        </is>
      </c>
      <c r="F248" t="inlineStr" s="7">
        <is>
          <t/>
        </is>
      </c>
      <c r="G248" s="8">
        <f>IF(AND(E248="",F248=""),"",F248-E248)</f>
      </c>
      <c r="H248" t="inlineStr" s="5">
        <is>
          <t/>
        </is>
      </c>
      <c r="I248" t="inlineStr" s="5">
        <is>
          <t/>
        </is>
      </c>
    </row>
    <row r="249" ht="22" customHeight="1">
      <c r="A249" t="inlineStr" s="6">
        <is>
          <t/>
        </is>
      </c>
      <c r="B249" s="5">
        <f>IF(A249="","",TEXT(A249,"aaa"))</f>
      </c>
      <c r="C249" t="inlineStr" s="5">
        <is>
          <t/>
        </is>
      </c>
      <c r="D249" t="inlineStr" s="5">
        <is>
          <t/>
        </is>
      </c>
      <c r="E249" t="inlineStr" s="7">
        <is>
          <t/>
        </is>
      </c>
      <c r="F249" t="inlineStr" s="7">
        <is>
          <t/>
        </is>
      </c>
      <c r="G249" s="8">
        <f>IF(AND(E249="",F249=""),"",F249-E249)</f>
      </c>
      <c r="H249" t="inlineStr" s="5">
        <is>
          <t/>
        </is>
      </c>
      <c r="I249" t="inlineStr" s="5">
        <is>
          <t/>
        </is>
      </c>
    </row>
    <row r="250" ht="22" customHeight="1">
      <c r="A250" t="inlineStr" s="6">
        <is>
          <t/>
        </is>
      </c>
      <c r="B250" s="5">
        <f>IF(A250="","",TEXT(A250,"aaa"))</f>
      </c>
      <c r="C250" t="inlineStr" s="5">
        <is>
          <t/>
        </is>
      </c>
      <c r="D250" t="inlineStr" s="5">
        <is>
          <t/>
        </is>
      </c>
      <c r="E250" t="inlineStr" s="7">
        <is>
          <t/>
        </is>
      </c>
      <c r="F250" t="inlineStr" s="7">
        <is>
          <t/>
        </is>
      </c>
      <c r="G250" s="8">
        <f>IF(AND(E250="",F250=""),"",F250-E250)</f>
      </c>
      <c r="H250" t="inlineStr" s="5">
        <is>
          <t/>
        </is>
      </c>
      <c r="I250" t="inlineStr" s="5">
        <is>
          <t/>
        </is>
      </c>
    </row>
    <row r="251" ht="22" customHeight="1">
      <c r="A251" t="inlineStr" s="6">
        <is>
          <t/>
        </is>
      </c>
      <c r="B251" s="5">
        <f>IF(A251="","",TEXT(A251,"aaa"))</f>
      </c>
      <c r="C251" t="inlineStr" s="5">
        <is>
          <t/>
        </is>
      </c>
      <c r="D251" t="inlineStr" s="5">
        <is>
          <t/>
        </is>
      </c>
      <c r="E251" t="inlineStr" s="7">
        <is>
          <t/>
        </is>
      </c>
      <c r="F251" t="inlineStr" s="7">
        <is>
          <t/>
        </is>
      </c>
      <c r="G251" s="8">
        <f>IF(AND(E251="",F251=""),"",F251-E251)</f>
      </c>
      <c r="H251" t="inlineStr" s="5">
        <is>
          <t/>
        </is>
      </c>
      <c r="I251" t="inlineStr" s="5">
        <is>
          <t/>
        </is>
      </c>
    </row>
    <row r="252" ht="22" customHeight="1">
      <c r="A252" t="inlineStr" s="6">
        <is>
          <t/>
        </is>
      </c>
      <c r="B252" s="5">
        <f>IF(A252="","",TEXT(A252,"aaa"))</f>
      </c>
      <c r="C252" t="inlineStr" s="5">
        <is>
          <t/>
        </is>
      </c>
      <c r="D252" t="inlineStr" s="5">
        <is>
          <t/>
        </is>
      </c>
      <c r="E252" t="inlineStr" s="7">
        <is>
          <t/>
        </is>
      </c>
      <c r="F252" t="inlineStr" s="7">
        <is>
          <t/>
        </is>
      </c>
      <c r="G252" s="8">
        <f>IF(AND(E252="",F252=""),"",F252-E252)</f>
      </c>
      <c r="H252" t="inlineStr" s="5">
        <is>
          <t/>
        </is>
      </c>
      <c r="I252" t="inlineStr" s="5">
        <is>
          <t/>
        </is>
      </c>
    </row>
    <row r="253" ht="22" customHeight="1">
      <c r="A253" t="inlineStr" s="6">
        <is>
          <t/>
        </is>
      </c>
      <c r="B253" s="5">
        <f>IF(A253="","",TEXT(A253,"aaa"))</f>
      </c>
      <c r="C253" t="inlineStr" s="5">
        <is>
          <t/>
        </is>
      </c>
      <c r="D253" t="inlineStr" s="5">
        <is>
          <t/>
        </is>
      </c>
      <c r="E253" t="inlineStr" s="7">
        <is>
          <t/>
        </is>
      </c>
      <c r="F253" t="inlineStr" s="7">
        <is>
          <t/>
        </is>
      </c>
      <c r="G253" s="8">
        <f>IF(AND(E253="",F253=""),"",F253-E253)</f>
      </c>
      <c r="H253" t="inlineStr" s="5">
        <is>
          <t/>
        </is>
      </c>
      <c r="I253" t="inlineStr" s="5">
        <is>
          <t/>
        </is>
      </c>
    </row>
    <row r="254" ht="22" customHeight="1">
      <c r="A254" t="inlineStr" s="6">
        <is>
          <t/>
        </is>
      </c>
      <c r="B254" s="5">
        <f>IF(A254="","",TEXT(A254,"aaa"))</f>
      </c>
      <c r="C254" t="inlineStr" s="5">
        <is>
          <t/>
        </is>
      </c>
      <c r="D254" t="inlineStr" s="5">
        <is>
          <t/>
        </is>
      </c>
      <c r="E254" t="inlineStr" s="7">
        <is>
          <t/>
        </is>
      </c>
      <c r="F254" t="inlineStr" s="7">
        <is>
          <t/>
        </is>
      </c>
      <c r="G254" s="8">
        <f>IF(AND(E254="",F254=""),"",F254-E254)</f>
      </c>
      <c r="H254" t="inlineStr" s="5">
        <is>
          <t/>
        </is>
      </c>
      <c r="I254" t="inlineStr" s="5">
        <is>
          <t/>
        </is>
      </c>
    </row>
    <row r="255" ht="22" customHeight="1">
      <c r="A255" t="inlineStr" s="6">
        <is>
          <t/>
        </is>
      </c>
      <c r="B255" s="5">
        <f>IF(A255="","",TEXT(A255,"aaa"))</f>
      </c>
      <c r="C255" t="inlineStr" s="5">
        <is>
          <t/>
        </is>
      </c>
      <c r="D255" t="inlineStr" s="5">
        <is>
          <t/>
        </is>
      </c>
      <c r="E255" t="inlineStr" s="7">
        <is>
          <t/>
        </is>
      </c>
      <c r="F255" t="inlineStr" s="7">
        <is>
          <t/>
        </is>
      </c>
      <c r="G255" s="8">
        <f>IF(AND(E255="",F255=""),"",F255-E255)</f>
      </c>
      <c r="H255" t="inlineStr" s="5">
        <is>
          <t/>
        </is>
      </c>
      <c r="I255" t="inlineStr" s="5">
        <is>
          <t/>
        </is>
      </c>
    </row>
    <row r="256" ht="22" customHeight="1">
      <c r="A256" t="inlineStr" s="6">
        <is>
          <t/>
        </is>
      </c>
      <c r="B256" s="5">
        <f>IF(A256="","",TEXT(A256,"aaa"))</f>
      </c>
      <c r="C256" t="inlineStr" s="5">
        <is>
          <t/>
        </is>
      </c>
      <c r="D256" t="inlineStr" s="5">
        <is>
          <t/>
        </is>
      </c>
      <c r="E256" t="inlineStr" s="7">
        <is>
          <t/>
        </is>
      </c>
      <c r="F256" t="inlineStr" s="7">
        <is>
          <t/>
        </is>
      </c>
      <c r="G256" s="8">
        <f>IF(AND(E256="",F256=""),"",F256-E256)</f>
      </c>
      <c r="H256" t="inlineStr" s="5">
        <is>
          <t/>
        </is>
      </c>
      <c r="I256" t="inlineStr" s="5">
        <is>
          <t/>
        </is>
      </c>
    </row>
    <row r="257" ht="22" customHeight="1">
      <c r="A257" t="inlineStr" s="6">
        <is>
          <t/>
        </is>
      </c>
      <c r="B257" s="5">
        <f>IF(A257="","",TEXT(A257,"aaa"))</f>
      </c>
      <c r="C257" t="inlineStr" s="5">
        <is>
          <t/>
        </is>
      </c>
      <c r="D257" t="inlineStr" s="5">
        <is>
          <t/>
        </is>
      </c>
      <c r="E257" t="inlineStr" s="7">
        <is>
          <t/>
        </is>
      </c>
      <c r="F257" t="inlineStr" s="7">
        <is>
          <t/>
        </is>
      </c>
      <c r="G257" s="8">
        <f>IF(AND(E257="",F257=""),"",F257-E257)</f>
      </c>
      <c r="H257" t="inlineStr" s="5">
        <is>
          <t/>
        </is>
      </c>
      <c r="I257" t="inlineStr" s="5">
        <is>
          <t/>
        </is>
      </c>
    </row>
    <row r="258" ht="22" customHeight="1">
      <c r="A258" t="inlineStr" s="6">
        <is>
          <t/>
        </is>
      </c>
      <c r="B258" s="5">
        <f>IF(A258="","",TEXT(A258,"aaa"))</f>
      </c>
      <c r="C258" t="inlineStr" s="5">
        <is>
          <t/>
        </is>
      </c>
      <c r="D258" t="inlineStr" s="5">
        <is>
          <t/>
        </is>
      </c>
      <c r="E258" t="inlineStr" s="7">
        <is>
          <t/>
        </is>
      </c>
      <c r="F258" t="inlineStr" s="7">
        <is>
          <t/>
        </is>
      </c>
      <c r="G258" s="8">
        <f>IF(AND(E258="",F258=""),"",F258-E258)</f>
      </c>
      <c r="H258" t="inlineStr" s="5">
        <is>
          <t/>
        </is>
      </c>
      <c r="I258" t="inlineStr" s="5">
        <is>
          <t/>
        </is>
      </c>
    </row>
    <row r="259" ht="24" customHeight="1">
      <c r="A259" t="inlineStr" s="9">
        <is>
          <t>本周小计</t>
        </is>
      </c>
      <c r="B259" t="inlineStr" s="9">
        <is>
          <t/>
        </is>
      </c>
      <c r="C259" t="inlineStr" s="9">
        <is>
          <t/>
        </is>
      </c>
      <c r="D259" t="inlineStr" s="9">
        <is>
          <t/>
        </is>
      </c>
      <c r="E259" s="9">
        <f>SUM(E244:E258)</f>
      </c>
      <c r="F259" s="9">
        <f>SUM(F244:F258)</f>
      </c>
      <c r="G259" s="9">
        <f>SUM(G244:G258)</f>
      </c>
      <c r="H259" t="inlineStr" s="9">
        <is>
          <t/>
        </is>
      </c>
      <c r="I259" t="inlineStr" s="9">
        <is>
          <t/>
        </is>
      </c>
    </row>
    <row r="260" ht="18" customHeight="1">
      <c r="A260" t="inlineStr" s="10">
        <is>
          <t/>
        </is>
      </c>
      <c r="B260" t="inlineStr" s="10">
        <is>
          <t/>
        </is>
      </c>
      <c r="C260" t="inlineStr" s="10">
        <is>
          <t/>
        </is>
      </c>
      <c r="D260" t="inlineStr" s="10">
        <is>
          <t/>
        </is>
      </c>
      <c r="E260" t="inlineStr" s="10">
        <is>
          <t/>
        </is>
      </c>
      <c r="F260" t="inlineStr" s="10">
        <is>
          <t/>
        </is>
      </c>
      <c r="G260" t="inlineStr" s="10">
        <is>
          <t/>
        </is>
      </c>
      <c r="H260" t="inlineStr" s="10">
        <is>
          <t/>
        </is>
      </c>
      <c r="I260" t="inlineStr" s="10">
        <is>
          <t/>
        </is>
      </c>
    </row>
    <row r="261" ht="18" customHeight="1">
      <c r="A261" t="inlineStr" s="10">
        <is>
          <t/>
        </is>
      </c>
      <c r="B261" t="inlineStr" s="10">
        <is>
          <t/>
        </is>
      </c>
      <c r="C261" t="inlineStr" s="10">
        <is>
          <t/>
        </is>
      </c>
      <c r="D261" t="inlineStr" s="10">
        <is>
          <t/>
        </is>
      </c>
      <c r="E261" t="inlineStr" s="10">
        <is>
          <t/>
        </is>
      </c>
      <c r="F261" t="inlineStr" s="10">
        <is>
          <t/>
        </is>
      </c>
      <c r="G261" t="inlineStr" s="10">
        <is>
          <t/>
        </is>
      </c>
      <c r="H261" t="inlineStr" s="10">
        <is>
          <t/>
        </is>
      </c>
      <c r="I261" t="inlineStr" s="10">
        <is>
          <t/>
        </is>
      </c>
    </row>
    <row r="262" ht="28" customHeight="1">
      <c r="A262" t="inlineStr" s="3">
        <is>
          <t>2026年8月-9月｜第五周（8月31日 - 9月6日）</t>
        </is>
      </c>
      <c r="B262" t="inlineStr" s="3">
        <is>
          <t/>
        </is>
      </c>
      <c r="C262" t="inlineStr" s="3">
        <is>
          <t/>
        </is>
      </c>
      <c r="D262" t="inlineStr" s="3">
        <is>
          <t/>
        </is>
      </c>
      <c r="E262" t="inlineStr" s="3">
        <is>
          <t/>
        </is>
      </c>
      <c r="F262" t="inlineStr" s="3">
        <is>
          <t/>
        </is>
      </c>
      <c r="G262" t="inlineStr" s="3">
        <is>
          <t/>
        </is>
      </c>
      <c r="H262" t="inlineStr" s="3">
        <is>
          <t/>
        </is>
      </c>
      <c r="I262" t="inlineStr" s="3">
        <is>
          <t/>
        </is>
      </c>
    </row>
    <row r="263" ht="23" customHeight="1">
      <c r="A263" t="inlineStr" s="4">
        <is>
          <t>日期</t>
        </is>
      </c>
      <c r="B263" t="inlineStr" s="4">
        <is>
          <t>星期</t>
        </is>
      </c>
      <c r="C263" t="inlineStr" s="4">
        <is>
          <t>分类</t>
        </is>
      </c>
      <c r="D263" t="inlineStr" s="4">
        <is>
          <t>事项</t>
        </is>
      </c>
      <c r="E263" t="inlineStr" s="4">
        <is>
          <t>支出金额</t>
        </is>
      </c>
      <c r="F263" t="inlineStr" s="4">
        <is>
          <t>收入金额</t>
        </is>
      </c>
      <c r="G263" t="inlineStr" s="4">
        <is>
          <t>当笔净额</t>
        </is>
      </c>
      <c r="H263" t="inlineStr" s="4">
        <is>
          <t>支付方式</t>
        </is>
      </c>
      <c r="I263" t="inlineStr" s="4">
        <is>
          <t>备注</t>
        </is>
      </c>
    </row>
    <row r="264" ht="22" customHeight="1">
      <c r="A264" t="inlineStr" s="6">
        <is>
          <t/>
        </is>
      </c>
      <c r="B264" s="5">
        <f>IF(A264="","",TEXT(A264,"aaa"))</f>
      </c>
      <c r="C264" t="inlineStr" s="5">
        <is>
          <t/>
        </is>
      </c>
      <c r="D264" t="inlineStr" s="5">
        <is>
          <t/>
        </is>
      </c>
      <c r="E264" t="inlineStr" s="7">
        <is>
          <t/>
        </is>
      </c>
      <c r="F264" t="inlineStr" s="7">
        <is>
          <t/>
        </is>
      </c>
      <c r="G264" s="8">
        <f>IF(AND(E264="",F264=""),"",F264-E264)</f>
      </c>
      <c r="H264" t="inlineStr" s="5">
        <is>
          <t/>
        </is>
      </c>
      <c r="I264" t="inlineStr" s="5">
        <is>
          <t/>
        </is>
      </c>
    </row>
    <row r="265" ht="22" customHeight="1">
      <c r="A265" t="inlineStr" s="6">
        <is>
          <t/>
        </is>
      </c>
      <c r="B265" s="5">
        <f>IF(A265="","",TEXT(A265,"aaa"))</f>
      </c>
      <c r="C265" t="inlineStr" s="5">
        <is>
          <t/>
        </is>
      </c>
      <c r="D265" t="inlineStr" s="5">
        <is>
          <t/>
        </is>
      </c>
      <c r="E265" t="inlineStr" s="7">
        <is>
          <t/>
        </is>
      </c>
      <c r="F265" t="inlineStr" s="7">
        <is>
          <t/>
        </is>
      </c>
      <c r="G265" s="8">
        <f>IF(AND(E265="",F265=""),"",F265-E265)</f>
      </c>
      <c r="H265" t="inlineStr" s="5">
        <is>
          <t/>
        </is>
      </c>
      <c r="I265" t="inlineStr" s="5">
        <is>
          <t/>
        </is>
      </c>
    </row>
    <row r="266" ht="22" customHeight="1">
      <c r="A266" t="inlineStr" s="6">
        <is>
          <t/>
        </is>
      </c>
      <c r="B266" s="5">
        <f>IF(A266="","",TEXT(A266,"aaa"))</f>
      </c>
      <c r="C266" t="inlineStr" s="5">
        <is>
          <t/>
        </is>
      </c>
      <c r="D266" t="inlineStr" s="5">
        <is>
          <t/>
        </is>
      </c>
      <c r="E266" t="inlineStr" s="7">
        <is>
          <t/>
        </is>
      </c>
      <c r="F266" t="inlineStr" s="7">
        <is>
          <t/>
        </is>
      </c>
      <c r="G266" s="8">
        <f>IF(AND(E266="",F266=""),"",F266-E266)</f>
      </c>
      <c r="H266" t="inlineStr" s="5">
        <is>
          <t/>
        </is>
      </c>
      <c r="I266" t="inlineStr" s="5">
        <is>
          <t/>
        </is>
      </c>
    </row>
    <row r="267" ht="22" customHeight="1">
      <c r="A267" t="inlineStr" s="6">
        <is>
          <t/>
        </is>
      </c>
      <c r="B267" s="5">
        <f>IF(A267="","",TEXT(A267,"aaa"))</f>
      </c>
      <c r="C267" t="inlineStr" s="5">
        <is>
          <t/>
        </is>
      </c>
      <c r="D267" t="inlineStr" s="5">
        <is>
          <t/>
        </is>
      </c>
      <c r="E267" t="inlineStr" s="7">
        <is>
          <t/>
        </is>
      </c>
      <c r="F267" t="inlineStr" s="7">
        <is>
          <t/>
        </is>
      </c>
      <c r="G267" s="8">
        <f>IF(AND(E267="",F267=""),"",F267-E267)</f>
      </c>
      <c r="H267" t="inlineStr" s="5">
        <is>
          <t/>
        </is>
      </c>
      <c r="I267" t="inlineStr" s="5">
        <is>
          <t/>
        </is>
      </c>
    </row>
    <row r="268" ht="22" customHeight="1">
      <c r="A268" t="inlineStr" s="6">
        <is>
          <t/>
        </is>
      </c>
      <c r="B268" s="5">
        <f>IF(A268="","",TEXT(A268,"aaa"))</f>
      </c>
      <c r="C268" t="inlineStr" s="5">
        <is>
          <t/>
        </is>
      </c>
      <c r="D268" t="inlineStr" s="5">
        <is>
          <t/>
        </is>
      </c>
      <c r="E268" t="inlineStr" s="7">
        <is>
          <t/>
        </is>
      </c>
      <c r="F268" t="inlineStr" s="7">
        <is>
          <t/>
        </is>
      </c>
      <c r="G268" s="8">
        <f>IF(AND(E268="",F268=""),"",F268-E268)</f>
      </c>
      <c r="H268" t="inlineStr" s="5">
        <is>
          <t/>
        </is>
      </c>
      <c r="I268" t="inlineStr" s="5">
        <is>
          <t/>
        </is>
      </c>
    </row>
    <row r="269" ht="22" customHeight="1">
      <c r="A269" t="inlineStr" s="6">
        <is>
          <t/>
        </is>
      </c>
      <c r="B269" s="5">
        <f>IF(A269="","",TEXT(A269,"aaa"))</f>
      </c>
      <c r="C269" t="inlineStr" s="5">
        <is>
          <t/>
        </is>
      </c>
      <c r="D269" t="inlineStr" s="5">
        <is>
          <t/>
        </is>
      </c>
      <c r="E269" t="inlineStr" s="7">
        <is>
          <t/>
        </is>
      </c>
      <c r="F269" t="inlineStr" s="7">
        <is>
          <t/>
        </is>
      </c>
      <c r="G269" s="8">
        <f>IF(AND(E269="",F269=""),"",F269-E269)</f>
      </c>
      <c r="H269" t="inlineStr" s="5">
        <is>
          <t/>
        </is>
      </c>
      <c r="I269" t="inlineStr" s="5">
        <is>
          <t/>
        </is>
      </c>
    </row>
    <row r="270" ht="22" customHeight="1">
      <c r="A270" t="inlineStr" s="6">
        <is>
          <t/>
        </is>
      </c>
      <c r="B270" s="5">
        <f>IF(A270="","",TEXT(A270,"aaa"))</f>
      </c>
      <c r="C270" t="inlineStr" s="5">
        <is>
          <t/>
        </is>
      </c>
      <c r="D270" t="inlineStr" s="5">
        <is>
          <t/>
        </is>
      </c>
      <c r="E270" t="inlineStr" s="7">
        <is>
          <t/>
        </is>
      </c>
      <c r="F270" t="inlineStr" s="7">
        <is>
          <t/>
        </is>
      </c>
      <c r="G270" s="8">
        <f>IF(AND(E270="",F270=""),"",F270-E270)</f>
      </c>
      <c r="H270" t="inlineStr" s="5">
        <is>
          <t/>
        </is>
      </c>
      <c r="I270" t="inlineStr" s="5">
        <is>
          <t/>
        </is>
      </c>
    </row>
    <row r="271" ht="22" customHeight="1">
      <c r="A271" t="inlineStr" s="6">
        <is>
          <t/>
        </is>
      </c>
      <c r="B271" s="5">
        <f>IF(A271="","",TEXT(A271,"aaa"))</f>
      </c>
      <c r="C271" t="inlineStr" s="5">
        <is>
          <t/>
        </is>
      </c>
      <c r="D271" t="inlineStr" s="5">
        <is>
          <t/>
        </is>
      </c>
      <c r="E271" t="inlineStr" s="7">
        <is>
          <t/>
        </is>
      </c>
      <c r="F271" t="inlineStr" s="7">
        <is>
          <t/>
        </is>
      </c>
      <c r="G271" s="8">
        <f>IF(AND(E271="",F271=""),"",F271-E271)</f>
      </c>
      <c r="H271" t="inlineStr" s="5">
        <is>
          <t/>
        </is>
      </c>
      <c r="I271" t="inlineStr" s="5">
        <is>
          <t/>
        </is>
      </c>
    </row>
    <row r="272" ht="22" customHeight="1">
      <c r="A272" t="inlineStr" s="6">
        <is>
          <t/>
        </is>
      </c>
      <c r="B272" s="5">
        <f>IF(A272="","",TEXT(A272,"aaa"))</f>
      </c>
      <c r="C272" t="inlineStr" s="5">
        <is>
          <t/>
        </is>
      </c>
      <c r="D272" t="inlineStr" s="5">
        <is>
          <t/>
        </is>
      </c>
      <c r="E272" t="inlineStr" s="7">
        <is>
          <t/>
        </is>
      </c>
      <c r="F272" t="inlineStr" s="7">
        <is>
          <t/>
        </is>
      </c>
      <c r="G272" s="8">
        <f>IF(AND(E272="",F272=""),"",F272-E272)</f>
      </c>
      <c r="H272" t="inlineStr" s="5">
        <is>
          <t/>
        </is>
      </c>
      <c r="I272" t="inlineStr" s="5">
        <is>
          <t/>
        </is>
      </c>
    </row>
    <row r="273" ht="22" customHeight="1">
      <c r="A273" t="inlineStr" s="6">
        <is>
          <t/>
        </is>
      </c>
      <c r="B273" s="5">
        <f>IF(A273="","",TEXT(A273,"aaa"))</f>
      </c>
      <c r="C273" t="inlineStr" s="5">
        <is>
          <t/>
        </is>
      </c>
      <c r="D273" t="inlineStr" s="5">
        <is>
          <t/>
        </is>
      </c>
      <c r="E273" t="inlineStr" s="7">
        <is>
          <t/>
        </is>
      </c>
      <c r="F273" t="inlineStr" s="7">
        <is>
          <t/>
        </is>
      </c>
      <c r="G273" s="8">
        <f>IF(AND(E273="",F273=""),"",F273-E273)</f>
      </c>
      <c r="H273" t="inlineStr" s="5">
        <is>
          <t/>
        </is>
      </c>
      <c r="I273" t="inlineStr" s="5">
        <is>
          <t/>
        </is>
      </c>
    </row>
    <row r="274" ht="22" customHeight="1">
      <c r="A274" t="inlineStr" s="6">
        <is>
          <t/>
        </is>
      </c>
      <c r="B274" s="5">
        <f>IF(A274="","",TEXT(A274,"aaa"))</f>
      </c>
      <c r="C274" t="inlineStr" s="5">
        <is>
          <t/>
        </is>
      </c>
      <c r="D274" t="inlineStr" s="5">
        <is>
          <t/>
        </is>
      </c>
      <c r="E274" t="inlineStr" s="7">
        <is>
          <t/>
        </is>
      </c>
      <c r="F274" t="inlineStr" s="7">
        <is>
          <t/>
        </is>
      </c>
      <c r="G274" s="8">
        <f>IF(AND(E274="",F274=""),"",F274-E274)</f>
      </c>
      <c r="H274" t="inlineStr" s="5">
        <is>
          <t/>
        </is>
      </c>
      <c r="I274" t="inlineStr" s="5">
        <is>
          <t/>
        </is>
      </c>
    </row>
    <row r="275" ht="22" customHeight="1">
      <c r="A275" t="inlineStr" s="6">
        <is>
          <t/>
        </is>
      </c>
      <c r="B275" s="5">
        <f>IF(A275="","",TEXT(A275,"aaa"))</f>
      </c>
      <c r="C275" t="inlineStr" s="5">
        <is>
          <t/>
        </is>
      </c>
      <c r="D275" t="inlineStr" s="5">
        <is>
          <t/>
        </is>
      </c>
      <c r="E275" t="inlineStr" s="7">
        <is>
          <t/>
        </is>
      </c>
      <c r="F275" t="inlineStr" s="7">
        <is>
          <t/>
        </is>
      </c>
      <c r="G275" s="8">
        <f>IF(AND(E275="",F275=""),"",F275-E275)</f>
      </c>
      <c r="H275" t="inlineStr" s="5">
        <is>
          <t/>
        </is>
      </c>
      <c r="I275" t="inlineStr" s="5">
        <is>
          <t/>
        </is>
      </c>
    </row>
    <row r="276" ht="22" customHeight="1">
      <c r="A276" t="inlineStr" s="6">
        <is>
          <t/>
        </is>
      </c>
      <c r="B276" s="5">
        <f>IF(A276="","",TEXT(A276,"aaa"))</f>
      </c>
      <c r="C276" t="inlineStr" s="5">
        <is>
          <t/>
        </is>
      </c>
      <c r="D276" t="inlineStr" s="5">
        <is>
          <t/>
        </is>
      </c>
      <c r="E276" t="inlineStr" s="7">
        <is>
          <t/>
        </is>
      </c>
      <c r="F276" t="inlineStr" s="7">
        <is>
          <t/>
        </is>
      </c>
      <c r="G276" s="8">
        <f>IF(AND(E276="",F276=""),"",F276-E276)</f>
      </c>
      <c r="H276" t="inlineStr" s="5">
        <is>
          <t/>
        </is>
      </c>
      <c r="I276" t="inlineStr" s="5">
        <is>
          <t/>
        </is>
      </c>
    </row>
    <row r="277" ht="22" customHeight="1">
      <c r="A277" t="inlineStr" s="6">
        <is>
          <t/>
        </is>
      </c>
      <c r="B277" s="5">
        <f>IF(A277="","",TEXT(A277,"aaa"))</f>
      </c>
      <c r="C277" t="inlineStr" s="5">
        <is>
          <t/>
        </is>
      </c>
      <c r="D277" t="inlineStr" s="5">
        <is>
          <t/>
        </is>
      </c>
      <c r="E277" t="inlineStr" s="7">
        <is>
          <t/>
        </is>
      </c>
      <c r="F277" t="inlineStr" s="7">
        <is>
          <t/>
        </is>
      </c>
      <c r="G277" s="8">
        <f>IF(AND(E277="",F277=""),"",F277-E277)</f>
      </c>
      <c r="H277" t="inlineStr" s="5">
        <is>
          <t/>
        </is>
      </c>
      <c r="I277" t="inlineStr" s="5">
        <is>
          <t/>
        </is>
      </c>
    </row>
    <row r="278" ht="22" customHeight="1">
      <c r="A278" t="inlineStr" s="6">
        <is>
          <t/>
        </is>
      </c>
      <c r="B278" s="5">
        <f>IF(A278="","",TEXT(A278,"aaa"))</f>
      </c>
      <c r="C278" t="inlineStr" s="5">
        <is>
          <t/>
        </is>
      </c>
      <c r="D278" t="inlineStr" s="5">
        <is>
          <t/>
        </is>
      </c>
      <c r="E278" t="inlineStr" s="7">
        <is>
          <t/>
        </is>
      </c>
      <c r="F278" t="inlineStr" s="7">
        <is>
          <t/>
        </is>
      </c>
      <c r="G278" s="8">
        <f>IF(AND(E278="",F278=""),"",F278-E278)</f>
      </c>
      <c r="H278" t="inlineStr" s="5">
        <is>
          <t/>
        </is>
      </c>
      <c r="I278" t="inlineStr" s="5">
        <is>
          <t/>
        </is>
      </c>
    </row>
    <row r="279" ht="24" customHeight="1">
      <c r="A279" t="inlineStr" s="9">
        <is>
          <t>本周小计</t>
        </is>
      </c>
      <c r="B279" t="inlineStr" s="9">
        <is>
          <t/>
        </is>
      </c>
      <c r="C279" t="inlineStr" s="9">
        <is>
          <t/>
        </is>
      </c>
      <c r="D279" t="inlineStr" s="9">
        <is>
          <t/>
        </is>
      </c>
      <c r="E279" s="9">
        <f>SUM(E264:E278)</f>
      </c>
      <c r="F279" s="9">
        <f>SUM(F264:F278)</f>
      </c>
      <c r="G279" s="9">
        <f>SUM(G264:G278)</f>
      </c>
      <c r="H279" t="inlineStr" s="9">
        <is>
          <t/>
        </is>
      </c>
      <c r="I279" t="inlineStr" s="9">
        <is>
          <t/>
        </is>
      </c>
    </row>
    <row r="280" ht="18" customHeight="1">
      <c r="A280" t="inlineStr" s="10">
        <is>
          <t/>
        </is>
      </c>
      <c r="B280" t="inlineStr" s="10">
        <is>
          <t/>
        </is>
      </c>
      <c r="C280" t="inlineStr" s="10">
        <is>
          <t/>
        </is>
      </c>
      <c r="D280" t="inlineStr" s="10">
        <is>
          <t/>
        </is>
      </c>
      <c r="E280" t="inlineStr" s="10">
        <is>
          <t/>
        </is>
      </c>
      <c r="F280" t="inlineStr" s="10">
        <is>
          <t/>
        </is>
      </c>
      <c r="G280" t="inlineStr" s="10">
        <is>
          <t/>
        </is>
      </c>
      <c r="H280" t="inlineStr" s="10">
        <is>
          <t/>
        </is>
      </c>
      <c r="I280" t="inlineStr" s="10">
        <is>
          <t/>
        </is>
      </c>
    </row>
    <row r="281" ht="18" customHeight="1">
      <c r="A281" t="inlineStr" s="10">
        <is>
          <t/>
        </is>
      </c>
      <c r="B281" t="inlineStr" s="10">
        <is>
          <t/>
        </is>
      </c>
      <c r="C281" t="inlineStr" s="10">
        <is>
          <t/>
        </is>
      </c>
      <c r="D281" t="inlineStr" s="10">
        <is>
          <t/>
        </is>
      </c>
      <c r="E281" t="inlineStr" s="10">
        <is>
          <t/>
        </is>
      </c>
      <c r="F281" t="inlineStr" s="10">
        <is>
          <t/>
        </is>
      </c>
      <c r="G281" t="inlineStr" s="10">
        <is>
          <t/>
        </is>
      </c>
      <c r="H281" t="inlineStr" s="10">
        <is>
          <t/>
        </is>
      </c>
      <c r="I281" t="inlineStr" s="10">
        <is>
          <t/>
        </is>
      </c>
    </row>
    <row r="282" ht="28" customHeight="1">
      <c r="A282" t="inlineStr" s="3">
        <is>
          <t>2026年9月｜第一周（9月7日 - 9月13日）</t>
        </is>
      </c>
      <c r="B282" t="inlineStr" s="3">
        <is>
          <t/>
        </is>
      </c>
      <c r="C282" t="inlineStr" s="3">
        <is>
          <t/>
        </is>
      </c>
      <c r="D282" t="inlineStr" s="3">
        <is>
          <t/>
        </is>
      </c>
      <c r="E282" t="inlineStr" s="3">
        <is>
          <t/>
        </is>
      </c>
      <c r="F282" t="inlineStr" s="3">
        <is>
          <t/>
        </is>
      </c>
      <c r="G282" t="inlineStr" s="3">
        <is>
          <t/>
        </is>
      </c>
      <c r="H282" t="inlineStr" s="3">
        <is>
          <t/>
        </is>
      </c>
      <c r="I282" t="inlineStr" s="3">
        <is>
          <t/>
        </is>
      </c>
    </row>
    <row r="283" ht="23" customHeight="1">
      <c r="A283" t="inlineStr" s="4">
        <is>
          <t>日期</t>
        </is>
      </c>
      <c r="B283" t="inlineStr" s="4">
        <is>
          <t>星期</t>
        </is>
      </c>
      <c r="C283" t="inlineStr" s="4">
        <is>
          <t>分类</t>
        </is>
      </c>
      <c r="D283" t="inlineStr" s="4">
        <is>
          <t>事项</t>
        </is>
      </c>
      <c r="E283" t="inlineStr" s="4">
        <is>
          <t>支出金额</t>
        </is>
      </c>
      <c r="F283" t="inlineStr" s="4">
        <is>
          <t>收入金额</t>
        </is>
      </c>
      <c r="G283" t="inlineStr" s="4">
        <is>
          <t>当笔净额</t>
        </is>
      </c>
      <c r="H283" t="inlineStr" s="4">
        <is>
          <t>支付方式</t>
        </is>
      </c>
      <c r="I283" t="inlineStr" s="4">
        <is>
          <t>备注</t>
        </is>
      </c>
    </row>
    <row r="284" ht="22" customHeight="1">
      <c r="A284" t="inlineStr" s="6">
        <is>
          <t/>
        </is>
      </c>
      <c r="B284" s="5">
        <f>IF(A284="","",TEXT(A284,"aaa"))</f>
      </c>
      <c r="C284" t="inlineStr" s="5">
        <is>
          <t/>
        </is>
      </c>
      <c r="D284" t="inlineStr" s="5">
        <is>
          <t/>
        </is>
      </c>
      <c r="E284" t="inlineStr" s="7">
        <is>
          <t/>
        </is>
      </c>
      <c r="F284" t="inlineStr" s="7">
        <is>
          <t/>
        </is>
      </c>
      <c r="G284" s="8">
        <f>IF(AND(E284="",F284=""),"",F284-E284)</f>
      </c>
      <c r="H284" t="inlineStr" s="5">
        <is>
          <t/>
        </is>
      </c>
      <c r="I284" t="inlineStr" s="5">
        <is>
          <t/>
        </is>
      </c>
    </row>
    <row r="285" ht="22" customHeight="1">
      <c r="A285" t="inlineStr" s="6">
        <is>
          <t/>
        </is>
      </c>
      <c r="B285" s="5">
        <f>IF(A285="","",TEXT(A285,"aaa"))</f>
      </c>
      <c r="C285" t="inlineStr" s="5">
        <is>
          <t/>
        </is>
      </c>
      <c r="D285" t="inlineStr" s="5">
        <is>
          <t/>
        </is>
      </c>
      <c r="E285" t="inlineStr" s="7">
        <is>
          <t/>
        </is>
      </c>
      <c r="F285" t="inlineStr" s="7">
        <is>
          <t/>
        </is>
      </c>
      <c r="G285" s="8">
        <f>IF(AND(E285="",F285=""),"",F285-E285)</f>
      </c>
      <c r="H285" t="inlineStr" s="5">
        <is>
          <t/>
        </is>
      </c>
      <c r="I285" t="inlineStr" s="5">
        <is>
          <t/>
        </is>
      </c>
    </row>
    <row r="286" ht="22" customHeight="1">
      <c r="A286" t="inlineStr" s="6">
        <is>
          <t/>
        </is>
      </c>
      <c r="B286" s="5">
        <f>IF(A286="","",TEXT(A286,"aaa"))</f>
      </c>
      <c r="C286" t="inlineStr" s="5">
        <is>
          <t/>
        </is>
      </c>
      <c r="D286" t="inlineStr" s="5">
        <is>
          <t/>
        </is>
      </c>
      <c r="E286" t="inlineStr" s="7">
        <is>
          <t/>
        </is>
      </c>
      <c r="F286" t="inlineStr" s="7">
        <is>
          <t/>
        </is>
      </c>
      <c r="G286" s="8">
        <f>IF(AND(E286="",F286=""),"",F286-E286)</f>
      </c>
      <c r="H286" t="inlineStr" s="5">
        <is>
          <t/>
        </is>
      </c>
      <c r="I286" t="inlineStr" s="5">
        <is>
          <t/>
        </is>
      </c>
    </row>
    <row r="287" ht="22" customHeight="1">
      <c r="A287" t="inlineStr" s="6">
        <is>
          <t/>
        </is>
      </c>
      <c r="B287" s="5">
        <f>IF(A287="","",TEXT(A287,"aaa"))</f>
      </c>
      <c r="C287" t="inlineStr" s="5">
        <is>
          <t/>
        </is>
      </c>
      <c r="D287" t="inlineStr" s="5">
        <is>
          <t/>
        </is>
      </c>
      <c r="E287" t="inlineStr" s="7">
        <is>
          <t/>
        </is>
      </c>
      <c r="F287" t="inlineStr" s="7">
        <is>
          <t/>
        </is>
      </c>
      <c r="G287" s="8">
        <f>IF(AND(E287="",F287=""),"",F287-E287)</f>
      </c>
      <c r="H287" t="inlineStr" s="5">
        <is>
          <t/>
        </is>
      </c>
      <c r="I287" t="inlineStr" s="5">
        <is>
          <t/>
        </is>
      </c>
    </row>
    <row r="288" ht="22" customHeight="1">
      <c r="A288" t="inlineStr" s="6">
        <is>
          <t/>
        </is>
      </c>
      <c r="B288" s="5">
        <f>IF(A288="","",TEXT(A288,"aaa"))</f>
      </c>
      <c r="C288" t="inlineStr" s="5">
        <is>
          <t/>
        </is>
      </c>
      <c r="D288" t="inlineStr" s="5">
        <is>
          <t/>
        </is>
      </c>
      <c r="E288" t="inlineStr" s="7">
        <is>
          <t/>
        </is>
      </c>
      <c r="F288" t="inlineStr" s="7">
        <is>
          <t/>
        </is>
      </c>
      <c r="G288" s="8">
        <f>IF(AND(E288="",F288=""),"",F288-E288)</f>
      </c>
      <c r="H288" t="inlineStr" s="5">
        <is>
          <t/>
        </is>
      </c>
      <c r="I288" t="inlineStr" s="5">
        <is>
          <t/>
        </is>
      </c>
    </row>
    <row r="289" ht="22" customHeight="1">
      <c r="A289" t="inlineStr" s="6">
        <is>
          <t/>
        </is>
      </c>
      <c r="B289" s="5">
        <f>IF(A289="","",TEXT(A289,"aaa"))</f>
      </c>
      <c r="C289" t="inlineStr" s="5">
        <is>
          <t/>
        </is>
      </c>
      <c r="D289" t="inlineStr" s="5">
        <is>
          <t/>
        </is>
      </c>
      <c r="E289" t="inlineStr" s="7">
        <is>
          <t/>
        </is>
      </c>
      <c r="F289" t="inlineStr" s="7">
        <is>
          <t/>
        </is>
      </c>
      <c r="G289" s="8">
        <f>IF(AND(E289="",F289=""),"",F289-E289)</f>
      </c>
      <c r="H289" t="inlineStr" s="5">
        <is>
          <t/>
        </is>
      </c>
      <c r="I289" t="inlineStr" s="5">
        <is>
          <t/>
        </is>
      </c>
    </row>
    <row r="290" ht="22" customHeight="1">
      <c r="A290" t="inlineStr" s="6">
        <is>
          <t/>
        </is>
      </c>
      <c r="B290" s="5">
        <f>IF(A290="","",TEXT(A290,"aaa"))</f>
      </c>
      <c r="C290" t="inlineStr" s="5">
        <is>
          <t/>
        </is>
      </c>
      <c r="D290" t="inlineStr" s="5">
        <is>
          <t/>
        </is>
      </c>
      <c r="E290" t="inlineStr" s="7">
        <is>
          <t/>
        </is>
      </c>
      <c r="F290" t="inlineStr" s="7">
        <is>
          <t/>
        </is>
      </c>
      <c r="G290" s="8">
        <f>IF(AND(E290="",F290=""),"",F290-E290)</f>
      </c>
      <c r="H290" t="inlineStr" s="5">
        <is>
          <t/>
        </is>
      </c>
      <c r="I290" t="inlineStr" s="5">
        <is>
          <t/>
        </is>
      </c>
    </row>
    <row r="291" ht="22" customHeight="1">
      <c r="A291" t="inlineStr" s="6">
        <is>
          <t/>
        </is>
      </c>
      <c r="B291" s="5">
        <f>IF(A291="","",TEXT(A291,"aaa"))</f>
      </c>
      <c r="C291" t="inlineStr" s="5">
        <is>
          <t/>
        </is>
      </c>
      <c r="D291" t="inlineStr" s="5">
        <is>
          <t/>
        </is>
      </c>
      <c r="E291" t="inlineStr" s="7">
        <is>
          <t/>
        </is>
      </c>
      <c r="F291" t="inlineStr" s="7">
        <is>
          <t/>
        </is>
      </c>
      <c r="G291" s="8">
        <f>IF(AND(E291="",F291=""),"",F291-E291)</f>
      </c>
      <c r="H291" t="inlineStr" s="5">
        <is>
          <t/>
        </is>
      </c>
      <c r="I291" t="inlineStr" s="5">
        <is>
          <t/>
        </is>
      </c>
    </row>
    <row r="292" ht="22" customHeight="1">
      <c r="A292" t="inlineStr" s="6">
        <is>
          <t/>
        </is>
      </c>
      <c r="B292" s="5">
        <f>IF(A292="","",TEXT(A292,"aaa"))</f>
      </c>
      <c r="C292" t="inlineStr" s="5">
        <is>
          <t/>
        </is>
      </c>
      <c r="D292" t="inlineStr" s="5">
        <is>
          <t/>
        </is>
      </c>
      <c r="E292" t="inlineStr" s="7">
        <is>
          <t/>
        </is>
      </c>
      <c r="F292" t="inlineStr" s="7">
        <is>
          <t/>
        </is>
      </c>
      <c r="G292" s="8">
        <f>IF(AND(E292="",F292=""),"",F292-E292)</f>
      </c>
      <c r="H292" t="inlineStr" s="5">
        <is>
          <t/>
        </is>
      </c>
      <c r="I292" t="inlineStr" s="5">
        <is>
          <t/>
        </is>
      </c>
    </row>
    <row r="293" ht="22" customHeight="1">
      <c r="A293" t="inlineStr" s="6">
        <is>
          <t/>
        </is>
      </c>
      <c r="B293" s="5">
        <f>IF(A293="","",TEXT(A293,"aaa"))</f>
      </c>
      <c r="C293" t="inlineStr" s="5">
        <is>
          <t/>
        </is>
      </c>
      <c r="D293" t="inlineStr" s="5">
        <is>
          <t/>
        </is>
      </c>
      <c r="E293" t="inlineStr" s="7">
        <is>
          <t/>
        </is>
      </c>
      <c r="F293" t="inlineStr" s="7">
        <is>
          <t/>
        </is>
      </c>
      <c r="G293" s="8">
        <f>IF(AND(E293="",F293=""),"",F293-E293)</f>
      </c>
      <c r="H293" t="inlineStr" s="5">
        <is>
          <t/>
        </is>
      </c>
      <c r="I293" t="inlineStr" s="5">
        <is>
          <t/>
        </is>
      </c>
    </row>
    <row r="294" ht="22" customHeight="1">
      <c r="A294" t="inlineStr" s="6">
        <is>
          <t/>
        </is>
      </c>
      <c r="B294" s="5">
        <f>IF(A294="","",TEXT(A294,"aaa"))</f>
      </c>
      <c r="C294" t="inlineStr" s="5">
        <is>
          <t/>
        </is>
      </c>
      <c r="D294" t="inlineStr" s="5">
        <is>
          <t/>
        </is>
      </c>
      <c r="E294" t="inlineStr" s="7">
        <is>
          <t/>
        </is>
      </c>
      <c r="F294" t="inlineStr" s="7">
        <is>
          <t/>
        </is>
      </c>
      <c r="G294" s="8">
        <f>IF(AND(E294="",F294=""),"",F294-E294)</f>
      </c>
      <c r="H294" t="inlineStr" s="5">
        <is>
          <t/>
        </is>
      </c>
      <c r="I294" t="inlineStr" s="5">
        <is>
          <t/>
        </is>
      </c>
    </row>
    <row r="295" ht="22" customHeight="1">
      <c r="A295" t="inlineStr" s="6">
        <is>
          <t/>
        </is>
      </c>
      <c r="B295" s="5">
        <f>IF(A295="","",TEXT(A295,"aaa"))</f>
      </c>
      <c r="C295" t="inlineStr" s="5">
        <is>
          <t/>
        </is>
      </c>
      <c r="D295" t="inlineStr" s="5">
        <is>
          <t/>
        </is>
      </c>
      <c r="E295" t="inlineStr" s="7">
        <is>
          <t/>
        </is>
      </c>
      <c r="F295" t="inlineStr" s="7">
        <is>
          <t/>
        </is>
      </c>
      <c r="G295" s="8">
        <f>IF(AND(E295="",F295=""),"",F295-E295)</f>
      </c>
      <c r="H295" t="inlineStr" s="5">
        <is>
          <t/>
        </is>
      </c>
      <c r="I295" t="inlineStr" s="5">
        <is>
          <t/>
        </is>
      </c>
    </row>
    <row r="296" ht="22" customHeight="1">
      <c r="A296" t="inlineStr" s="6">
        <is>
          <t/>
        </is>
      </c>
      <c r="B296" s="5">
        <f>IF(A296="","",TEXT(A296,"aaa"))</f>
      </c>
      <c r="C296" t="inlineStr" s="5">
        <is>
          <t/>
        </is>
      </c>
      <c r="D296" t="inlineStr" s="5">
        <is>
          <t/>
        </is>
      </c>
      <c r="E296" t="inlineStr" s="7">
        <is>
          <t/>
        </is>
      </c>
      <c r="F296" t="inlineStr" s="7">
        <is>
          <t/>
        </is>
      </c>
      <c r="G296" s="8">
        <f>IF(AND(E296="",F296=""),"",F296-E296)</f>
      </c>
      <c r="H296" t="inlineStr" s="5">
        <is>
          <t/>
        </is>
      </c>
      <c r="I296" t="inlineStr" s="5">
        <is>
          <t/>
        </is>
      </c>
    </row>
    <row r="297" ht="22" customHeight="1">
      <c r="A297" t="inlineStr" s="6">
        <is>
          <t/>
        </is>
      </c>
      <c r="B297" s="5">
        <f>IF(A297="","",TEXT(A297,"aaa"))</f>
      </c>
      <c r="C297" t="inlineStr" s="5">
        <is>
          <t/>
        </is>
      </c>
      <c r="D297" t="inlineStr" s="5">
        <is>
          <t/>
        </is>
      </c>
      <c r="E297" t="inlineStr" s="7">
        <is>
          <t/>
        </is>
      </c>
      <c r="F297" t="inlineStr" s="7">
        <is>
          <t/>
        </is>
      </c>
      <c r="G297" s="8">
        <f>IF(AND(E297="",F297=""),"",F297-E297)</f>
      </c>
      <c r="H297" t="inlineStr" s="5">
        <is>
          <t/>
        </is>
      </c>
      <c r="I297" t="inlineStr" s="5">
        <is>
          <t/>
        </is>
      </c>
    </row>
    <row r="298" ht="22" customHeight="1">
      <c r="A298" t="inlineStr" s="6">
        <is>
          <t/>
        </is>
      </c>
      <c r="B298" s="5">
        <f>IF(A298="","",TEXT(A298,"aaa"))</f>
      </c>
      <c r="C298" t="inlineStr" s="5">
        <is>
          <t/>
        </is>
      </c>
      <c r="D298" t="inlineStr" s="5">
        <is>
          <t/>
        </is>
      </c>
      <c r="E298" t="inlineStr" s="7">
        <is>
          <t/>
        </is>
      </c>
      <c r="F298" t="inlineStr" s="7">
        <is>
          <t/>
        </is>
      </c>
      <c r="G298" s="8">
        <f>IF(AND(E298="",F298=""),"",F298-E298)</f>
      </c>
      <c r="H298" t="inlineStr" s="5">
        <is>
          <t/>
        </is>
      </c>
      <c r="I298" t="inlineStr" s="5">
        <is>
          <t/>
        </is>
      </c>
    </row>
    <row r="299" ht="24" customHeight="1">
      <c r="A299" t="inlineStr" s="9">
        <is>
          <t>本周小计</t>
        </is>
      </c>
      <c r="B299" t="inlineStr" s="9">
        <is>
          <t/>
        </is>
      </c>
      <c r="C299" t="inlineStr" s="9">
        <is>
          <t/>
        </is>
      </c>
      <c r="D299" t="inlineStr" s="9">
        <is>
          <t/>
        </is>
      </c>
      <c r="E299" s="9">
        <f>SUM(E284:E298)</f>
      </c>
      <c r="F299" s="9">
        <f>SUM(F284:F298)</f>
      </c>
      <c r="G299" s="9">
        <f>SUM(G284:G298)</f>
      </c>
      <c r="H299" t="inlineStr" s="9">
        <is>
          <t/>
        </is>
      </c>
      <c r="I299" t="inlineStr" s="9">
        <is>
          <t/>
        </is>
      </c>
    </row>
    <row r="300" ht="18" customHeight="1">
      <c r="A300" t="inlineStr" s="10">
        <is>
          <t/>
        </is>
      </c>
      <c r="B300" t="inlineStr" s="10">
        <is>
          <t/>
        </is>
      </c>
      <c r="C300" t="inlineStr" s="10">
        <is>
          <t/>
        </is>
      </c>
      <c r="D300" t="inlineStr" s="10">
        <is>
          <t/>
        </is>
      </c>
      <c r="E300" t="inlineStr" s="10">
        <is>
          <t/>
        </is>
      </c>
      <c r="F300" t="inlineStr" s="10">
        <is>
          <t/>
        </is>
      </c>
      <c r="G300" t="inlineStr" s="10">
        <is>
          <t/>
        </is>
      </c>
      <c r="H300" t="inlineStr" s="10">
        <is>
          <t/>
        </is>
      </c>
      <c r="I300" t="inlineStr" s="10">
        <is>
          <t/>
        </is>
      </c>
    </row>
    <row r="301" ht="18" customHeight="1">
      <c r="A301" t="inlineStr" s="10">
        <is>
          <t/>
        </is>
      </c>
      <c r="B301" t="inlineStr" s="10">
        <is>
          <t/>
        </is>
      </c>
      <c r="C301" t="inlineStr" s="10">
        <is>
          <t/>
        </is>
      </c>
      <c r="D301" t="inlineStr" s="10">
        <is>
          <t/>
        </is>
      </c>
      <c r="E301" t="inlineStr" s="10">
        <is>
          <t/>
        </is>
      </c>
      <c r="F301" t="inlineStr" s="10">
        <is>
          <t/>
        </is>
      </c>
      <c r="G301" t="inlineStr" s="10">
        <is>
          <t/>
        </is>
      </c>
      <c r="H301" t="inlineStr" s="10">
        <is>
          <t/>
        </is>
      </c>
      <c r="I301" t="inlineStr" s="10">
        <is>
          <t/>
        </is>
      </c>
    </row>
    <row r="302" ht="28" customHeight="1">
      <c r="A302" t="inlineStr" s="3">
        <is>
          <t>2026年9月｜第二周（9月14日 - 9月20日）</t>
        </is>
      </c>
      <c r="B302" t="inlineStr" s="3">
        <is>
          <t/>
        </is>
      </c>
      <c r="C302" t="inlineStr" s="3">
        <is>
          <t/>
        </is>
      </c>
      <c r="D302" t="inlineStr" s="3">
        <is>
          <t/>
        </is>
      </c>
      <c r="E302" t="inlineStr" s="3">
        <is>
          <t/>
        </is>
      </c>
      <c r="F302" t="inlineStr" s="3">
        <is>
          <t/>
        </is>
      </c>
      <c r="G302" t="inlineStr" s="3">
        <is>
          <t/>
        </is>
      </c>
      <c r="H302" t="inlineStr" s="3">
        <is>
          <t/>
        </is>
      </c>
      <c r="I302" t="inlineStr" s="3">
        <is>
          <t/>
        </is>
      </c>
    </row>
    <row r="303" ht="23" customHeight="1">
      <c r="A303" t="inlineStr" s="4">
        <is>
          <t>日期</t>
        </is>
      </c>
      <c r="B303" t="inlineStr" s="4">
        <is>
          <t>星期</t>
        </is>
      </c>
      <c r="C303" t="inlineStr" s="4">
        <is>
          <t>分类</t>
        </is>
      </c>
      <c r="D303" t="inlineStr" s="4">
        <is>
          <t>事项</t>
        </is>
      </c>
      <c r="E303" t="inlineStr" s="4">
        <is>
          <t>支出金额</t>
        </is>
      </c>
      <c r="F303" t="inlineStr" s="4">
        <is>
          <t>收入金额</t>
        </is>
      </c>
      <c r="G303" t="inlineStr" s="4">
        <is>
          <t>当笔净额</t>
        </is>
      </c>
      <c r="H303" t="inlineStr" s="4">
        <is>
          <t>支付方式</t>
        </is>
      </c>
      <c r="I303" t="inlineStr" s="4">
        <is>
          <t>备注</t>
        </is>
      </c>
    </row>
    <row r="304" ht="22" customHeight="1">
      <c r="A304" t="inlineStr" s="6">
        <is>
          <t/>
        </is>
      </c>
      <c r="B304" s="5">
        <f>IF(A304="","",TEXT(A304,"aaa"))</f>
      </c>
      <c r="C304" t="inlineStr" s="5">
        <is>
          <t/>
        </is>
      </c>
      <c r="D304" t="inlineStr" s="5">
        <is>
          <t/>
        </is>
      </c>
      <c r="E304" t="inlineStr" s="7">
        <is>
          <t/>
        </is>
      </c>
      <c r="F304" t="inlineStr" s="7">
        <is>
          <t/>
        </is>
      </c>
      <c r="G304" s="8">
        <f>IF(AND(E304="",F304=""),"",F304-E304)</f>
      </c>
      <c r="H304" t="inlineStr" s="5">
        <is>
          <t/>
        </is>
      </c>
      <c r="I304" t="inlineStr" s="5">
        <is>
          <t/>
        </is>
      </c>
    </row>
    <row r="305" ht="22" customHeight="1">
      <c r="A305" t="inlineStr" s="6">
        <is>
          <t/>
        </is>
      </c>
      <c r="B305" s="5">
        <f>IF(A305="","",TEXT(A305,"aaa"))</f>
      </c>
      <c r="C305" t="inlineStr" s="5">
        <is>
          <t/>
        </is>
      </c>
      <c r="D305" t="inlineStr" s="5">
        <is>
          <t/>
        </is>
      </c>
      <c r="E305" t="inlineStr" s="7">
        <is>
          <t/>
        </is>
      </c>
      <c r="F305" t="inlineStr" s="7">
        <is>
          <t/>
        </is>
      </c>
      <c r="G305" s="8">
        <f>IF(AND(E305="",F305=""),"",F305-E305)</f>
      </c>
      <c r="H305" t="inlineStr" s="5">
        <is>
          <t/>
        </is>
      </c>
      <c r="I305" t="inlineStr" s="5">
        <is>
          <t/>
        </is>
      </c>
    </row>
    <row r="306" ht="22" customHeight="1">
      <c r="A306" t="inlineStr" s="6">
        <is>
          <t/>
        </is>
      </c>
      <c r="B306" s="5">
        <f>IF(A306="","",TEXT(A306,"aaa"))</f>
      </c>
      <c r="C306" t="inlineStr" s="5">
        <is>
          <t/>
        </is>
      </c>
      <c r="D306" t="inlineStr" s="5">
        <is>
          <t/>
        </is>
      </c>
      <c r="E306" t="inlineStr" s="7">
        <is>
          <t/>
        </is>
      </c>
      <c r="F306" t="inlineStr" s="7">
        <is>
          <t/>
        </is>
      </c>
      <c r="G306" s="8">
        <f>IF(AND(E306="",F306=""),"",F306-E306)</f>
      </c>
      <c r="H306" t="inlineStr" s="5">
        <is>
          <t/>
        </is>
      </c>
      <c r="I306" t="inlineStr" s="5">
        <is>
          <t/>
        </is>
      </c>
    </row>
    <row r="307" ht="22" customHeight="1">
      <c r="A307" t="inlineStr" s="6">
        <is>
          <t/>
        </is>
      </c>
      <c r="B307" s="5">
        <f>IF(A307="","",TEXT(A307,"aaa"))</f>
      </c>
      <c r="C307" t="inlineStr" s="5">
        <is>
          <t/>
        </is>
      </c>
      <c r="D307" t="inlineStr" s="5">
        <is>
          <t/>
        </is>
      </c>
      <c r="E307" t="inlineStr" s="7">
        <is>
          <t/>
        </is>
      </c>
      <c r="F307" t="inlineStr" s="7">
        <is>
          <t/>
        </is>
      </c>
      <c r="G307" s="8">
        <f>IF(AND(E307="",F307=""),"",F307-E307)</f>
      </c>
      <c r="H307" t="inlineStr" s="5">
        <is>
          <t/>
        </is>
      </c>
      <c r="I307" t="inlineStr" s="5">
        <is>
          <t/>
        </is>
      </c>
    </row>
    <row r="308" ht="22" customHeight="1">
      <c r="A308" t="inlineStr" s="6">
        <is>
          <t/>
        </is>
      </c>
      <c r="B308" s="5">
        <f>IF(A308="","",TEXT(A308,"aaa"))</f>
      </c>
      <c r="C308" t="inlineStr" s="5">
        <is>
          <t/>
        </is>
      </c>
      <c r="D308" t="inlineStr" s="5">
        <is>
          <t/>
        </is>
      </c>
      <c r="E308" t="inlineStr" s="7">
        <is>
          <t/>
        </is>
      </c>
      <c r="F308" t="inlineStr" s="7">
        <is>
          <t/>
        </is>
      </c>
      <c r="G308" s="8">
        <f>IF(AND(E308="",F308=""),"",F308-E308)</f>
      </c>
      <c r="H308" t="inlineStr" s="5">
        <is>
          <t/>
        </is>
      </c>
      <c r="I308" t="inlineStr" s="5">
        <is>
          <t/>
        </is>
      </c>
    </row>
    <row r="309" ht="22" customHeight="1">
      <c r="A309" t="inlineStr" s="6">
        <is>
          <t/>
        </is>
      </c>
      <c r="B309" s="5">
        <f>IF(A309="","",TEXT(A309,"aaa"))</f>
      </c>
      <c r="C309" t="inlineStr" s="5">
        <is>
          <t/>
        </is>
      </c>
      <c r="D309" t="inlineStr" s="5">
        <is>
          <t/>
        </is>
      </c>
      <c r="E309" t="inlineStr" s="7">
        <is>
          <t/>
        </is>
      </c>
      <c r="F309" t="inlineStr" s="7">
        <is>
          <t/>
        </is>
      </c>
      <c r="G309" s="8">
        <f>IF(AND(E309="",F309=""),"",F309-E309)</f>
      </c>
      <c r="H309" t="inlineStr" s="5">
        <is>
          <t/>
        </is>
      </c>
      <c r="I309" t="inlineStr" s="5">
        <is>
          <t/>
        </is>
      </c>
    </row>
    <row r="310" ht="22" customHeight="1">
      <c r="A310" t="inlineStr" s="6">
        <is>
          <t/>
        </is>
      </c>
      <c r="B310" s="5">
        <f>IF(A310="","",TEXT(A310,"aaa"))</f>
      </c>
      <c r="C310" t="inlineStr" s="5">
        <is>
          <t/>
        </is>
      </c>
      <c r="D310" t="inlineStr" s="5">
        <is>
          <t/>
        </is>
      </c>
      <c r="E310" t="inlineStr" s="7">
        <is>
          <t/>
        </is>
      </c>
      <c r="F310" t="inlineStr" s="7">
        <is>
          <t/>
        </is>
      </c>
      <c r="G310" s="8">
        <f>IF(AND(E310="",F310=""),"",F310-E310)</f>
      </c>
      <c r="H310" t="inlineStr" s="5">
        <is>
          <t/>
        </is>
      </c>
      <c r="I310" t="inlineStr" s="5">
        <is>
          <t/>
        </is>
      </c>
    </row>
    <row r="311" ht="22" customHeight="1">
      <c r="A311" t="inlineStr" s="6">
        <is>
          <t/>
        </is>
      </c>
      <c r="B311" s="5">
        <f>IF(A311="","",TEXT(A311,"aaa"))</f>
      </c>
      <c r="C311" t="inlineStr" s="5">
        <is>
          <t/>
        </is>
      </c>
      <c r="D311" t="inlineStr" s="5">
        <is>
          <t/>
        </is>
      </c>
      <c r="E311" t="inlineStr" s="7">
        <is>
          <t/>
        </is>
      </c>
      <c r="F311" t="inlineStr" s="7">
        <is>
          <t/>
        </is>
      </c>
      <c r="G311" s="8">
        <f>IF(AND(E311="",F311=""),"",F311-E311)</f>
      </c>
      <c r="H311" t="inlineStr" s="5">
        <is>
          <t/>
        </is>
      </c>
      <c r="I311" t="inlineStr" s="5">
        <is>
          <t/>
        </is>
      </c>
    </row>
    <row r="312" ht="22" customHeight="1">
      <c r="A312" t="inlineStr" s="6">
        <is>
          <t/>
        </is>
      </c>
      <c r="B312" s="5">
        <f>IF(A312="","",TEXT(A312,"aaa"))</f>
      </c>
      <c r="C312" t="inlineStr" s="5">
        <is>
          <t/>
        </is>
      </c>
      <c r="D312" t="inlineStr" s="5">
        <is>
          <t/>
        </is>
      </c>
      <c r="E312" t="inlineStr" s="7">
        <is>
          <t/>
        </is>
      </c>
      <c r="F312" t="inlineStr" s="7">
        <is>
          <t/>
        </is>
      </c>
      <c r="G312" s="8">
        <f>IF(AND(E312="",F312=""),"",F312-E312)</f>
      </c>
      <c r="H312" t="inlineStr" s="5">
        <is>
          <t/>
        </is>
      </c>
      <c r="I312" t="inlineStr" s="5">
        <is>
          <t/>
        </is>
      </c>
    </row>
    <row r="313" ht="22" customHeight="1">
      <c r="A313" t="inlineStr" s="6">
        <is>
          <t/>
        </is>
      </c>
      <c r="B313" s="5">
        <f>IF(A313="","",TEXT(A313,"aaa"))</f>
      </c>
      <c r="C313" t="inlineStr" s="5">
        <is>
          <t/>
        </is>
      </c>
      <c r="D313" t="inlineStr" s="5">
        <is>
          <t/>
        </is>
      </c>
      <c r="E313" t="inlineStr" s="7">
        <is>
          <t/>
        </is>
      </c>
      <c r="F313" t="inlineStr" s="7">
        <is>
          <t/>
        </is>
      </c>
      <c r="G313" s="8">
        <f>IF(AND(E313="",F313=""),"",F313-E313)</f>
      </c>
      <c r="H313" t="inlineStr" s="5">
        <is>
          <t/>
        </is>
      </c>
      <c r="I313" t="inlineStr" s="5">
        <is>
          <t/>
        </is>
      </c>
    </row>
    <row r="314" ht="22" customHeight="1">
      <c r="A314" t="inlineStr" s="6">
        <is>
          <t/>
        </is>
      </c>
      <c r="B314" s="5">
        <f>IF(A314="","",TEXT(A314,"aaa"))</f>
      </c>
      <c r="C314" t="inlineStr" s="5">
        <is>
          <t/>
        </is>
      </c>
      <c r="D314" t="inlineStr" s="5">
        <is>
          <t/>
        </is>
      </c>
      <c r="E314" t="inlineStr" s="7">
        <is>
          <t/>
        </is>
      </c>
      <c r="F314" t="inlineStr" s="7">
        <is>
          <t/>
        </is>
      </c>
      <c r="G314" s="8">
        <f>IF(AND(E314="",F314=""),"",F314-E314)</f>
      </c>
      <c r="H314" t="inlineStr" s="5">
        <is>
          <t/>
        </is>
      </c>
      <c r="I314" t="inlineStr" s="5">
        <is>
          <t/>
        </is>
      </c>
    </row>
    <row r="315" ht="22" customHeight="1">
      <c r="A315" t="inlineStr" s="6">
        <is>
          <t/>
        </is>
      </c>
      <c r="B315" s="5">
        <f>IF(A315="","",TEXT(A315,"aaa"))</f>
      </c>
      <c r="C315" t="inlineStr" s="5">
        <is>
          <t/>
        </is>
      </c>
      <c r="D315" t="inlineStr" s="5">
        <is>
          <t/>
        </is>
      </c>
      <c r="E315" t="inlineStr" s="7">
        <is>
          <t/>
        </is>
      </c>
      <c r="F315" t="inlineStr" s="7">
        <is>
          <t/>
        </is>
      </c>
      <c r="G315" s="8">
        <f>IF(AND(E315="",F315=""),"",F315-E315)</f>
      </c>
      <c r="H315" t="inlineStr" s="5">
        <is>
          <t/>
        </is>
      </c>
      <c r="I315" t="inlineStr" s="5">
        <is>
          <t/>
        </is>
      </c>
    </row>
    <row r="316" ht="22" customHeight="1">
      <c r="A316" t="inlineStr" s="6">
        <is>
          <t/>
        </is>
      </c>
      <c r="B316" s="5">
        <f>IF(A316="","",TEXT(A316,"aaa"))</f>
      </c>
      <c r="C316" t="inlineStr" s="5">
        <is>
          <t/>
        </is>
      </c>
      <c r="D316" t="inlineStr" s="5">
        <is>
          <t/>
        </is>
      </c>
      <c r="E316" t="inlineStr" s="7">
        <is>
          <t/>
        </is>
      </c>
      <c r="F316" t="inlineStr" s="7">
        <is>
          <t/>
        </is>
      </c>
      <c r="G316" s="8">
        <f>IF(AND(E316="",F316=""),"",F316-E316)</f>
      </c>
      <c r="H316" t="inlineStr" s="5">
        <is>
          <t/>
        </is>
      </c>
      <c r="I316" t="inlineStr" s="5">
        <is>
          <t/>
        </is>
      </c>
    </row>
    <row r="317" ht="22" customHeight="1">
      <c r="A317" t="inlineStr" s="6">
        <is>
          <t/>
        </is>
      </c>
      <c r="B317" s="5">
        <f>IF(A317="","",TEXT(A317,"aaa"))</f>
      </c>
      <c r="C317" t="inlineStr" s="5">
        <is>
          <t/>
        </is>
      </c>
      <c r="D317" t="inlineStr" s="5">
        <is>
          <t/>
        </is>
      </c>
      <c r="E317" t="inlineStr" s="7">
        <is>
          <t/>
        </is>
      </c>
      <c r="F317" t="inlineStr" s="7">
        <is>
          <t/>
        </is>
      </c>
      <c r="G317" s="8">
        <f>IF(AND(E317="",F317=""),"",F317-E317)</f>
      </c>
      <c r="H317" t="inlineStr" s="5">
        <is>
          <t/>
        </is>
      </c>
      <c r="I317" t="inlineStr" s="5">
        <is>
          <t/>
        </is>
      </c>
    </row>
    <row r="318" ht="22" customHeight="1">
      <c r="A318" t="inlineStr" s="6">
        <is>
          <t/>
        </is>
      </c>
      <c r="B318" s="5">
        <f>IF(A318="","",TEXT(A318,"aaa"))</f>
      </c>
      <c r="C318" t="inlineStr" s="5">
        <is>
          <t/>
        </is>
      </c>
      <c r="D318" t="inlineStr" s="5">
        <is>
          <t/>
        </is>
      </c>
      <c r="E318" t="inlineStr" s="7">
        <is>
          <t/>
        </is>
      </c>
      <c r="F318" t="inlineStr" s="7">
        <is>
          <t/>
        </is>
      </c>
      <c r="G318" s="8">
        <f>IF(AND(E318="",F318=""),"",F318-E318)</f>
      </c>
      <c r="H318" t="inlineStr" s="5">
        <is>
          <t/>
        </is>
      </c>
      <c r="I318" t="inlineStr" s="5">
        <is>
          <t/>
        </is>
      </c>
    </row>
    <row r="319" ht="24" customHeight="1">
      <c r="A319" t="inlineStr" s="9">
        <is>
          <t>本周小计</t>
        </is>
      </c>
      <c r="B319" t="inlineStr" s="9">
        <is>
          <t/>
        </is>
      </c>
      <c r="C319" t="inlineStr" s="9">
        <is>
          <t/>
        </is>
      </c>
      <c r="D319" t="inlineStr" s="9">
        <is>
          <t/>
        </is>
      </c>
      <c r="E319" s="9">
        <f>SUM(E304:E318)</f>
      </c>
      <c r="F319" s="9">
        <f>SUM(F304:F318)</f>
      </c>
      <c r="G319" s="9">
        <f>SUM(G304:G318)</f>
      </c>
      <c r="H319" t="inlineStr" s="9">
        <is>
          <t/>
        </is>
      </c>
      <c r="I319" t="inlineStr" s="9">
        <is>
          <t/>
        </is>
      </c>
    </row>
    <row r="320" ht="18" customHeight="1">
      <c r="A320" t="inlineStr" s="10">
        <is>
          <t/>
        </is>
      </c>
      <c r="B320" t="inlineStr" s="10">
        <is>
          <t/>
        </is>
      </c>
      <c r="C320" t="inlineStr" s="10">
        <is>
          <t/>
        </is>
      </c>
      <c r="D320" t="inlineStr" s="10">
        <is>
          <t/>
        </is>
      </c>
      <c r="E320" t="inlineStr" s="10">
        <is>
          <t/>
        </is>
      </c>
      <c r="F320" t="inlineStr" s="10">
        <is>
          <t/>
        </is>
      </c>
      <c r="G320" t="inlineStr" s="10">
        <is>
          <t/>
        </is>
      </c>
      <c r="H320" t="inlineStr" s="10">
        <is>
          <t/>
        </is>
      </c>
      <c r="I320" t="inlineStr" s="10">
        <is>
          <t/>
        </is>
      </c>
    </row>
    <row r="321" ht="18" customHeight="1">
      <c r="A321" t="inlineStr" s="10">
        <is>
          <t/>
        </is>
      </c>
      <c r="B321" t="inlineStr" s="10">
        <is>
          <t/>
        </is>
      </c>
      <c r="C321" t="inlineStr" s="10">
        <is>
          <t/>
        </is>
      </c>
      <c r="D321" t="inlineStr" s="10">
        <is>
          <t/>
        </is>
      </c>
      <c r="E321" t="inlineStr" s="10">
        <is>
          <t/>
        </is>
      </c>
      <c r="F321" t="inlineStr" s="10">
        <is>
          <t/>
        </is>
      </c>
      <c r="G321" t="inlineStr" s="10">
        <is>
          <t/>
        </is>
      </c>
      <c r="H321" t="inlineStr" s="10">
        <is>
          <t/>
        </is>
      </c>
      <c r="I321" t="inlineStr" s="10">
        <is>
          <t/>
        </is>
      </c>
    </row>
    <row r="322" ht="28" customHeight="1">
      <c r="A322" t="inlineStr" s="3">
        <is>
          <t>2026年9月｜第三周（9月21日 - 9月27日）</t>
        </is>
      </c>
      <c r="B322" t="inlineStr" s="3">
        <is>
          <t/>
        </is>
      </c>
      <c r="C322" t="inlineStr" s="3">
        <is>
          <t/>
        </is>
      </c>
      <c r="D322" t="inlineStr" s="3">
        <is>
          <t/>
        </is>
      </c>
      <c r="E322" t="inlineStr" s="3">
        <is>
          <t/>
        </is>
      </c>
      <c r="F322" t="inlineStr" s="3">
        <is>
          <t/>
        </is>
      </c>
      <c r="G322" t="inlineStr" s="3">
        <is>
          <t/>
        </is>
      </c>
      <c r="H322" t="inlineStr" s="3">
        <is>
          <t/>
        </is>
      </c>
      <c r="I322" t="inlineStr" s="3">
        <is>
          <t/>
        </is>
      </c>
    </row>
    <row r="323" ht="23" customHeight="1">
      <c r="A323" t="inlineStr" s="4">
        <is>
          <t>日期</t>
        </is>
      </c>
      <c r="B323" t="inlineStr" s="4">
        <is>
          <t>星期</t>
        </is>
      </c>
      <c r="C323" t="inlineStr" s="4">
        <is>
          <t>分类</t>
        </is>
      </c>
      <c r="D323" t="inlineStr" s="4">
        <is>
          <t>事项</t>
        </is>
      </c>
      <c r="E323" t="inlineStr" s="4">
        <is>
          <t>支出金额</t>
        </is>
      </c>
      <c r="F323" t="inlineStr" s="4">
        <is>
          <t>收入金额</t>
        </is>
      </c>
      <c r="G323" t="inlineStr" s="4">
        <is>
          <t>当笔净额</t>
        </is>
      </c>
      <c r="H323" t="inlineStr" s="4">
        <is>
          <t>支付方式</t>
        </is>
      </c>
      <c r="I323" t="inlineStr" s="4">
        <is>
          <t>备注</t>
        </is>
      </c>
    </row>
    <row r="324" ht="22" customHeight="1">
      <c r="A324" t="inlineStr" s="6">
        <is>
          <t/>
        </is>
      </c>
      <c r="B324" s="5">
        <f>IF(A324="","",TEXT(A324,"aaa"))</f>
      </c>
      <c r="C324" t="inlineStr" s="5">
        <is>
          <t/>
        </is>
      </c>
      <c r="D324" t="inlineStr" s="5">
        <is>
          <t/>
        </is>
      </c>
      <c r="E324" t="inlineStr" s="7">
        <is>
          <t/>
        </is>
      </c>
      <c r="F324" t="inlineStr" s="7">
        <is>
          <t/>
        </is>
      </c>
      <c r="G324" s="8">
        <f>IF(AND(E324="",F324=""),"",F324-E324)</f>
      </c>
      <c r="H324" t="inlineStr" s="5">
        <is>
          <t/>
        </is>
      </c>
      <c r="I324" t="inlineStr" s="5">
        <is>
          <t/>
        </is>
      </c>
    </row>
    <row r="325" ht="22" customHeight="1">
      <c r="A325" t="inlineStr" s="6">
        <is>
          <t/>
        </is>
      </c>
      <c r="B325" s="5">
        <f>IF(A325="","",TEXT(A325,"aaa"))</f>
      </c>
      <c r="C325" t="inlineStr" s="5">
        <is>
          <t/>
        </is>
      </c>
      <c r="D325" t="inlineStr" s="5">
        <is>
          <t/>
        </is>
      </c>
      <c r="E325" t="inlineStr" s="7">
        <is>
          <t/>
        </is>
      </c>
      <c r="F325" t="inlineStr" s="7">
        <is>
          <t/>
        </is>
      </c>
      <c r="G325" s="8">
        <f>IF(AND(E325="",F325=""),"",F325-E325)</f>
      </c>
      <c r="H325" t="inlineStr" s="5">
        <is>
          <t/>
        </is>
      </c>
      <c r="I325" t="inlineStr" s="5">
        <is>
          <t/>
        </is>
      </c>
    </row>
    <row r="326" ht="22" customHeight="1">
      <c r="A326" t="inlineStr" s="6">
        <is>
          <t/>
        </is>
      </c>
      <c r="B326" s="5">
        <f>IF(A326="","",TEXT(A326,"aaa"))</f>
      </c>
      <c r="C326" t="inlineStr" s="5">
        <is>
          <t/>
        </is>
      </c>
      <c r="D326" t="inlineStr" s="5">
        <is>
          <t/>
        </is>
      </c>
      <c r="E326" t="inlineStr" s="7">
        <is>
          <t/>
        </is>
      </c>
      <c r="F326" t="inlineStr" s="7">
        <is>
          <t/>
        </is>
      </c>
      <c r="G326" s="8">
        <f>IF(AND(E326="",F326=""),"",F326-E326)</f>
      </c>
      <c r="H326" t="inlineStr" s="5">
        <is>
          <t/>
        </is>
      </c>
      <c r="I326" t="inlineStr" s="5">
        <is>
          <t/>
        </is>
      </c>
    </row>
    <row r="327" ht="22" customHeight="1">
      <c r="A327" t="inlineStr" s="6">
        <is>
          <t/>
        </is>
      </c>
      <c r="B327" s="5">
        <f>IF(A327="","",TEXT(A327,"aaa"))</f>
      </c>
      <c r="C327" t="inlineStr" s="5">
        <is>
          <t/>
        </is>
      </c>
      <c r="D327" t="inlineStr" s="5">
        <is>
          <t/>
        </is>
      </c>
      <c r="E327" t="inlineStr" s="7">
        <is>
          <t/>
        </is>
      </c>
      <c r="F327" t="inlineStr" s="7">
        <is>
          <t/>
        </is>
      </c>
      <c r="G327" s="8">
        <f>IF(AND(E327="",F327=""),"",F327-E327)</f>
      </c>
      <c r="H327" t="inlineStr" s="5">
        <is>
          <t/>
        </is>
      </c>
      <c r="I327" t="inlineStr" s="5">
        <is>
          <t/>
        </is>
      </c>
    </row>
    <row r="328" ht="22" customHeight="1">
      <c r="A328" t="inlineStr" s="6">
        <is>
          <t/>
        </is>
      </c>
      <c r="B328" s="5">
        <f>IF(A328="","",TEXT(A328,"aaa"))</f>
      </c>
      <c r="C328" t="inlineStr" s="5">
        <is>
          <t/>
        </is>
      </c>
      <c r="D328" t="inlineStr" s="5">
        <is>
          <t/>
        </is>
      </c>
      <c r="E328" t="inlineStr" s="7">
        <is>
          <t/>
        </is>
      </c>
      <c r="F328" t="inlineStr" s="7">
        <is>
          <t/>
        </is>
      </c>
      <c r="G328" s="8">
        <f>IF(AND(E328="",F328=""),"",F328-E328)</f>
      </c>
      <c r="H328" t="inlineStr" s="5">
        <is>
          <t/>
        </is>
      </c>
      <c r="I328" t="inlineStr" s="5">
        <is>
          <t/>
        </is>
      </c>
    </row>
    <row r="329" ht="22" customHeight="1">
      <c r="A329" t="inlineStr" s="6">
        <is>
          <t/>
        </is>
      </c>
      <c r="B329" s="5">
        <f>IF(A329="","",TEXT(A329,"aaa"))</f>
      </c>
      <c r="C329" t="inlineStr" s="5">
        <is>
          <t/>
        </is>
      </c>
      <c r="D329" t="inlineStr" s="5">
        <is>
          <t/>
        </is>
      </c>
      <c r="E329" t="inlineStr" s="7">
        <is>
          <t/>
        </is>
      </c>
      <c r="F329" t="inlineStr" s="7">
        <is>
          <t/>
        </is>
      </c>
      <c r="G329" s="8">
        <f>IF(AND(E329="",F329=""),"",F329-E329)</f>
      </c>
      <c r="H329" t="inlineStr" s="5">
        <is>
          <t/>
        </is>
      </c>
      <c r="I329" t="inlineStr" s="5">
        <is>
          <t/>
        </is>
      </c>
    </row>
    <row r="330" ht="22" customHeight="1">
      <c r="A330" t="inlineStr" s="6">
        <is>
          <t/>
        </is>
      </c>
      <c r="B330" s="5">
        <f>IF(A330="","",TEXT(A330,"aaa"))</f>
      </c>
      <c r="C330" t="inlineStr" s="5">
        <is>
          <t/>
        </is>
      </c>
      <c r="D330" t="inlineStr" s="5">
        <is>
          <t/>
        </is>
      </c>
      <c r="E330" t="inlineStr" s="7">
        <is>
          <t/>
        </is>
      </c>
      <c r="F330" t="inlineStr" s="7">
        <is>
          <t/>
        </is>
      </c>
      <c r="G330" s="8">
        <f>IF(AND(E330="",F330=""),"",F330-E330)</f>
      </c>
      <c r="H330" t="inlineStr" s="5">
        <is>
          <t/>
        </is>
      </c>
      <c r="I330" t="inlineStr" s="5">
        <is>
          <t/>
        </is>
      </c>
    </row>
    <row r="331" ht="22" customHeight="1">
      <c r="A331" t="inlineStr" s="6">
        <is>
          <t/>
        </is>
      </c>
      <c r="B331" s="5">
        <f>IF(A331="","",TEXT(A331,"aaa"))</f>
      </c>
      <c r="C331" t="inlineStr" s="5">
        <is>
          <t/>
        </is>
      </c>
      <c r="D331" t="inlineStr" s="5">
        <is>
          <t/>
        </is>
      </c>
      <c r="E331" t="inlineStr" s="7">
        <is>
          <t/>
        </is>
      </c>
      <c r="F331" t="inlineStr" s="7">
        <is>
          <t/>
        </is>
      </c>
      <c r="G331" s="8">
        <f>IF(AND(E331="",F331=""),"",F331-E331)</f>
      </c>
      <c r="H331" t="inlineStr" s="5">
        <is>
          <t/>
        </is>
      </c>
      <c r="I331" t="inlineStr" s="5">
        <is>
          <t/>
        </is>
      </c>
    </row>
    <row r="332" ht="22" customHeight="1">
      <c r="A332" t="inlineStr" s="6">
        <is>
          <t/>
        </is>
      </c>
      <c r="B332" s="5">
        <f>IF(A332="","",TEXT(A332,"aaa"))</f>
      </c>
      <c r="C332" t="inlineStr" s="5">
        <is>
          <t/>
        </is>
      </c>
      <c r="D332" t="inlineStr" s="5">
        <is>
          <t/>
        </is>
      </c>
      <c r="E332" t="inlineStr" s="7">
        <is>
          <t/>
        </is>
      </c>
      <c r="F332" t="inlineStr" s="7">
        <is>
          <t/>
        </is>
      </c>
      <c r="G332" s="8">
        <f>IF(AND(E332="",F332=""),"",F332-E332)</f>
      </c>
      <c r="H332" t="inlineStr" s="5">
        <is>
          <t/>
        </is>
      </c>
      <c r="I332" t="inlineStr" s="5">
        <is>
          <t/>
        </is>
      </c>
    </row>
    <row r="333" ht="22" customHeight="1">
      <c r="A333" t="inlineStr" s="6">
        <is>
          <t/>
        </is>
      </c>
      <c r="B333" s="5">
        <f>IF(A333="","",TEXT(A333,"aaa"))</f>
      </c>
      <c r="C333" t="inlineStr" s="5">
        <is>
          <t/>
        </is>
      </c>
      <c r="D333" t="inlineStr" s="5">
        <is>
          <t/>
        </is>
      </c>
      <c r="E333" t="inlineStr" s="7">
        <is>
          <t/>
        </is>
      </c>
      <c r="F333" t="inlineStr" s="7">
        <is>
          <t/>
        </is>
      </c>
      <c r="G333" s="8">
        <f>IF(AND(E333="",F333=""),"",F333-E333)</f>
      </c>
      <c r="H333" t="inlineStr" s="5">
        <is>
          <t/>
        </is>
      </c>
      <c r="I333" t="inlineStr" s="5">
        <is>
          <t/>
        </is>
      </c>
    </row>
    <row r="334" ht="22" customHeight="1">
      <c r="A334" t="inlineStr" s="6">
        <is>
          <t/>
        </is>
      </c>
      <c r="B334" s="5">
        <f>IF(A334="","",TEXT(A334,"aaa"))</f>
      </c>
      <c r="C334" t="inlineStr" s="5">
        <is>
          <t/>
        </is>
      </c>
      <c r="D334" t="inlineStr" s="5">
        <is>
          <t/>
        </is>
      </c>
      <c r="E334" t="inlineStr" s="7">
        <is>
          <t/>
        </is>
      </c>
      <c r="F334" t="inlineStr" s="7">
        <is>
          <t/>
        </is>
      </c>
      <c r="G334" s="8">
        <f>IF(AND(E334="",F334=""),"",F334-E334)</f>
      </c>
      <c r="H334" t="inlineStr" s="5">
        <is>
          <t/>
        </is>
      </c>
      <c r="I334" t="inlineStr" s="5">
        <is>
          <t/>
        </is>
      </c>
    </row>
    <row r="335" ht="22" customHeight="1">
      <c r="A335" t="inlineStr" s="6">
        <is>
          <t/>
        </is>
      </c>
      <c r="B335" s="5">
        <f>IF(A335="","",TEXT(A335,"aaa"))</f>
      </c>
      <c r="C335" t="inlineStr" s="5">
        <is>
          <t/>
        </is>
      </c>
      <c r="D335" t="inlineStr" s="5">
        <is>
          <t/>
        </is>
      </c>
      <c r="E335" t="inlineStr" s="7">
        <is>
          <t/>
        </is>
      </c>
      <c r="F335" t="inlineStr" s="7">
        <is>
          <t/>
        </is>
      </c>
      <c r="G335" s="8">
        <f>IF(AND(E335="",F335=""),"",F335-E335)</f>
      </c>
      <c r="H335" t="inlineStr" s="5">
        <is>
          <t/>
        </is>
      </c>
      <c r="I335" t="inlineStr" s="5">
        <is>
          <t/>
        </is>
      </c>
    </row>
    <row r="336" ht="22" customHeight="1">
      <c r="A336" t="inlineStr" s="6">
        <is>
          <t/>
        </is>
      </c>
      <c r="B336" s="5">
        <f>IF(A336="","",TEXT(A336,"aaa"))</f>
      </c>
      <c r="C336" t="inlineStr" s="5">
        <is>
          <t/>
        </is>
      </c>
      <c r="D336" t="inlineStr" s="5">
        <is>
          <t/>
        </is>
      </c>
      <c r="E336" t="inlineStr" s="7">
        <is>
          <t/>
        </is>
      </c>
      <c r="F336" t="inlineStr" s="7">
        <is>
          <t/>
        </is>
      </c>
      <c r="G336" s="8">
        <f>IF(AND(E336="",F336=""),"",F336-E336)</f>
      </c>
      <c r="H336" t="inlineStr" s="5">
        <is>
          <t/>
        </is>
      </c>
      <c r="I336" t="inlineStr" s="5">
        <is>
          <t/>
        </is>
      </c>
    </row>
    <row r="337" ht="22" customHeight="1">
      <c r="A337" t="inlineStr" s="6">
        <is>
          <t/>
        </is>
      </c>
      <c r="B337" s="5">
        <f>IF(A337="","",TEXT(A337,"aaa"))</f>
      </c>
      <c r="C337" t="inlineStr" s="5">
        <is>
          <t/>
        </is>
      </c>
      <c r="D337" t="inlineStr" s="5">
        <is>
          <t/>
        </is>
      </c>
      <c r="E337" t="inlineStr" s="7">
        <is>
          <t/>
        </is>
      </c>
      <c r="F337" t="inlineStr" s="7">
        <is>
          <t/>
        </is>
      </c>
      <c r="G337" s="8">
        <f>IF(AND(E337="",F337=""),"",F337-E337)</f>
      </c>
      <c r="H337" t="inlineStr" s="5">
        <is>
          <t/>
        </is>
      </c>
      <c r="I337" t="inlineStr" s="5">
        <is>
          <t/>
        </is>
      </c>
    </row>
    <row r="338" ht="22" customHeight="1">
      <c r="A338" t="inlineStr" s="6">
        <is>
          <t/>
        </is>
      </c>
      <c r="B338" s="5">
        <f>IF(A338="","",TEXT(A338,"aaa"))</f>
      </c>
      <c r="C338" t="inlineStr" s="5">
        <is>
          <t/>
        </is>
      </c>
      <c r="D338" t="inlineStr" s="5">
        <is>
          <t/>
        </is>
      </c>
      <c r="E338" t="inlineStr" s="7">
        <is>
          <t/>
        </is>
      </c>
      <c r="F338" t="inlineStr" s="7">
        <is>
          <t/>
        </is>
      </c>
      <c r="G338" s="8">
        <f>IF(AND(E338="",F338=""),"",F338-E338)</f>
      </c>
      <c r="H338" t="inlineStr" s="5">
        <is>
          <t/>
        </is>
      </c>
      <c r="I338" t="inlineStr" s="5">
        <is>
          <t/>
        </is>
      </c>
    </row>
    <row r="339" ht="24" customHeight="1">
      <c r="A339" t="inlineStr" s="9">
        <is>
          <t>本周小计</t>
        </is>
      </c>
      <c r="B339" t="inlineStr" s="9">
        <is>
          <t/>
        </is>
      </c>
      <c r="C339" t="inlineStr" s="9">
        <is>
          <t/>
        </is>
      </c>
      <c r="D339" t="inlineStr" s="9">
        <is>
          <t/>
        </is>
      </c>
      <c r="E339" s="9">
        <f>SUM(E324:E338)</f>
      </c>
      <c r="F339" s="9">
        <f>SUM(F324:F338)</f>
      </c>
      <c r="G339" s="9">
        <f>SUM(G324:G338)</f>
      </c>
      <c r="H339" t="inlineStr" s="9">
        <is>
          <t/>
        </is>
      </c>
      <c r="I339" t="inlineStr" s="9">
        <is>
          <t/>
        </is>
      </c>
    </row>
    <row r="340" ht="18" customHeight="1">
      <c r="A340" t="inlineStr" s="10">
        <is>
          <t/>
        </is>
      </c>
      <c r="B340" t="inlineStr" s="10">
        <is>
          <t/>
        </is>
      </c>
      <c r="C340" t="inlineStr" s="10">
        <is>
          <t/>
        </is>
      </c>
      <c r="D340" t="inlineStr" s="10">
        <is>
          <t/>
        </is>
      </c>
      <c r="E340" t="inlineStr" s="10">
        <is>
          <t/>
        </is>
      </c>
      <c r="F340" t="inlineStr" s="10">
        <is>
          <t/>
        </is>
      </c>
      <c r="G340" t="inlineStr" s="10">
        <is>
          <t/>
        </is>
      </c>
      <c r="H340" t="inlineStr" s="10">
        <is>
          <t/>
        </is>
      </c>
      <c r="I340" t="inlineStr" s="10">
        <is>
          <t/>
        </is>
      </c>
    </row>
    <row r="341" ht="18" customHeight="1">
      <c r="A341" t="inlineStr" s="10">
        <is>
          <t/>
        </is>
      </c>
      <c r="B341" t="inlineStr" s="10">
        <is>
          <t/>
        </is>
      </c>
      <c r="C341" t="inlineStr" s="10">
        <is>
          <t/>
        </is>
      </c>
      <c r="D341" t="inlineStr" s="10">
        <is>
          <t/>
        </is>
      </c>
      <c r="E341" t="inlineStr" s="10">
        <is>
          <t/>
        </is>
      </c>
      <c r="F341" t="inlineStr" s="10">
        <is>
          <t/>
        </is>
      </c>
      <c r="G341" t="inlineStr" s="10">
        <is>
          <t/>
        </is>
      </c>
      <c r="H341" t="inlineStr" s="10">
        <is>
          <t/>
        </is>
      </c>
      <c r="I341" t="inlineStr" s="10">
        <is>
          <t/>
        </is>
      </c>
    </row>
    <row r="342" ht="28" customHeight="1">
      <c r="A342" t="inlineStr" s="3">
        <is>
          <t>2026年9月-10月｜第四周（9月28日 - 10月4日）</t>
        </is>
      </c>
      <c r="B342" t="inlineStr" s="3">
        <is>
          <t/>
        </is>
      </c>
      <c r="C342" t="inlineStr" s="3">
        <is>
          <t/>
        </is>
      </c>
      <c r="D342" t="inlineStr" s="3">
        <is>
          <t/>
        </is>
      </c>
      <c r="E342" t="inlineStr" s="3">
        <is>
          <t/>
        </is>
      </c>
      <c r="F342" t="inlineStr" s="3">
        <is>
          <t/>
        </is>
      </c>
      <c r="G342" t="inlineStr" s="3">
        <is>
          <t/>
        </is>
      </c>
      <c r="H342" t="inlineStr" s="3">
        <is>
          <t/>
        </is>
      </c>
      <c r="I342" t="inlineStr" s="3">
        <is>
          <t/>
        </is>
      </c>
    </row>
    <row r="343" ht="23" customHeight="1">
      <c r="A343" t="inlineStr" s="4">
        <is>
          <t>日期</t>
        </is>
      </c>
      <c r="B343" t="inlineStr" s="4">
        <is>
          <t>星期</t>
        </is>
      </c>
      <c r="C343" t="inlineStr" s="4">
        <is>
          <t>分类</t>
        </is>
      </c>
      <c r="D343" t="inlineStr" s="4">
        <is>
          <t>事项</t>
        </is>
      </c>
      <c r="E343" t="inlineStr" s="4">
        <is>
          <t>支出金额</t>
        </is>
      </c>
      <c r="F343" t="inlineStr" s="4">
        <is>
          <t>收入金额</t>
        </is>
      </c>
      <c r="G343" t="inlineStr" s="4">
        <is>
          <t>当笔净额</t>
        </is>
      </c>
      <c r="H343" t="inlineStr" s="4">
        <is>
          <t>支付方式</t>
        </is>
      </c>
      <c r="I343" t="inlineStr" s="4">
        <is>
          <t>备注</t>
        </is>
      </c>
    </row>
    <row r="344" ht="22" customHeight="1">
      <c r="A344" t="inlineStr" s="6">
        <is>
          <t/>
        </is>
      </c>
      <c r="B344" s="5">
        <f>IF(A344="","",TEXT(A344,"aaa"))</f>
      </c>
      <c r="C344" t="inlineStr" s="5">
        <is>
          <t/>
        </is>
      </c>
      <c r="D344" t="inlineStr" s="5">
        <is>
          <t/>
        </is>
      </c>
      <c r="E344" t="inlineStr" s="7">
        <is>
          <t/>
        </is>
      </c>
      <c r="F344" t="inlineStr" s="7">
        <is>
          <t/>
        </is>
      </c>
      <c r="G344" s="8">
        <f>IF(AND(E344="",F344=""),"",F344-E344)</f>
      </c>
      <c r="H344" t="inlineStr" s="5">
        <is>
          <t/>
        </is>
      </c>
      <c r="I344" t="inlineStr" s="5">
        <is>
          <t/>
        </is>
      </c>
    </row>
    <row r="345" ht="22" customHeight="1">
      <c r="A345" t="inlineStr" s="6">
        <is>
          <t/>
        </is>
      </c>
      <c r="B345" s="5">
        <f>IF(A345="","",TEXT(A345,"aaa"))</f>
      </c>
      <c r="C345" t="inlineStr" s="5">
        <is>
          <t/>
        </is>
      </c>
      <c r="D345" t="inlineStr" s="5">
        <is>
          <t/>
        </is>
      </c>
      <c r="E345" t="inlineStr" s="7">
        <is>
          <t/>
        </is>
      </c>
      <c r="F345" t="inlineStr" s="7">
        <is>
          <t/>
        </is>
      </c>
      <c r="G345" s="8">
        <f>IF(AND(E345="",F345=""),"",F345-E345)</f>
      </c>
      <c r="H345" t="inlineStr" s="5">
        <is>
          <t/>
        </is>
      </c>
      <c r="I345" t="inlineStr" s="5">
        <is>
          <t/>
        </is>
      </c>
    </row>
    <row r="346" ht="22" customHeight="1">
      <c r="A346" t="inlineStr" s="6">
        <is>
          <t/>
        </is>
      </c>
      <c r="B346" s="5">
        <f>IF(A346="","",TEXT(A346,"aaa"))</f>
      </c>
      <c r="C346" t="inlineStr" s="5">
        <is>
          <t/>
        </is>
      </c>
      <c r="D346" t="inlineStr" s="5">
        <is>
          <t/>
        </is>
      </c>
      <c r="E346" t="inlineStr" s="7">
        <is>
          <t/>
        </is>
      </c>
      <c r="F346" t="inlineStr" s="7">
        <is>
          <t/>
        </is>
      </c>
      <c r="G346" s="8">
        <f>IF(AND(E346="",F346=""),"",F346-E346)</f>
      </c>
      <c r="H346" t="inlineStr" s="5">
        <is>
          <t/>
        </is>
      </c>
      <c r="I346" t="inlineStr" s="5">
        <is>
          <t/>
        </is>
      </c>
    </row>
    <row r="347" ht="22" customHeight="1">
      <c r="A347" t="inlineStr" s="6">
        <is>
          <t/>
        </is>
      </c>
      <c r="B347" s="5">
        <f>IF(A347="","",TEXT(A347,"aaa"))</f>
      </c>
      <c r="C347" t="inlineStr" s="5">
        <is>
          <t/>
        </is>
      </c>
      <c r="D347" t="inlineStr" s="5">
        <is>
          <t/>
        </is>
      </c>
      <c r="E347" t="inlineStr" s="7">
        <is>
          <t/>
        </is>
      </c>
      <c r="F347" t="inlineStr" s="7">
        <is>
          <t/>
        </is>
      </c>
      <c r="G347" s="8">
        <f>IF(AND(E347="",F347=""),"",F347-E347)</f>
      </c>
      <c r="H347" t="inlineStr" s="5">
        <is>
          <t/>
        </is>
      </c>
      <c r="I347" t="inlineStr" s="5">
        <is>
          <t/>
        </is>
      </c>
    </row>
    <row r="348" ht="22" customHeight="1">
      <c r="A348" t="inlineStr" s="6">
        <is>
          <t/>
        </is>
      </c>
      <c r="B348" s="5">
        <f>IF(A348="","",TEXT(A348,"aaa"))</f>
      </c>
      <c r="C348" t="inlineStr" s="5">
        <is>
          <t/>
        </is>
      </c>
      <c r="D348" t="inlineStr" s="5">
        <is>
          <t/>
        </is>
      </c>
      <c r="E348" t="inlineStr" s="7">
        <is>
          <t/>
        </is>
      </c>
      <c r="F348" t="inlineStr" s="7">
        <is>
          <t/>
        </is>
      </c>
      <c r="G348" s="8">
        <f>IF(AND(E348="",F348=""),"",F348-E348)</f>
      </c>
      <c r="H348" t="inlineStr" s="5">
        <is>
          <t/>
        </is>
      </c>
      <c r="I348" t="inlineStr" s="5">
        <is>
          <t/>
        </is>
      </c>
    </row>
    <row r="349" ht="22" customHeight="1">
      <c r="A349" t="inlineStr" s="6">
        <is>
          <t/>
        </is>
      </c>
      <c r="B349" s="5">
        <f>IF(A349="","",TEXT(A349,"aaa"))</f>
      </c>
      <c r="C349" t="inlineStr" s="5">
        <is>
          <t/>
        </is>
      </c>
      <c r="D349" t="inlineStr" s="5">
        <is>
          <t/>
        </is>
      </c>
      <c r="E349" t="inlineStr" s="7">
        <is>
          <t/>
        </is>
      </c>
      <c r="F349" t="inlineStr" s="7">
        <is>
          <t/>
        </is>
      </c>
      <c r="G349" s="8">
        <f>IF(AND(E349="",F349=""),"",F349-E349)</f>
      </c>
      <c r="H349" t="inlineStr" s="5">
        <is>
          <t/>
        </is>
      </c>
      <c r="I349" t="inlineStr" s="5">
        <is>
          <t/>
        </is>
      </c>
    </row>
    <row r="350" ht="22" customHeight="1">
      <c r="A350" t="inlineStr" s="6">
        <is>
          <t/>
        </is>
      </c>
      <c r="B350" s="5">
        <f>IF(A350="","",TEXT(A350,"aaa"))</f>
      </c>
      <c r="C350" t="inlineStr" s="5">
        <is>
          <t/>
        </is>
      </c>
      <c r="D350" t="inlineStr" s="5">
        <is>
          <t/>
        </is>
      </c>
      <c r="E350" t="inlineStr" s="7">
        <is>
          <t/>
        </is>
      </c>
      <c r="F350" t="inlineStr" s="7">
        <is>
          <t/>
        </is>
      </c>
      <c r="G350" s="8">
        <f>IF(AND(E350="",F350=""),"",F350-E350)</f>
      </c>
      <c r="H350" t="inlineStr" s="5">
        <is>
          <t/>
        </is>
      </c>
      <c r="I350" t="inlineStr" s="5">
        <is>
          <t/>
        </is>
      </c>
    </row>
    <row r="351" ht="22" customHeight="1">
      <c r="A351" t="inlineStr" s="6">
        <is>
          <t/>
        </is>
      </c>
      <c r="B351" s="5">
        <f>IF(A351="","",TEXT(A351,"aaa"))</f>
      </c>
      <c r="C351" t="inlineStr" s="5">
        <is>
          <t/>
        </is>
      </c>
      <c r="D351" t="inlineStr" s="5">
        <is>
          <t/>
        </is>
      </c>
      <c r="E351" t="inlineStr" s="7">
        <is>
          <t/>
        </is>
      </c>
      <c r="F351" t="inlineStr" s="7">
        <is>
          <t/>
        </is>
      </c>
      <c r="G351" s="8">
        <f>IF(AND(E351="",F351=""),"",F351-E351)</f>
      </c>
      <c r="H351" t="inlineStr" s="5">
        <is>
          <t/>
        </is>
      </c>
      <c r="I351" t="inlineStr" s="5">
        <is>
          <t/>
        </is>
      </c>
    </row>
    <row r="352" ht="22" customHeight="1">
      <c r="A352" t="inlineStr" s="6">
        <is>
          <t/>
        </is>
      </c>
      <c r="B352" s="5">
        <f>IF(A352="","",TEXT(A352,"aaa"))</f>
      </c>
      <c r="C352" t="inlineStr" s="5">
        <is>
          <t/>
        </is>
      </c>
      <c r="D352" t="inlineStr" s="5">
        <is>
          <t/>
        </is>
      </c>
      <c r="E352" t="inlineStr" s="7">
        <is>
          <t/>
        </is>
      </c>
      <c r="F352" t="inlineStr" s="7">
        <is>
          <t/>
        </is>
      </c>
      <c r="G352" s="8">
        <f>IF(AND(E352="",F352=""),"",F352-E352)</f>
      </c>
      <c r="H352" t="inlineStr" s="5">
        <is>
          <t/>
        </is>
      </c>
      <c r="I352" t="inlineStr" s="5">
        <is>
          <t/>
        </is>
      </c>
    </row>
    <row r="353" ht="22" customHeight="1">
      <c r="A353" t="inlineStr" s="6">
        <is>
          <t/>
        </is>
      </c>
      <c r="B353" s="5">
        <f>IF(A353="","",TEXT(A353,"aaa"))</f>
      </c>
      <c r="C353" t="inlineStr" s="5">
        <is>
          <t/>
        </is>
      </c>
      <c r="D353" t="inlineStr" s="5">
        <is>
          <t/>
        </is>
      </c>
      <c r="E353" t="inlineStr" s="7">
        <is>
          <t/>
        </is>
      </c>
      <c r="F353" t="inlineStr" s="7">
        <is>
          <t/>
        </is>
      </c>
      <c r="G353" s="8">
        <f>IF(AND(E353="",F353=""),"",F353-E353)</f>
      </c>
      <c r="H353" t="inlineStr" s="5">
        <is>
          <t/>
        </is>
      </c>
      <c r="I353" t="inlineStr" s="5">
        <is>
          <t/>
        </is>
      </c>
    </row>
    <row r="354" ht="22" customHeight="1">
      <c r="A354" t="inlineStr" s="6">
        <is>
          <t/>
        </is>
      </c>
      <c r="B354" s="5">
        <f>IF(A354="","",TEXT(A354,"aaa"))</f>
      </c>
      <c r="C354" t="inlineStr" s="5">
        <is>
          <t/>
        </is>
      </c>
      <c r="D354" t="inlineStr" s="5">
        <is>
          <t/>
        </is>
      </c>
      <c r="E354" t="inlineStr" s="7">
        <is>
          <t/>
        </is>
      </c>
      <c r="F354" t="inlineStr" s="7">
        <is>
          <t/>
        </is>
      </c>
      <c r="G354" s="8">
        <f>IF(AND(E354="",F354=""),"",F354-E354)</f>
      </c>
      <c r="H354" t="inlineStr" s="5">
        <is>
          <t/>
        </is>
      </c>
      <c r="I354" t="inlineStr" s="5">
        <is>
          <t/>
        </is>
      </c>
    </row>
    <row r="355" ht="22" customHeight="1">
      <c r="A355" t="inlineStr" s="6">
        <is>
          <t/>
        </is>
      </c>
      <c r="B355" s="5">
        <f>IF(A355="","",TEXT(A355,"aaa"))</f>
      </c>
      <c r="C355" t="inlineStr" s="5">
        <is>
          <t/>
        </is>
      </c>
      <c r="D355" t="inlineStr" s="5">
        <is>
          <t/>
        </is>
      </c>
      <c r="E355" t="inlineStr" s="7">
        <is>
          <t/>
        </is>
      </c>
      <c r="F355" t="inlineStr" s="7">
        <is>
          <t/>
        </is>
      </c>
      <c r="G355" s="8">
        <f>IF(AND(E355="",F355=""),"",F355-E355)</f>
      </c>
      <c r="H355" t="inlineStr" s="5">
        <is>
          <t/>
        </is>
      </c>
      <c r="I355" t="inlineStr" s="5">
        <is>
          <t/>
        </is>
      </c>
    </row>
    <row r="356" ht="22" customHeight="1">
      <c r="A356" t="inlineStr" s="6">
        <is>
          <t/>
        </is>
      </c>
      <c r="B356" s="5">
        <f>IF(A356="","",TEXT(A356,"aaa"))</f>
      </c>
      <c r="C356" t="inlineStr" s="5">
        <is>
          <t/>
        </is>
      </c>
      <c r="D356" t="inlineStr" s="5">
        <is>
          <t/>
        </is>
      </c>
      <c r="E356" t="inlineStr" s="7">
        <is>
          <t/>
        </is>
      </c>
      <c r="F356" t="inlineStr" s="7">
        <is>
          <t/>
        </is>
      </c>
      <c r="G356" s="8">
        <f>IF(AND(E356="",F356=""),"",F356-E356)</f>
      </c>
      <c r="H356" t="inlineStr" s="5">
        <is>
          <t/>
        </is>
      </c>
      <c r="I356" t="inlineStr" s="5">
        <is>
          <t/>
        </is>
      </c>
    </row>
    <row r="357" ht="22" customHeight="1">
      <c r="A357" t="inlineStr" s="6">
        <is>
          <t/>
        </is>
      </c>
      <c r="B357" s="5">
        <f>IF(A357="","",TEXT(A357,"aaa"))</f>
      </c>
      <c r="C357" t="inlineStr" s="5">
        <is>
          <t/>
        </is>
      </c>
      <c r="D357" t="inlineStr" s="5">
        <is>
          <t/>
        </is>
      </c>
      <c r="E357" t="inlineStr" s="7">
        <is>
          <t/>
        </is>
      </c>
      <c r="F357" t="inlineStr" s="7">
        <is>
          <t/>
        </is>
      </c>
      <c r="G357" s="8">
        <f>IF(AND(E357="",F357=""),"",F357-E357)</f>
      </c>
      <c r="H357" t="inlineStr" s="5">
        <is>
          <t/>
        </is>
      </c>
      <c r="I357" t="inlineStr" s="5">
        <is>
          <t/>
        </is>
      </c>
    </row>
    <row r="358" ht="22" customHeight="1">
      <c r="A358" t="inlineStr" s="6">
        <is>
          <t/>
        </is>
      </c>
      <c r="B358" s="5">
        <f>IF(A358="","",TEXT(A358,"aaa"))</f>
      </c>
      <c r="C358" t="inlineStr" s="5">
        <is>
          <t/>
        </is>
      </c>
      <c r="D358" t="inlineStr" s="5">
        <is>
          <t/>
        </is>
      </c>
      <c r="E358" t="inlineStr" s="7">
        <is>
          <t/>
        </is>
      </c>
      <c r="F358" t="inlineStr" s="7">
        <is>
          <t/>
        </is>
      </c>
      <c r="G358" s="8">
        <f>IF(AND(E358="",F358=""),"",F358-E358)</f>
      </c>
      <c r="H358" t="inlineStr" s="5">
        <is>
          <t/>
        </is>
      </c>
      <c r="I358" t="inlineStr" s="5">
        <is>
          <t/>
        </is>
      </c>
    </row>
    <row r="359" ht="24" customHeight="1">
      <c r="A359" t="inlineStr" s="9">
        <is>
          <t>本周小计</t>
        </is>
      </c>
      <c r="B359" t="inlineStr" s="9">
        <is>
          <t/>
        </is>
      </c>
      <c r="C359" t="inlineStr" s="9">
        <is>
          <t/>
        </is>
      </c>
      <c r="D359" t="inlineStr" s="9">
        <is>
          <t/>
        </is>
      </c>
      <c r="E359" s="9">
        <f>SUM(E344:E358)</f>
      </c>
      <c r="F359" s="9">
        <f>SUM(F344:F358)</f>
      </c>
      <c r="G359" s="9">
        <f>SUM(G344:G358)</f>
      </c>
      <c r="H359" t="inlineStr" s="9">
        <is>
          <t/>
        </is>
      </c>
      <c r="I359" t="inlineStr" s="9">
        <is>
          <t/>
        </is>
      </c>
    </row>
    <row r="360" ht="18" customHeight="1">
      <c r="A360" t="inlineStr" s="10">
        <is>
          <t/>
        </is>
      </c>
      <c r="B360" t="inlineStr" s="10">
        <is>
          <t/>
        </is>
      </c>
      <c r="C360" t="inlineStr" s="10">
        <is>
          <t/>
        </is>
      </c>
      <c r="D360" t="inlineStr" s="10">
        <is>
          <t/>
        </is>
      </c>
      <c r="E360" t="inlineStr" s="10">
        <is>
          <t/>
        </is>
      </c>
      <c r="F360" t="inlineStr" s="10">
        <is>
          <t/>
        </is>
      </c>
      <c r="G360" t="inlineStr" s="10">
        <is>
          <t/>
        </is>
      </c>
      <c r="H360" t="inlineStr" s="10">
        <is>
          <t/>
        </is>
      </c>
      <c r="I360" t="inlineStr" s="10">
        <is>
          <t/>
        </is>
      </c>
    </row>
    <row r="361" ht="18" customHeight="1">
      <c r="A361" t="inlineStr" s="10">
        <is>
          <t/>
        </is>
      </c>
      <c r="B361" t="inlineStr" s="10">
        <is>
          <t/>
        </is>
      </c>
      <c r="C361" t="inlineStr" s="10">
        <is>
          <t/>
        </is>
      </c>
      <c r="D361" t="inlineStr" s="10">
        <is>
          <t/>
        </is>
      </c>
      <c r="E361" t="inlineStr" s="10">
        <is>
          <t/>
        </is>
      </c>
      <c r="F361" t="inlineStr" s="10">
        <is>
          <t/>
        </is>
      </c>
      <c r="G361" t="inlineStr" s="10">
        <is>
          <t/>
        </is>
      </c>
      <c r="H361" t="inlineStr" s="10">
        <is>
          <t/>
        </is>
      </c>
      <c r="I361" t="inlineStr" s="10">
        <is>
          <t/>
        </is>
      </c>
    </row>
    <row r="362" ht="28" customHeight="1">
      <c r="A362" t="inlineStr" s="3">
        <is>
          <t>2026年10月｜第一周（10月5日 - 10月11日）</t>
        </is>
      </c>
      <c r="B362" t="inlineStr" s="3">
        <is>
          <t/>
        </is>
      </c>
      <c r="C362" t="inlineStr" s="3">
        <is>
          <t/>
        </is>
      </c>
      <c r="D362" t="inlineStr" s="3">
        <is>
          <t/>
        </is>
      </c>
      <c r="E362" t="inlineStr" s="3">
        <is>
          <t/>
        </is>
      </c>
      <c r="F362" t="inlineStr" s="3">
        <is>
          <t/>
        </is>
      </c>
      <c r="G362" t="inlineStr" s="3">
        <is>
          <t/>
        </is>
      </c>
      <c r="H362" t="inlineStr" s="3">
        <is>
          <t/>
        </is>
      </c>
      <c r="I362" t="inlineStr" s="3">
        <is>
          <t/>
        </is>
      </c>
    </row>
    <row r="363" ht="23" customHeight="1">
      <c r="A363" t="inlineStr" s="4">
        <is>
          <t>日期</t>
        </is>
      </c>
      <c r="B363" t="inlineStr" s="4">
        <is>
          <t>星期</t>
        </is>
      </c>
      <c r="C363" t="inlineStr" s="4">
        <is>
          <t>分类</t>
        </is>
      </c>
      <c r="D363" t="inlineStr" s="4">
        <is>
          <t>事项</t>
        </is>
      </c>
      <c r="E363" t="inlineStr" s="4">
        <is>
          <t>支出金额</t>
        </is>
      </c>
      <c r="F363" t="inlineStr" s="4">
        <is>
          <t>收入金额</t>
        </is>
      </c>
      <c r="G363" t="inlineStr" s="4">
        <is>
          <t>当笔净额</t>
        </is>
      </c>
      <c r="H363" t="inlineStr" s="4">
        <is>
          <t>支付方式</t>
        </is>
      </c>
      <c r="I363" t="inlineStr" s="4">
        <is>
          <t>备注</t>
        </is>
      </c>
    </row>
    <row r="364" ht="22" customHeight="1">
      <c r="A364" t="inlineStr" s="6">
        <is>
          <t/>
        </is>
      </c>
      <c r="B364" s="5">
        <f>IF(A364="","",TEXT(A364,"aaa"))</f>
      </c>
      <c r="C364" t="inlineStr" s="5">
        <is>
          <t/>
        </is>
      </c>
      <c r="D364" t="inlineStr" s="5">
        <is>
          <t/>
        </is>
      </c>
      <c r="E364" t="inlineStr" s="7">
        <is>
          <t/>
        </is>
      </c>
      <c r="F364" t="inlineStr" s="7">
        <is>
          <t/>
        </is>
      </c>
      <c r="G364" s="8">
        <f>IF(AND(E364="",F364=""),"",F364-E364)</f>
      </c>
      <c r="H364" t="inlineStr" s="5">
        <is>
          <t/>
        </is>
      </c>
      <c r="I364" t="inlineStr" s="5">
        <is>
          <t/>
        </is>
      </c>
    </row>
    <row r="365" ht="22" customHeight="1">
      <c r="A365" t="inlineStr" s="6">
        <is>
          <t/>
        </is>
      </c>
      <c r="B365" s="5">
        <f>IF(A365="","",TEXT(A365,"aaa"))</f>
      </c>
      <c r="C365" t="inlineStr" s="5">
        <is>
          <t/>
        </is>
      </c>
      <c r="D365" t="inlineStr" s="5">
        <is>
          <t/>
        </is>
      </c>
      <c r="E365" t="inlineStr" s="7">
        <is>
          <t/>
        </is>
      </c>
      <c r="F365" t="inlineStr" s="7">
        <is>
          <t/>
        </is>
      </c>
      <c r="G365" s="8">
        <f>IF(AND(E365="",F365=""),"",F365-E365)</f>
      </c>
      <c r="H365" t="inlineStr" s="5">
        <is>
          <t/>
        </is>
      </c>
      <c r="I365" t="inlineStr" s="5">
        <is>
          <t/>
        </is>
      </c>
    </row>
    <row r="366" ht="22" customHeight="1">
      <c r="A366" t="inlineStr" s="6">
        <is>
          <t/>
        </is>
      </c>
      <c r="B366" s="5">
        <f>IF(A366="","",TEXT(A366,"aaa"))</f>
      </c>
      <c r="C366" t="inlineStr" s="5">
        <is>
          <t/>
        </is>
      </c>
      <c r="D366" t="inlineStr" s="5">
        <is>
          <t/>
        </is>
      </c>
      <c r="E366" t="inlineStr" s="7">
        <is>
          <t/>
        </is>
      </c>
      <c r="F366" t="inlineStr" s="7">
        <is>
          <t/>
        </is>
      </c>
      <c r="G366" s="8">
        <f>IF(AND(E366="",F366=""),"",F366-E366)</f>
      </c>
      <c r="H366" t="inlineStr" s="5">
        <is>
          <t/>
        </is>
      </c>
      <c r="I366" t="inlineStr" s="5">
        <is>
          <t/>
        </is>
      </c>
    </row>
    <row r="367" ht="22" customHeight="1">
      <c r="A367" t="inlineStr" s="6">
        <is>
          <t/>
        </is>
      </c>
      <c r="B367" s="5">
        <f>IF(A367="","",TEXT(A367,"aaa"))</f>
      </c>
      <c r="C367" t="inlineStr" s="5">
        <is>
          <t/>
        </is>
      </c>
      <c r="D367" t="inlineStr" s="5">
        <is>
          <t/>
        </is>
      </c>
      <c r="E367" t="inlineStr" s="7">
        <is>
          <t/>
        </is>
      </c>
      <c r="F367" t="inlineStr" s="7">
        <is>
          <t/>
        </is>
      </c>
      <c r="G367" s="8">
        <f>IF(AND(E367="",F367=""),"",F367-E367)</f>
      </c>
      <c r="H367" t="inlineStr" s="5">
        <is>
          <t/>
        </is>
      </c>
      <c r="I367" t="inlineStr" s="5">
        <is>
          <t/>
        </is>
      </c>
    </row>
    <row r="368" ht="22" customHeight="1">
      <c r="A368" t="inlineStr" s="6">
        <is>
          <t/>
        </is>
      </c>
      <c r="B368" s="5">
        <f>IF(A368="","",TEXT(A368,"aaa"))</f>
      </c>
      <c r="C368" t="inlineStr" s="5">
        <is>
          <t/>
        </is>
      </c>
      <c r="D368" t="inlineStr" s="5">
        <is>
          <t/>
        </is>
      </c>
      <c r="E368" t="inlineStr" s="7">
        <is>
          <t/>
        </is>
      </c>
      <c r="F368" t="inlineStr" s="7">
        <is>
          <t/>
        </is>
      </c>
      <c r="G368" s="8">
        <f>IF(AND(E368="",F368=""),"",F368-E368)</f>
      </c>
      <c r="H368" t="inlineStr" s="5">
        <is>
          <t/>
        </is>
      </c>
      <c r="I368" t="inlineStr" s="5">
        <is>
          <t/>
        </is>
      </c>
    </row>
    <row r="369" ht="22" customHeight="1">
      <c r="A369" t="inlineStr" s="6">
        <is>
          <t/>
        </is>
      </c>
      <c r="B369" s="5">
        <f>IF(A369="","",TEXT(A369,"aaa"))</f>
      </c>
      <c r="C369" t="inlineStr" s="5">
        <is>
          <t/>
        </is>
      </c>
      <c r="D369" t="inlineStr" s="5">
        <is>
          <t/>
        </is>
      </c>
      <c r="E369" t="inlineStr" s="7">
        <is>
          <t/>
        </is>
      </c>
      <c r="F369" t="inlineStr" s="7">
        <is>
          <t/>
        </is>
      </c>
      <c r="G369" s="8">
        <f>IF(AND(E369="",F369=""),"",F369-E369)</f>
      </c>
      <c r="H369" t="inlineStr" s="5">
        <is>
          <t/>
        </is>
      </c>
      <c r="I369" t="inlineStr" s="5">
        <is>
          <t/>
        </is>
      </c>
    </row>
    <row r="370" ht="22" customHeight="1">
      <c r="A370" t="inlineStr" s="6">
        <is>
          <t/>
        </is>
      </c>
      <c r="B370" s="5">
        <f>IF(A370="","",TEXT(A370,"aaa"))</f>
      </c>
      <c r="C370" t="inlineStr" s="5">
        <is>
          <t/>
        </is>
      </c>
      <c r="D370" t="inlineStr" s="5">
        <is>
          <t/>
        </is>
      </c>
      <c r="E370" t="inlineStr" s="7">
        <is>
          <t/>
        </is>
      </c>
      <c r="F370" t="inlineStr" s="7">
        <is>
          <t/>
        </is>
      </c>
      <c r="G370" s="8">
        <f>IF(AND(E370="",F370=""),"",F370-E370)</f>
      </c>
      <c r="H370" t="inlineStr" s="5">
        <is>
          <t/>
        </is>
      </c>
      <c r="I370" t="inlineStr" s="5">
        <is>
          <t/>
        </is>
      </c>
    </row>
    <row r="371" ht="22" customHeight="1">
      <c r="A371" t="inlineStr" s="6">
        <is>
          <t/>
        </is>
      </c>
      <c r="B371" s="5">
        <f>IF(A371="","",TEXT(A371,"aaa"))</f>
      </c>
      <c r="C371" t="inlineStr" s="5">
        <is>
          <t/>
        </is>
      </c>
      <c r="D371" t="inlineStr" s="5">
        <is>
          <t/>
        </is>
      </c>
      <c r="E371" t="inlineStr" s="7">
        <is>
          <t/>
        </is>
      </c>
      <c r="F371" t="inlineStr" s="7">
        <is>
          <t/>
        </is>
      </c>
      <c r="G371" s="8">
        <f>IF(AND(E371="",F371=""),"",F371-E371)</f>
      </c>
      <c r="H371" t="inlineStr" s="5">
        <is>
          <t/>
        </is>
      </c>
      <c r="I371" t="inlineStr" s="5">
        <is>
          <t/>
        </is>
      </c>
    </row>
    <row r="372" ht="22" customHeight="1">
      <c r="A372" t="inlineStr" s="6">
        <is>
          <t/>
        </is>
      </c>
      <c r="B372" s="5">
        <f>IF(A372="","",TEXT(A372,"aaa"))</f>
      </c>
      <c r="C372" t="inlineStr" s="5">
        <is>
          <t/>
        </is>
      </c>
      <c r="D372" t="inlineStr" s="5">
        <is>
          <t/>
        </is>
      </c>
      <c r="E372" t="inlineStr" s="7">
        <is>
          <t/>
        </is>
      </c>
      <c r="F372" t="inlineStr" s="7">
        <is>
          <t/>
        </is>
      </c>
      <c r="G372" s="8">
        <f>IF(AND(E372="",F372=""),"",F372-E372)</f>
      </c>
      <c r="H372" t="inlineStr" s="5">
        <is>
          <t/>
        </is>
      </c>
      <c r="I372" t="inlineStr" s="5">
        <is>
          <t/>
        </is>
      </c>
    </row>
    <row r="373" ht="22" customHeight="1">
      <c r="A373" t="inlineStr" s="6">
        <is>
          <t/>
        </is>
      </c>
      <c r="B373" s="5">
        <f>IF(A373="","",TEXT(A373,"aaa"))</f>
      </c>
      <c r="C373" t="inlineStr" s="5">
        <is>
          <t/>
        </is>
      </c>
      <c r="D373" t="inlineStr" s="5">
        <is>
          <t/>
        </is>
      </c>
      <c r="E373" t="inlineStr" s="7">
        <is>
          <t/>
        </is>
      </c>
      <c r="F373" t="inlineStr" s="7">
        <is>
          <t/>
        </is>
      </c>
      <c r="G373" s="8">
        <f>IF(AND(E373="",F373=""),"",F373-E373)</f>
      </c>
      <c r="H373" t="inlineStr" s="5">
        <is>
          <t/>
        </is>
      </c>
      <c r="I373" t="inlineStr" s="5">
        <is>
          <t/>
        </is>
      </c>
    </row>
    <row r="374" ht="22" customHeight="1">
      <c r="A374" t="inlineStr" s="6">
        <is>
          <t/>
        </is>
      </c>
      <c r="B374" s="5">
        <f>IF(A374="","",TEXT(A374,"aaa"))</f>
      </c>
      <c r="C374" t="inlineStr" s="5">
        <is>
          <t/>
        </is>
      </c>
      <c r="D374" t="inlineStr" s="5">
        <is>
          <t/>
        </is>
      </c>
      <c r="E374" t="inlineStr" s="7">
        <is>
          <t/>
        </is>
      </c>
      <c r="F374" t="inlineStr" s="7">
        <is>
          <t/>
        </is>
      </c>
      <c r="G374" s="8">
        <f>IF(AND(E374="",F374=""),"",F374-E374)</f>
      </c>
      <c r="H374" t="inlineStr" s="5">
        <is>
          <t/>
        </is>
      </c>
      <c r="I374" t="inlineStr" s="5">
        <is>
          <t/>
        </is>
      </c>
    </row>
    <row r="375" ht="22" customHeight="1">
      <c r="A375" t="inlineStr" s="6">
        <is>
          <t/>
        </is>
      </c>
      <c r="B375" s="5">
        <f>IF(A375="","",TEXT(A375,"aaa"))</f>
      </c>
      <c r="C375" t="inlineStr" s="5">
        <is>
          <t/>
        </is>
      </c>
      <c r="D375" t="inlineStr" s="5">
        <is>
          <t/>
        </is>
      </c>
      <c r="E375" t="inlineStr" s="7">
        <is>
          <t/>
        </is>
      </c>
      <c r="F375" t="inlineStr" s="7">
        <is>
          <t/>
        </is>
      </c>
      <c r="G375" s="8">
        <f>IF(AND(E375="",F375=""),"",F375-E375)</f>
      </c>
      <c r="H375" t="inlineStr" s="5">
        <is>
          <t/>
        </is>
      </c>
      <c r="I375" t="inlineStr" s="5">
        <is>
          <t/>
        </is>
      </c>
    </row>
    <row r="376" ht="22" customHeight="1">
      <c r="A376" t="inlineStr" s="6">
        <is>
          <t/>
        </is>
      </c>
      <c r="B376" s="5">
        <f>IF(A376="","",TEXT(A376,"aaa"))</f>
      </c>
      <c r="C376" t="inlineStr" s="5">
        <is>
          <t/>
        </is>
      </c>
      <c r="D376" t="inlineStr" s="5">
        <is>
          <t/>
        </is>
      </c>
      <c r="E376" t="inlineStr" s="7">
        <is>
          <t/>
        </is>
      </c>
      <c r="F376" t="inlineStr" s="7">
        <is>
          <t/>
        </is>
      </c>
      <c r="G376" s="8">
        <f>IF(AND(E376="",F376=""),"",F376-E376)</f>
      </c>
      <c r="H376" t="inlineStr" s="5">
        <is>
          <t/>
        </is>
      </c>
      <c r="I376" t="inlineStr" s="5">
        <is>
          <t/>
        </is>
      </c>
    </row>
    <row r="377" ht="22" customHeight="1">
      <c r="A377" t="inlineStr" s="6">
        <is>
          <t/>
        </is>
      </c>
      <c r="B377" s="5">
        <f>IF(A377="","",TEXT(A377,"aaa"))</f>
      </c>
      <c r="C377" t="inlineStr" s="5">
        <is>
          <t/>
        </is>
      </c>
      <c r="D377" t="inlineStr" s="5">
        <is>
          <t/>
        </is>
      </c>
      <c r="E377" t="inlineStr" s="7">
        <is>
          <t/>
        </is>
      </c>
      <c r="F377" t="inlineStr" s="7">
        <is>
          <t/>
        </is>
      </c>
      <c r="G377" s="8">
        <f>IF(AND(E377="",F377=""),"",F377-E377)</f>
      </c>
      <c r="H377" t="inlineStr" s="5">
        <is>
          <t/>
        </is>
      </c>
      <c r="I377" t="inlineStr" s="5">
        <is>
          <t/>
        </is>
      </c>
    </row>
    <row r="378" ht="22" customHeight="1">
      <c r="A378" t="inlineStr" s="6">
        <is>
          <t/>
        </is>
      </c>
      <c r="B378" s="5">
        <f>IF(A378="","",TEXT(A378,"aaa"))</f>
      </c>
      <c r="C378" t="inlineStr" s="5">
        <is>
          <t/>
        </is>
      </c>
      <c r="D378" t="inlineStr" s="5">
        <is>
          <t/>
        </is>
      </c>
      <c r="E378" t="inlineStr" s="7">
        <is>
          <t/>
        </is>
      </c>
      <c r="F378" t="inlineStr" s="7">
        <is>
          <t/>
        </is>
      </c>
      <c r="G378" s="8">
        <f>IF(AND(E378="",F378=""),"",F378-E378)</f>
      </c>
      <c r="H378" t="inlineStr" s="5">
        <is>
          <t/>
        </is>
      </c>
      <c r="I378" t="inlineStr" s="5">
        <is>
          <t/>
        </is>
      </c>
    </row>
    <row r="379" ht="24" customHeight="1">
      <c r="A379" t="inlineStr" s="9">
        <is>
          <t>本周小计</t>
        </is>
      </c>
      <c r="B379" t="inlineStr" s="9">
        <is>
          <t/>
        </is>
      </c>
      <c r="C379" t="inlineStr" s="9">
        <is>
          <t/>
        </is>
      </c>
      <c r="D379" t="inlineStr" s="9">
        <is>
          <t/>
        </is>
      </c>
      <c r="E379" s="9">
        <f>SUM(E364:E378)</f>
      </c>
      <c r="F379" s="9">
        <f>SUM(F364:F378)</f>
      </c>
      <c r="G379" s="9">
        <f>SUM(G364:G378)</f>
      </c>
      <c r="H379" t="inlineStr" s="9">
        <is>
          <t/>
        </is>
      </c>
      <c r="I379" t="inlineStr" s="9">
        <is>
          <t/>
        </is>
      </c>
    </row>
    <row r="380" ht="18" customHeight="1">
      <c r="A380" t="inlineStr" s="10">
        <is>
          <t/>
        </is>
      </c>
      <c r="B380" t="inlineStr" s="10">
        <is>
          <t/>
        </is>
      </c>
      <c r="C380" t="inlineStr" s="10">
        <is>
          <t/>
        </is>
      </c>
      <c r="D380" t="inlineStr" s="10">
        <is>
          <t/>
        </is>
      </c>
      <c r="E380" t="inlineStr" s="10">
        <is>
          <t/>
        </is>
      </c>
      <c r="F380" t="inlineStr" s="10">
        <is>
          <t/>
        </is>
      </c>
      <c r="G380" t="inlineStr" s="10">
        <is>
          <t/>
        </is>
      </c>
      <c r="H380" t="inlineStr" s="10">
        <is>
          <t/>
        </is>
      </c>
      <c r="I380" t="inlineStr" s="10">
        <is>
          <t/>
        </is>
      </c>
    </row>
    <row r="381" ht="18" customHeight="1">
      <c r="A381" t="inlineStr" s="10">
        <is>
          <t/>
        </is>
      </c>
      <c r="B381" t="inlineStr" s="10">
        <is>
          <t/>
        </is>
      </c>
      <c r="C381" t="inlineStr" s="10">
        <is>
          <t/>
        </is>
      </c>
      <c r="D381" t="inlineStr" s="10">
        <is>
          <t/>
        </is>
      </c>
      <c r="E381" t="inlineStr" s="10">
        <is>
          <t/>
        </is>
      </c>
      <c r="F381" t="inlineStr" s="10">
        <is>
          <t/>
        </is>
      </c>
      <c r="G381" t="inlineStr" s="10">
        <is>
          <t/>
        </is>
      </c>
      <c r="H381" t="inlineStr" s="10">
        <is>
          <t/>
        </is>
      </c>
      <c r="I381" t="inlineStr" s="10">
        <is>
          <t/>
        </is>
      </c>
    </row>
    <row r="382" ht="28" customHeight="1">
      <c r="A382" t="inlineStr" s="3">
        <is>
          <t>2026年10月｜第二周（10月12日 - 10月18日）</t>
        </is>
      </c>
      <c r="B382" t="inlineStr" s="3">
        <is>
          <t/>
        </is>
      </c>
      <c r="C382" t="inlineStr" s="3">
        <is>
          <t/>
        </is>
      </c>
      <c r="D382" t="inlineStr" s="3">
        <is>
          <t/>
        </is>
      </c>
      <c r="E382" t="inlineStr" s="3">
        <is>
          <t/>
        </is>
      </c>
      <c r="F382" t="inlineStr" s="3">
        <is>
          <t/>
        </is>
      </c>
      <c r="G382" t="inlineStr" s="3">
        <is>
          <t/>
        </is>
      </c>
      <c r="H382" t="inlineStr" s="3">
        <is>
          <t/>
        </is>
      </c>
      <c r="I382" t="inlineStr" s="3">
        <is>
          <t/>
        </is>
      </c>
    </row>
    <row r="383" ht="23" customHeight="1">
      <c r="A383" t="inlineStr" s="4">
        <is>
          <t>日期</t>
        </is>
      </c>
      <c r="B383" t="inlineStr" s="4">
        <is>
          <t>星期</t>
        </is>
      </c>
      <c r="C383" t="inlineStr" s="4">
        <is>
          <t>分类</t>
        </is>
      </c>
      <c r="D383" t="inlineStr" s="4">
        <is>
          <t>事项</t>
        </is>
      </c>
      <c r="E383" t="inlineStr" s="4">
        <is>
          <t>支出金额</t>
        </is>
      </c>
      <c r="F383" t="inlineStr" s="4">
        <is>
          <t>收入金额</t>
        </is>
      </c>
      <c r="G383" t="inlineStr" s="4">
        <is>
          <t>当笔净额</t>
        </is>
      </c>
      <c r="H383" t="inlineStr" s="4">
        <is>
          <t>支付方式</t>
        </is>
      </c>
      <c r="I383" t="inlineStr" s="4">
        <is>
          <t>备注</t>
        </is>
      </c>
    </row>
    <row r="384" ht="22" customHeight="1">
      <c r="A384" t="inlineStr" s="6">
        <is>
          <t/>
        </is>
      </c>
      <c r="B384" s="5">
        <f>IF(A384="","",TEXT(A384,"aaa"))</f>
      </c>
      <c r="C384" t="inlineStr" s="5">
        <is>
          <t/>
        </is>
      </c>
      <c r="D384" t="inlineStr" s="5">
        <is>
          <t/>
        </is>
      </c>
      <c r="E384" t="inlineStr" s="7">
        <is>
          <t/>
        </is>
      </c>
      <c r="F384" t="inlineStr" s="7">
        <is>
          <t/>
        </is>
      </c>
      <c r="G384" s="8">
        <f>IF(AND(E384="",F384=""),"",F384-E384)</f>
      </c>
      <c r="H384" t="inlineStr" s="5">
        <is>
          <t/>
        </is>
      </c>
      <c r="I384" t="inlineStr" s="5">
        <is>
          <t/>
        </is>
      </c>
    </row>
    <row r="385" ht="22" customHeight="1">
      <c r="A385" t="inlineStr" s="6">
        <is>
          <t/>
        </is>
      </c>
      <c r="B385" s="5">
        <f>IF(A385="","",TEXT(A385,"aaa"))</f>
      </c>
      <c r="C385" t="inlineStr" s="5">
        <is>
          <t/>
        </is>
      </c>
      <c r="D385" t="inlineStr" s="5">
        <is>
          <t/>
        </is>
      </c>
      <c r="E385" t="inlineStr" s="7">
        <is>
          <t/>
        </is>
      </c>
      <c r="F385" t="inlineStr" s="7">
        <is>
          <t/>
        </is>
      </c>
      <c r="G385" s="8">
        <f>IF(AND(E385="",F385=""),"",F385-E385)</f>
      </c>
      <c r="H385" t="inlineStr" s="5">
        <is>
          <t/>
        </is>
      </c>
      <c r="I385" t="inlineStr" s="5">
        <is>
          <t/>
        </is>
      </c>
    </row>
    <row r="386" ht="22" customHeight="1">
      <c r="A386" t="inlineStr" s="6">
        <is>
          <t/>
        </is>
      </c>
      <c r="B386" s="5">
        <f>IF(A386="","",TEXT(A386,"aaa"))</f>
      </c>
      <c r="C386" t="inlineStr" s="5">
        <is>
          <t/>
        </is>
      </c>
      <c r="D386" t="inlineStr" s="5">
        <is>
          <t/>
        </is>
      </c>
      <c r="E386" t="inlineStr" s="7">
        <is>
          <t/>
        </is>
      </c>
      <c r="F386" t="inlineStr" s="7">
        <is>
          <t/>
        </is>
      </c>
      <c r="G386" s="8">
        <f>IF(AND(E386="",F386=""),"",F386-E386)</f>
      </c>
      <c r="H386" t="inlineStr" s="5">
        <is>
          <t/>
        </is>
      </c>
      <c r="I386" t="inlineStr" s="5">
        <is>
          <t/>
        </is>
      </c>
    </row>
    <row r="387" ht="22" customHeight="1">
      <c r="A387" t="inlineStr" s="6">
        <is>
          <t/>
        </is>
      </c>
      <c r="B387" s="5">
        <f>IF(A387="","",TEXT(A387,"aaa"))</f>
      </c>
      <c r="C387" t="inlineStr" s="5">
        <is>
          <t/>
        </is>
      </c>
      <c r="D387" t="inlineStr" s="5">
        <is>
          <t/>
        </is>
      </c>
      <c r="E387" t="inlineStr" s="7">
        <is>
          <t/>
        </is>
      </c>
      <c r="F387" t="inlineStr" s="7">
        <is>
          <t/>
        </is>
      </c>
      <c r="G387" s="8">
        <f>IF(AND(E387="",F387=""),"",F387-E387)</f>
      </c>
      <c r="H387" t="inlineStr" s="5">
        <is>
          <t/>
        </is>
      </c>
      <c r="I387" t="inlineStr" s="5">
        <is>
          <t/>
        </is>
      </c>
    </row>
    <row r="388" ht="22" customHeight="1">
      <c r="A388" t="inlineStr" s="6">
        <is>
          <t/>
        </is>
      </c>
      <c r="B388" s="5">
        <f>IF(A388="","",TEXT(A388,"aaa"))</f>
      </c>
      <c r="C388" t="inlineStr" s="5">
        <is>
          <t/>
        </is>
      </c>
      <c r="D388" t="inlineStr" s="5">
        <is>
          <t/>
        </is>
      </c>
      <c r="E388" t="inlineStr" s="7">
        <is>
          <t/>
        </is>
      </c>
      <c r="F388" t="inlineStr" s="7">
        <is>
          <t/>
        </is>
      </c>
      <c r="G388" s="8">
        <f>IF(AND(E388="",F388=""),"",F388-E388)</f>
      </c>
      <c r="H388" t="inlineStr" s="5">
        <is>
          <t/>
        </is>
      </c>
      <c r="I388" t="inlineStr" s="5">
        <is>
          <t/>
        </is>
      </c>
    </row>
    <row r="389" ht="22" customHeight="1">
      <c r="A389" t="inlineStr" s="6">
        <is>
          <t/>
        </is>
      </c>
      <c r="B389" s="5">
        <f>IF(A389="","",TEXT(A389,"aaa"))</f>
      </c>
      <c r="C389" t="inlineStr" s="5">
        <is>
          <t/>
        </is>
      </c>
      <c r="D389" t="inlineStr" s="5">
        <is>
          <t/>
        </is>
      </c>
      <c r="E389" t="inlineStr" s="7">
        <is>
          <t/>
        </is>
      </c>
      <c r="F389" t="inlineStr" s="7">
        <is>
          <t/>
        </is>
      </c>
      <c r="G389" s="8">
        <f>IF(AND(E389="",F389=""),"",F389-E389)</f>
      </c>
      <c r="H389" t="inlineStr" s="5">
        <is>
          <t/>
        </is>
      </c>
      <c r="I389" t="inlineStr" s="5">
        <is>
          <t/>
        </is>
      </c>
    </row>
    <row r="390" ht="22" customHeight="1">
      <c r="A390" t="inlineStr" s="6">
        <is>
          <t/>
        </is>
      </c>
      <c r="B390" s="5">
        <f>IF(A390="","",TEXT(A390,"aaa"))</f>
      </c>
      <c r="C390" t="inlineStr" s="5">
        <is>
          <t/>
        </is>
      </c>
      <c r="D390" t="inlineStr" s="5">
        <is>
          <t/>
        </is>
      </c>
      <c r="E390" t="inlineStr" s="7">
        <is>
          <t/>
        </is>
      </c>
      <c r="F390" t="inlineStr" s="7">
        <is>
          <t/>
        </is>
      </c>
      <c r="G390" s="8">
        <f>IF(AND(E390="",F390=""),"",F390-E390)</f>
      </c>
      <c r="H390" t="inlineStr" s="5">
        <is>
          <t/>
        </is>
      </c>
      <c r="I390" t="inlineStr" s="5">
        <is>
          <t/>
        </is>
      </c>
    </row>
    <row r="391" ht="22" customHeight="1">
      <c r="A391" t="inlineStr" s="6">
        <is>
          <t/>
        </is>
      </c>
      <c r="B391" s="5">
        <f>IF(A391="","",TEXT(A391,"aaa"))</f>
      </c>
      <c r="C391" t="inlineStr" s="5">
        <is>
          <t/>
        </is>
      </c>
      <c r="D391" t="inlineStr" s="5">
        <is>
          <t/>
        </is>
      </c>
      <c r="E391" t="inlineStr" s="7">
        <is>
          <t/>
        </is>
      </c>
      <c r="F391" t="inlineStr" s="7">
        <is>
          <t/>
        </is>
      </c>
      <c r="G391" s="8">
        <f>IF(AND(E391="",F391=""),"",F391-E391)</f>
      </c>
      <c r="H391" t="inlineStr" s="5">
        <is>
          <t/>
        </is>
      </c>
      <c r="I391" t="inlineStr" s="5">
        <is>
          <t/>
        </is>
      </c>
    </row>
    <row r="392" ht="22" customHeight="1">
      <c r="A392" t="inlineStr" s="6">
        <is>
          <t/>
        </is>
      </c>
      <c r="B392" s="5">
        <f>IF(A392="","",TEXT(A392,"aaa"))</f>
      </c>
      <c r="C392" t="inlineStr" s="5">
        <is>
          <t/>
        </is>
      </c>
      <c r="D392" t="inlineStr" s="5">
        <is>
          <t/>
        </is>
      </c>
      <c r="E392" t="inlineStr" s="7">
        <is>
          <t/>
        </is>
      </c>
      <c r="F392" t="inlineStr" s="7">
        <is>
          <t/>
        </is>
      </c>
      <c r="G392" s="8">
        <f>IF(AND(E392="",F392=""),"",F392-E392)</f>
      </c>
      <c r="H392" t="inlineStr" s="5">
        <is>
          <t/>
        </is>
      </c>
      <c r="I392" t="inlineStr" s="5">
        <is>
          <t/>
        </is>
      </c>
    </row>
    <row r="393" ht="22" customHeight="1">
      <c r="A393" t="inlineStr" s="6">
        <is>
          <t/>
        </is>
      </c>
      <c r="B393" s="5">
        <f>IF(A393="","",TEXT(A393,"aaa"))</f>
      </c>
      <c r="C393" t="inlineStr" s="5">
        <is>
          <t/>
        </is>
      </c>
      <c r="D393" t="inlineStr" s="5">
        <is>
          <t/>
        </is>
      </c>
      <c r="E393" t="inlineStr" s="7">
        <is>
          <t/>
        </is>
      </c>
      <c r="F393" t="inlineStr" s="7">
        <is>
          <t/>
        </is>
      </c>
      <c r="G393" s="8">
        <f>IF(AND(E393="",F393=""),"",F393-E393)</f>
      </c>
      <c r="H393" t="inlineStr" s="5">
        <is>
          <t/>
        </is>
      </c>
      <c r="I393" t="inlineStr" s="5">
        <is>
          <t/>
        </is>
      </c>
    </row>
    <row r="394" ht="22" customHeight="1">
      <c r="A394" t="inlineStr" s="6">
        <is>
          <t/>
        </is>
      </c>
      <c r="B394" s="5">
        <f>IF(A394="","",TEXT(A394,"aaa"))</f>
      </c>
      <c r="C394" t="inlineStr" s="5">
        <is>
          <t/>
        </is>
      </c>
      <c r="D394" t="inlineStr" s="5">
        <is>
          <t/>
        </is>
      </c>
      <c r="E394" t="inlineStr" s="7">
        <is>
          <t/>
        </is>
      </c>
      <c r="F394" t="inlineStr" s="7">
        <is>
          <t/>
        </is>
      </c>
      <c r="G394" s="8">
        <f>IF(AND(E394="",F394=""),"",F394-E394)</f>
      </c>
      <c r="H394" t="inlineStr" s="5">
        <is>
          <t/>
        </is>
      </c>
      <c r="I394" t="inlineStr" s="5">
        <is>
          <t/>
        </is>
      </c>
    </row>
    <row r="395" ht="22" customHeight="1">
      <c r="A395" t="inlineStr" s="6">
        <is>
          <t/>
        </is>
      </c>
      <c r="B395" s="5">
        <f>IF(A395="","",TEXT(A395,"aaa"))</f>
      </c>
      <c r="C395" t="inlineStr" s="5">
        <is>
          <t/>
        </is>
      </c>
      <c r="D395" t="inlineStr" s="5">
        <is>
          <t/>
        </is>
      </c>
      <c r="E395" t="inlineStr" s="7">
        <is>
          <t/>
        </is>
      </c>
      <c r="F395" t="inlineStr" s="7">
        <is>
          <t/>
        </is>
      </c>
      <c r="G395" s="8">
        <f>IF(AND(E395="",F395=""),"",F395-E395)</f>
      </c>
      <c r="H395" t="inlineStr" s="5">
        <is>
          <t/>
        </is>
      </c>
      <c r="I395" t="inlineStr" s="5">
        <is>
          <t/>
        </is>
      </c>
    </row>
    <row r="396" ht="22" customHeight="1">
      <c r="A396" t="inlineStr" s="6">
        <is>
          <t/>
        </is>
      </c>
      <c r="B396" s="5">
        <f>IF(A396="","",TEXT(A396,"aaa"))</f>
      </c>
      <c r="C396" t="inlineStr" s="5">
        <is>
          <t/>
        </is>
      </c>
      <c r="D396" t="inlineStr" s="5">
        <is>
          <t/>
        </is>
      </c>
      <c r="E396" t="inlineStr" s="7">
        <is>
          <t/>
        </is>
      </c>
      <c r="F396" t="inlineStr" s="7">
        <is>
          <t/>
        </is>
      </c>
      <c r="G396" s="8">
        <f>IF(AND(E396="",F396=""),"",F396-E396)</f>
      </c>
      <c r="H396" t="inlineStr" s="5">
        <is>
          <t/>
        </is>
      </c>
      <c r="I396" t="inlineStr" s="5">
        <is>
          <t/>
        </is>
      </c>
    </row>
    <row r="397" ht="22" customHeight="1">
      <c r="A397" t="inlineStr" s="6">
        <is>
          <t/>
        </is>
      </c>
      <c r="B397" s="5">
        <f>IF(A397="","",TEXT(A397,"aaa"))</f>
      </c>
      <c r="C397" t="inlineStr" s="5">
        <is>
          <t/>
        </is>
      </c>
      <c r="D397" t="inlineStr" s="5">
        <is>
          <t/>
        </is>
      </c>
      <c r="E397" t="inlineStr" s="7">
        <is>
          <t/>
        </is>
      </c>
      <c r="F397" t="inlineStr" s="7">
        <is>
          <t/>
        </is>
      </c>
      <c r="G397" s="8">
        <f>IF(AND(E397="",F397=""),"",F397-E397)</f>
      </c>
      <c r="H397" t="inlineStr" s="5">
        <is>
          <t/>
        </is>
      </c>
      <c r="I397" t="inlineStr" s="5">
        <is>
          <t/>
        </is>
      </c>
    </row>
    <row r="398" ht="22" customHeight="1">
      <c r="A398" t="inlineStr" s="6">
        <is>
          <t/>
        </is>
      </c>
      <c r="B398" s="5">
        <f>IF(A398="","",TEXT(A398,"aaa"))</f>
      </c>
      <c r="C398" t="inlineStr" s="5">
        <is>
          <t/>
        </is>
      </c>
      <c r="D398" t="inlineStr" s="5">
        <is>
          <t/>
        </is>
      </c>
      <c r="E398" t="inlineStr" s="7">
        <is>
          <t/>
        </is>
      </c>
      <c r="F398" t="inlineStr" s="7">
        <is>
          <t/>
        </is>
      </c>
      <c r="G398" s="8">
        <f>IF(AND(E398="",F398=""),"",F398-E398)</f>
      </c>
      <c r="H398" t="inlineStr" s="5">
        <is>
          <t/>
        </is>
      </c>
      <c r="I398" t="inlineStr" s="5">
        <is>
          <t/>
        </is>
      </c>
    </row>
    <row r="399" ht="24" customHeight="1">
      <c r="A399" t="inlineStr" s="9">
        <is>
          <t>本周小计</t>
        </is>
      </c>
      <c r="B399" t="inlineStr" s="9">
        <is>
          <t/>
        </is>
      </c>
      <c r="C399" t="inlineStr" s="9">
        <is>
          <t/>
        </is>
      </c>
      <c r="D399" t="inlineStr" s="9">
        <is>
          <t/>
        </is>
      </c>
      <c r="E399" s="9">
        <f>SUM(E384:E398)</f>
      </c>
      <c r="F399" s="9">
        <f>SUM(F384:F398)</f>
      </c>
      <c r="G399" s="9">
        <f>SUM(G384:G398)</f>
      </c>
      <c r="H399" t="inlineStr" s="9">
        <is>
          <t/>
        </is>
      </c>
      <c r="I399" t="inlineStr" s="9">
        <is>
          <t/>
        </is>
      </c>
    </row>
    <row r="400" ht="18" customHeight="1">
      <c r="A400" t="inlineStr" s="10">
        <is>
          <t/>
        </is>
      </c>
      <c r="B400" t="inlineStr" s="10">
        <is>
          <t/>
        </is>
      </c>
      <c r="C400" t="inlineStr" s="10">
        <is>
          <t/>
        </is>
      </c>
      <c r="D400" t="inlineStr" s="10">
        <is>
          <t/>
        </is>
      </c>
      <c r="E400" t="inlineStr" s="10">
        <is>
          <t/>
        </is>
      </c>
      <c r="F400" t="inlineStr" s="10">
        <is>
          <t/>
        </is>
      </c>
      <c r="G400" t="inlineStr" s="10">
        <is>
          <t/>
        </is>
      </c>
      <c r="H400" t="inlineStr" s="10">
        <is>
          <t/>
        </is>
      </c>
      <c r="I400" t="inlineStr" s="10">
        <is>
          <t/>
        </is>
      </c>
    </row>
    <row r="401" ht="18" customHeight="1">
      <c r="A401" t="inlineStr" s="10">
        <is>
          <t/>
        </is>
      </c>
      <c r="B401" t="inlineStr" s="10">
        <is>
          <t/>
        </is>
      </c>
      <c r="C401" t="inlineStr" s="10">
        <is>
          <t/>
        </is>
      </c>
      <c r="D401" t="inlineStr" s="10">
        <is>
          <t/>
        </is>
      </c>
      <c r="E401" t="inlineStr" s="10">
        <is>
          <t/>
        </is>
      </c>
      <c r="F401" t="inlineStr" s="10">
        <is>
          <t/>
        </is>
      </c>
      <c r="G401" t="inlineStr" s="10">
        <is>
          <t/>
        </is>
      </c>
      <c r="H401" t="inlineStr" s="10">
        <is>
          <t/>
        </is>
      </c>
      <c r="I401" t="inlineStr" s="10">
        <is>
          <t/>
        </is>
      </c>
    </row>
    <row r="402" ht="28" customHeight="1">
      <c r="A402" t="inlineStr" s="3">
        <is>
          <t>2026年10月｜第三周（10月19日 - 10月25日）</t>
        </is>
      </c>
      <c r="B402" t="inlineStr" s="3">
        <is>
          <t/>
        </is>
      </c>
      <c r="C402" t="inlineStr" s="3">
        <is>
          <t/>
        </is>
      </c>
      <c r="D402" t="inlineStr" s="3">
        <is>
          <t/>
        </is>
      </c>
      <c r="E402" t="inlineStr" s="3">
        <is>
          <t/>
        </is>
      </c>
      <c r="F402" t="inlineStr" s="3">
        <is>
          <t/>
        </is>
      </c>
      <c r="G402" t="inlineStr" s="3">
        <is>
          <t/>
        </is>
      </c>
      <c r="H402" t="inlineStr" s="3">
        <is>
          <t/>
        </is>
      </c>
      <c r="I402" t="inlineStr" s="3">
        <is>
          <t/>
        </is>
      </c>
    </row>
    <row r="403" ht="23" customHeight="1">
      <c r="A403" t="inlineStr" s="4">
        <is>
          <t>日期</t>
        </is>
      </c>
      <c r="B403" t="inlineStr" s="4">
        <is>
          <t>星期</t>
        </is>
      </c>
      <c r="C403" t="inlineStr" s="4">
        <is>
          <t>分类</t>
        </is>
      </c>
      <c r="D403" t="inlineStr" s="4">
        <is>
          <t>事项</t>
        </is>
      </c>
      <c r="E403" t="inlineStr" s="4">
        <is>
          <t>支出金额</t>
        </is>
      </c>
      <c r="F403" t="inlineStr" s="4">
        <is>
          <t>收入金额</t>
        </is>
      </c>
      <c r="G403" t="inlineStr" s="4">
        <is>
          <t>当笔净额</t>
        </is>
      </c>
      <c r="H403" t="inlineStr" s="4">
        <is>
          <t>支付方式</t>
        </is>
      </c>
      <c r="I403" t="inlineStr" s="4">
        <is>
          <t>备注</t>
        </is>
      </c>
    </row>
    <row r="404" ht="22" customHeight="1">
      <c r="A404" t="inlineStr" s="6">
        <is>
          <t/>
        </is>
      </c>
      <c r="B404" s="5">
        <f>IF(A404="","",TEXT(A404,"aaa"))</f>
      </c>
      <c r="C404" t="inlineStr" s="5">
        <is>
          <t/>
        </is>
      </c>
      <c r="D404" t="inlineStr" s="5">
        <is>
          <t/>
        </is>
      </c>
      <c r="E404" t="inlineStr" s="7">
        <is>
          <t/>
        </is>
      </c>
      <c r="F404" t="inlineStr" s="7">
        <is>
          <t/>
        </is>
      </c>
      <c r="G404" s="8">
        <f>IF(AND(E404="",F404=""),"",F404-E404)</f>
      </c>
      <c r="H404" t="inlineStr" s="5">
        <is>
          <t/>
        </is>
      </c>
      <c r="I404" t="inlineStr" s="5">
        <is>
          <t/>
        </is>
      </c>
    </row>
    <row r="405" ht="22" customHeight="1">
      <c r="A405" t="inlineStr" s="6">
        <is>
          <t/>
        </is>
      </c>
      <c r="B405" s="5">
        <f>IF(A405="","",TEXT(A405,"aaa"))</f>
      </c>
      <c r="C405" t="inlineStr" s="5">
        <is>
          <t/>
        </is>
      </c>
      <c r="D405" t="inlineStr" s="5">
        <is>
          <t/>
        </is>
      </c>
      <c r="E405" t="inlineStr" s="7">
        <is>
          <t/>
        </is>
      </c>
      <c r="F405" t="inlineStr" s="7">
        <is>
          <t/>
        </is>
      </c>
      <c r="G405" s="8">
        <f>IF(AND(E405="",F405=""),"",F405-E405)</f>
      </c>
      <c r="H405" t="inlineStr" s="5">
        <is>
          <t/>
        </is>
      </c>
      <c r="I405" t="inlineStr" s="5">
        <is>
          <t/>
        </is>
      </c>
    </row>
    <row r="406" ht="22" customHeight="1">
      <c r="A406" t="inlineStr" s="6">
        <is>
          <t/>
        </is>
      </c>
      <c r="B406" s="5">
        <f>IF(A406="","",TEXT(A406,"aaa"))</f>
      </c>
      <c r="C406" t="inlineStr" s="5">
        <is>
          <t/>
        </is>
      </c>
      <c r="D406" t="inlineStr" s="5">
        <is>
          <t/>
        </is>
      </c>
      <c r="E406" t="inlineStr" s="7">
        <is>
          <t/>
        </is>
      </c>
      <c r="F406" t="inlineStr" s="7">
        <is>
          <t/>
        </is>
      </c>
      <c r="G406" s="8">
        <f>IF(AND(E406="",F406=""),"",F406-E406)</f>
      </c>
      <c r="H406" t="inlineStr" s="5">
        <is>
          <t/>
        </is>
      </c>
      <c r="I406" t="inlineStr" s="5">
        <is>
          <t/>
        </is>
      </c>
    </row>
    <row r="407" ht="22" customHeight="1">
      <c r="A407" t="inlineStr" s="6">
        <is>
          <t/>
        </is>
      </c>
      <c r="B407" s="5">
        <f>IF(A407="","",TEXT(A407,"aaa"))</f>
      </c>
      <c r="C407" t="inlineStr" s="5">
        <is>
          <t/>
        </is>
      </c>
      <c r="D407" t="inlineStr" s="5">
        <is>
          <t/>
        </is>
      </c>
      <c r="E407" t="inlineStr" s="7">
        <is>
          <t/>
        </is>
      </c>
      <c r="F407" t="inlineStr" s="7">
        <is>
          <t/>
        </is>
      </c>
      <c r="G407" s="8">
        <f>IF(AND(E407="",F407=""),"",F407-E407)</f>
      </c>
      <c r="H407" t="inlineStr" s="5">
        <is>
          <t/>
        </is>
      </c>
      <c r="I407" t="inlineStr" s="5">
        <is>
          <t/>
        </is>
      </c>
    </row>
    <row r="408" ht="22" customHeight="1">
      <c r="A408" t="inlineStr" s="6">
        <is>
          <t/>
        </is>
      </c>
      <c r="B408" s="5">
        <f>IF(A408="","",TEXT(A408,"aaa"))</f>
      </c>
      <c r="C408" t="inlineStr" s="5">
        <is>
          <t/>
        </is>
      </c>
      <c r="D408" t="inlineStr" s="5">
        <is>
          <t/>
        </is>
      </c>
      <c r="E408" t="inlineStr" s="7">
        <is>
          <t/>
        </is>
      </c>
      <c r="F408" t="inlineStr" s="7">
        <is>
          <t/>
        </is>
      </c>
      <c r="G408" s="8">
        <f>IF(AND(E408="",F408=""),"",F408-E408)</f>
      </c>
      <c r="H408" t="inlineStr" s="5">
        <is>
          <t/>
        </is>
      </c>
      <c r="I408" t="inlineStr" s="5">
        <is>
          <t/>
        </is>
      </c>
    </row>
    <row r="409" ht="22" customHeight="1">
      <c r="A409" t="inlineStr" s="6">
        <is>
          <t/>
        </is>
      </c>
      <c r="B409" s="5">
        <f>IF(A409="","",TEXT(A409,"aaa"))</f>
      </c>
      <c r="C409" t="inlineStr" s="5">
        <is>
          <t/>
        </is>
      </c>
      <c r="D409" t="inlineStr" s="5">
        <is>
          <t/>
        </is>
      </c>
      <c r="E409" t="inlineStr" s="7">
        <is>
          <t/>
        </is>
      </c>
      <c r="F409" t="inlineStr" s="7">
        <is>
          <t/>
        </is>
      </c>
      <c r="G409" s="8">
        <f>IF(AND(E409="",F409=""),"",F409-E409)</f>
      </c>
      <c r="H409" t="inlineStr" s="5">
        <is>
          <t/>
        </is>
      </c>
      <c r="I409" t="inlineStr" s="5">
        <is>
          <t/>
        </is>
      </c>
    </row>
    <row r="410" ht="22" customHeight="1">
      <c r="A410" t="inlineStr" s="6">
        <is>
          <t/>
        </is>
      </c>
      <c r="B410" s="5">
        <f>IF(A410="","",TEXT(A410,"aaa"))</f>
      </c>
      <c r="C410" t="inlineStr" s="5">
        <is>
          <t/>
        </is>
      </c>
      <c r="D410" t="inlineStr" s="5">
        <is>
          <t/>
        </is>
      </c>
      <c r="E410" t="inlineStr" s="7">
        <is>
          <t/>
        </is>
      </c>
      <c r="F410" t="inlineStr" s="7">
        <is>
          <t/>
        </is>
      </c>
      <c r="G410" s="8">
        <f>IF(AND(E410="",F410=""),"",F410-E410)</f>
      </c>
      <c r="H410" t="inlineStr" s="5">
        <is>
          <t/>
        </is>
      </c>
      <c r="I410" t="inlineStr" s="5">
        <is>
          <t/>
        </is>
      </c>
    </row>
    <row r="411" ht="22" customHeight="1">
      <c r="A411" t="inlineStr" s="6">
        <is>
          <t/>
        </is>
      </c>
      <c r="B411" s="5">
        <f>IF(A411="","",TEXT(A411,"aaa"))</f>
      </c>
      <c r="C411" t="inlineStr" s="5">
        <is>
          <t/>
        </is>
      </c>
      <c r="D411" t="inlineStr" s="5">
        <is>
          <t/>
        </is>
      </c>
      <c r="E411" t="inlineStr" s="7">
        <is>
          <t/>
        </is>
      </c>
      <c r="F411" t="inlineStr" s="7">
        <is>
          <t/>
        </is>
      </c>
      <c r="G411" s="8">
        <f>IF(AND(E411="",F411=""),"",F411-E411)</f>
      </c>
      <c r="H411" t="inlineStr" s="5">
        <is>
          <t/>
        </is>
      </c>
      <c r="I411" t="inlineStr" s="5">
        <is>
          <t/>
        </is>
      </c>
    </row>
    <row r="412" ht="22" customHeight="1">
      <c r="A412" t="inlineStr" s="6">
        <is>
          <t/>
        </is>
      </c>
      <c r="B412" s="5">
        <f>IF(A412="","",TEXT(A412,"aaa"))</f>
      </c>
      <c r="C412" t="inlineStr" s="5">
        <is>
          <t/>
        </is>
      </c>
      <c r="D412" t="inlineStr" s="5">
        <is>
          <t/>
        </is>
      </c>
      <c r="E412" t="inlineStr" s="7">
        <is>
          <t/>
        </is>
      </c>
      <c r="F412" t="inlineStr" s="7">
        <is>
          <t/>
        </is>
      </c>
      <c r="G412" s="8">
        <f>IF(AND(E412="",F412=""),"",F412-E412)</f>
      </c>
      <c r="H412" t="inlineStr" s="5">
        <is>
          <t/>
        </is>
      </c>
      <c r="I412" t="inlineStr" s="5">
        <is>
          <t/>
        </is>
      </c>
    </row>
    <row r="413" ht="22" customHeight="1">
      <c r="A413" t="inlineStr" s="6">
        <is>
          <t/>
        </is>
      </c>
      <c r="B413" s="5">
        <f>IF(A413="","",TEXT(A413,"aaa"))</f>
      </c>
      <c r="C413" t="inlineStr" s="5">
        <is>
          <t/>
        </is>
      </c>
      <c r="D413" t="inlineStr" s="5">
        <is>
          <t/>
        </is>
      </c>
      <c r="E413" t="inlineStr" s="7">
        <is>
          <t/>
        </is>
      </c>
      <c r="F413" t="inlineStr" s="7">
        <is>
          <t/>
        </is>
      </c>
      <c r="G413" s="8">
        <f>IF(AND(E413="",F413=""),"",F413-E413)</f>
      </c>
      <c r="H413" t="inlineStr" s="5">
        <is>
          <t/>
        </is>
      </c>
      <c r="I413" t="inlineStr" s="5">
        <is>
          <t/>
        </is>
      </c>
    </row>
    <row r="414" ht="22" customHeight="1">
      <c r="A414" t="inlineStr" s="6">
        <is>
          <t/>
        </is>
      </c>
      <c r="B414" s="5">
        <f>IF(A414="","",TEXT(A414,"aaa"))</f>
      </c>
      <c r="C414" t="inlineStr" s="5">
        <is>
          <t/>
        </is>
      </c>
      <c r="D414" t="inlineStr" s="5">
        <is>
          <t/>
        </is>
      </c>
      <c r="E414" t="inlineStr" s="7">
        <is>
          <t/>
        </is>
      </c>
      <c r="F414" t="inlineStr" s="7">
        <is>
          <t/>
        </is>
      </c>
      <c r="G414" s="8">
        <f>IF(AND(E414="",F414=""),"",F414-E414)</f>
      </c>
      <c r="H414" t="inlineStr" s="5">
        <is>
          <t/>
        </is>
      </c>
      <c r="I414" t="inlineStr" s="5">
        <is>
          <t/>
        </is>
      </c>
    </row>
    <row r="415" ht="22" customHeight="1">
      <c r="A415" t="inlineStr" s="6">
        <is>
          <t/>
        </is>
      </c>
      <c r="B415" s="5">
        <f>IF(A415="","",TEXT(A415,"aaa"))</f>
      </c>
      <c r="C415" t="inlineStr" s="5">
        <is>
          <t/>
        </is>
      </c>
      <c r="D415" t="inlineStr" s="5">
        <is>
          <t/>
        </is>
      </c>
      <c r="E415" t="inlineStr" s="7">
        <is>
          <t/>
        </is>
      </c>
      <c r="F415" t="inlineStr" s="7">
        <is>
          <t/>
        </is>
      </c>
      <c r="G415" s="8">
        <f>IF(AND(E415="",F415=""),"",F415-E415)</f>
      </c>
      <c r="H415" t="inlineStr" s="5">
        <is>
          <t/>
        </is>
      </c>
      <c r="I415" t="inlineStr" s="5">
        <is>
          <t/>
        </is>
      </c>
    </row>
    <row r="416" ht="22" customHeight="1">
      <c r="A416" t="inlineStr" s="6">
        <is>
          <t/>
        </is>
      </c>
      <c r="B416" s="5">
        <f>IF(A416="","",TEXT(A416,"aaa"))</f>
      </c>
      <c r="C416" t="inlineStr" s="5">
        <is>
          <t/>
        </is>
      </c>
      <c r="D416" t="inlineStr" s="5">
        <is>
          <t/>
        </is>
      </c>
      <c r="E416" t="inlineStr" s="7">
        <is>
          <t/>
        </is>
      </c>
      <c r="F416" t="inlineStr" s="7">
        <is>
          <t/>
        </is>
      </c>
      <c r="G416" s="8">
        <f>IF(AND(E416="",F416=""),"",F416-E416)</f>
      </c>
      <c r="H416" t="inlineStr" s="5">
        <is>
          <t/>
        </is>
      </c>
      <c r="I416" t="inlineStr" s="5">
        <is>
          <t/>
        </is>
      </c>
    </row>
    <row r="417" ht="22" customHeight="1">
      <c r="A417" t="inlineStr" s="6">
        <is>
          <t/>
        </is>
      </c>
      <c r="B417" s="5">
        <f>IF(A417="","",TEXT(A417,"aaa"))</f>
      </c>
      <c r="C417" t="inlineStr" s="5">
        <is>
          <t/>
        </is>
      </c>
      <c r="D417" t="inlineStr" s="5">
        <is>
          <t/>
        </is>
      </c>
      <c r="E417" t="inlineStr" s="7">
        <is>
          <t/>
        </is>
      </c>
      <c r="F417" t="inlineStr" s="7">
        <is>
          <t/>
        </is>
      </c>
      <c r="G417" s="8">
        <f>IF(AND(E417="",F417=""),"",F417-E417)</f>
      </c>
      <c r="H417" t="inlineStr" s="5">
        <is>
          <t/>
        </is>
      </c>
      <c r="I417" t="inlineStr" s="5">
        <is>
          <t/>
        </is>
      </c>
    </row>
    <row r="418" ht="22" customHeight="1">
      <c r="A418" t="inlineStr" s="6">
        <is>
          <t/>
        </is>
      </c>
      <c r="B418" s="5">
        <f>IF(A418="","",TEXT(A418,"aaa"))</f>
      </c>
      <c r="C418" t="inlineStr" s="5">
        <is>
          <t/>
        </is>
      </c>
      <c r="D418" t="inlineStr" s="5">
        <is>
          <t/>
        </is>
      </c>
      <c r="E418" t="inlineStr" s="7">
        <is>
          <t/>
        </is>
      </c>
      <c r="F418" t="inlineStr" s="7">
        <is>
          <t/>
        </is>
      </c>
      <c r="G418" s="8">
        <f>IF(AND(E418="",F418=""),"",F418-E418)</f>
      </c>
      <c r="H418" t="inlineStr" s="5">
        <is>
          <t/>
        </is>
      </c>
      <c r="I418" t="inlineStr" s="5">
        <is>
          <t/>
        </is>
      </c>
    </row>
    <row r="419" ht="24" customHeight="1">
      <c r="A419" t="inlineStr" s="9">
        <is>
          <t>本周小计</t>
        </is>
      </c>
      <c r="B419" t="inlineStr" s="9">
        <is>
          <t/>
        </is>
      </c>
      <c r="C419" t="inlineStr" s="9">
        <is>
          <t/>
        </is>
      </c>
      <c r="D419" t="inlineStr" s="9">
        <is>
          <t/>
        </is>
      </c>
      <c r="E419" s="9">
        <f>SUM(E404:E418)</f>
      </c>
      <c r="F419" s="9">
        <f>SUM(F404:F418)</f>
      </c>
      <c r="G419" s="9">
        <f>SUM(G404:G418)</f>
      </c>
      <c r="H419" t="inlineStr" s="9">
        <is>
          <t/>
        </is>
      </c>
      <c r="I419" t="inlineStr" s="9">
        <is>
          <t/>
        </is>
      </c>
    </row>
    <row r="420" ht="18" customHeight="1">
      <c r="A420" t="inlineStr" s="10">
        <is>
          <t/>
        </is>
      </c>
      <c r="B420" t="inlineStr" s="10">
        <is>
          <t/>
        </is>
      </c>
      <c r="C420" t="inlineStr" s="10">
        <is>
          <t/>
        </is>
      </c>
      <c r="D420" t="inlineStr" s="10">
        <is>
          <t/>
        </is>
      </c>
      <c r="E420" t="inlineStr" s="10">
        <is>
          <t/>
        </is>
      </c>
      <c r="F420" t="inlineStr" s="10">
        <is>
          <t/>
        </is>
      </c>
      <c r="G420" t="inlineStr" s="10">
        <is>
          <t/>
        </is>
      </c>
      <c r="H420" t="inlineStr" s="10">
        <is>
          <t/>
        </is>
      </c>
      <c r="I420" t="inlineStr" s="10">
        <is>
          <t/>
        </is>
      </c>
    </row>
    <row r="421" ht="18" customHeight="1">
      <c r="A421" t="inlineStr" s="10">
        <is>
          <t/>
        </is>
      </c>
      <c r="B421" t="inlineStr" s="10">
        <is>
          <t/>
        </is>
      </c>
      <c r="C421" t="inlineStr" s="10">
        <is>
          <t/>
        </is>
      </c>
      <c r="D421" t="inlineStr" s="10">
        <is>
          <t/>
        </is>
      </c>
      <c r="E421" t="inlineStr" s="10">
        <is>
          <t/>
        </is>
      </c>
      <c r="F421" t="inlineStr" s="10">
        <is>
          <t/>
        </is>
      </c>
      <c r="G421" t="inlineStr" s="10">
        <is>
          <t/>
        </is>
      </c>
      <c r="H421" t="inlineStr" s="10">
        <is>
          <t/>
        </is>
      </c>
      <c r="I421" t="inlineStr" s="10">
        <is>
          <t/>
        </is>
      </c>
    </row>
    <row r="422" ht="28" customHeight="1">
      <c r="A422" t="inlineStr" s="3">
        <is>
          <t>2026年10月-11月｜第四周（10月26日 - 11月1日）</t>
        </is>
      </c>
      <c r="B422" t="inlineStr" s="3">
        <is>
          <t/>
        </is>
      </c>
      <c r="C422" t="inlineStr" s="3">
        <is>
          <t/>
        </is>
      </c>
      <c r="D422" t="inlineStr" s="3">
        <is>
          <t/>
        </is>
      </c>
      <c r="E422" t="inlineStr" s="3">
        <is>
          <t/>
        </is>
      </c>
      <c r="F422" t="inlineStr" s="3">
        <is>
          <t/>
        </is>
      </c>
      <c r="G422" t="inlineStr" s="3">
        <is>
          <t/>
        </is>
      </c>
      <c r="H422" t="inlineStr" s="3">
        <is>
          <t/>
        </is>
      </c>
      <c r="I422" t="inlineStr" s="3">
        <is>
          <t/>
        </is>
      </c>
    </row>
    <row r="423" ht="23" customHeight="1">
      <c r="A423" t="inlineStr" s="4">
        <is>
          <t>日期</t>
        </is>
      </c>
      <c r="B423" t="inlineStr" s="4">
        <is>
          <t>星期</t>
        </is>
      </c>
      <c r="C423" t="inlineStr" s="4">
        <is>
          <t>分类</t>
        </is>
      </c>
      <c r="D423" t="inlineStr" s="4">
        <is>
          <t>事项</t>
        </is>
      </c>
      <c r="E423" t="inlineStr" s="4">
        <is>
          <t>支出金额</t>
        </is>
      </c>
      <c r="F423" t="inlineStr" s="4">
        <is>
          <t>收入金额</t>
        </is>
      </c>
      <c r="G423" t="inlineStr" s="4">
        <is>
          <t>当笔净额</t>
        </is>
      </c>
      <c r="H423" t="inlineStr" s="4">
        <is>
          <t>支付方式</t>
        </is>
      </c>
      <c r="I423" t="inlineStr" s="4">
        <is>
          <t>备注</t>
        </is>
      </c>
    </row>
    <row r="424" ht="22" customHeight="1">
      <c r="A424" t="inlineStr" s="6">
        <is>
          <t/>
        </is>
      </c>
      <c r="B424" s="5">
        <f>IF(A424="","",TEXT(A424,"aaa"))</f>
      </c>
      <c r="C424" t="inlineStr" s="5">
        <is>
          <t/>
        </is>
      </c>
      <c r="D424" t="inlineStr" s="5">
        <is>
          <t/>
        </is>
      </c>
      <c r="E424" t="inlineStr" s="7">
        <is>
          <t/>
        </is>
      </c>
      <c r="F424" t="inlineStr" s="7">
        <is>
          <t/>
        </is>
      </c>
      <c r="G424" s="8">
        <f>IF(AND(E424="",F424=""),"",F424-E424)</f>
      </c>
      <c r="H424" t="inlineStr" s="5">
        <is>
          <t/>
        </is>
      </c>
      <c r="I424" t="inlineStr" s="5">
        <is>
          <t/>
        </is>
      </c>
    </row>
    <row r="425" ht="22" customHeight="1">
      <c r="A425" t="inlineStr" s="6">
        <is>
          <t/>
        </is>
      </c>
      <c r="B425" s="5">
        <f>IF(A425="","",TEXT(A425,"aaa"))</f>
      </c>
      <c r="C425" t="inlineStr" s="5">
        <is>
          <t/>
        </is>
      </c>
      <c r="D425" t="inlineStr" s="5">
        <is>
          <t/>
        </is>
      </c>
      <c r="E425" t="inlineStr" s="7">
        <is>
          <t/>
        </is>
      </c>
      <c r="F425" t="inlineStr" s="7">
        <is>
          <t/>
        </is>
      </c>
      <c r="G425" s="8">
        <f>IF(AND(E425="",F425=""),"",F425-E425)</f>
      </c>
      <c r="H425" t="inlineStr" s="5">
        <is>
          <t/>
        </is>
      </c>
      <c r="I425" t="inlineStr" s="5">
        <is>
          <t/>
        </is>
      </c>
    </row>
    <row r="426" ht="22" customHeight="1">
      <c r="A426" t="inlineStr" s="6">
        <is>
          <t/>
        </is>
      </c>
      <c r="B426" s="5">
        <f>IF(A426="","",TEXT(A426,"aaa"))</f>
      </c>
      <c r="C426" t="inlineStr" s="5">
        <is>
          <t/>
        </is>
      </c>
      <c r="D426" t="inlineStr" s="5">
        <is>
          <t/>
        </is>
      </c>
      <c r="E426" t="inlineStr" s="7">
        <is>
          <t/>
        </is>
      </c>
      <c r="F426" t="inlineStr" s="7">
        <is>
          <t/>
        </is>
      </c>
      <c r="G426" s="8">
        <f>IF(AND(E426="",F426=""),"",F426-E426)</f>
      </c>
      <c r="H426" t="inlineStr" s="5">
        <is>
          <t/>
        </is>
      </c>
      <c r="I426" t="inlineStr" s="5">
        <is>
          <t/>
        </is>
      </c>
    </row>
    <row r="427" ht="22" customHeight="1">
      <c r="A427" t="inlineStr" s="6">
        <is>
          <t/>
        </is>
      </c>
      <c r="B427" s="5">
        <f>IF(A427="","",TEXT(A427,"aaa"))</f>
      </c>
      <c r="C427" t="inlineStr" s="5">
        <is>
          <t/>
        </is>
      </c>
      <c r="D427" t="inlineStr" s="5">
        <is>
          <t/>
        </is>
      </c>
      <c r="E427" t="inlineStr" s="7">
        <is>
          <t/>
        </is>
      </c>
      <c r="F427" t="inlineStr" s="7">
        <is>
          <t/>
        </is>
      </c>
      <c r="G427" s="8">
        <f>IF(AND(E427="",F427=""),"",F427-E427)</f>
      </c>
      <c r="H427" t="inlineStr" s="5">
        <is>
          <t/>
        </is>
      </c>
      <c r="I427" t="inlineStr" s="5">
        <is>
          <t/>
        </is>
      </c>
    </row>
    <row r="428" ht="22" customHeight="1">
      <c r="A428" t="inlineStr" s="6">
        <is>
          <t/>
        </is>
      </c>
      <c r="B428" s="5">
        <f>IF(A428="","",TEXT(A428,"aaa"))</f>
      </c>
      <c r="C428" t="inlineStr" s="5">
        <is>
          <t/>
        </is>
      </c>
      <c r="D428" t="inlineStr" s="5">
        <is>
          <t/>
        </is>
      </c>
      <c r="E428" t="inlineStr" s="7">
        <is>
          <t/>
        </is>
      </c>
      <c r="F428" t="inlineStr" s="7">
        <is>
          <t/>
        </is>
      </c>
      <c r="G428" s="8">
        <f>IF(AND(E428="",F428=""),"",F428-E428)</f>
      </c>
      <c r="H428" t="inlineStr" s="5">
        <is>
          <t/>
        </is>
      </c>
      <c r="I428" t="inlineStr" s="5">
        <is>
          <t/>
        </is>
      </c>
    </row>
    <row r="429" ht="22" customHeight="1">
      <c r="A429" t="inlineStr" s="6">
        <is>
          <t/>
        </is>
      </c>
      <c r="B429" s="5">
        <f>IF(A429="","",TEXT(A429,"aaa"))</f>
      </c>
      <c r="C429" t="inlineStr" s="5">
        <is>
          <t/>
        </is>
      </c>
      <c r="D429" t="inlineStr" s="5">
        <is>
          <t/>
        </is>
      </c>
      <c r="E429" t="inlineStr" s="7">
        <is>
          <t/>
        </is>
      </c>
      <c r="F429" t="inlineStr" s="7">
        <is>
          <t/>
        </is>
      </c>
      <c r="G429" s="8">
        <f>IF(AND(E429="",F429=""),"",F429-E429)</f>
      </c>
      <c r="H429" t="inlineStr" s="5">
        <is>
          <t/>
        </is>
      </c>
      <c r="I429" t="inlineStr" s="5">
        <is>
          <t/>
        </is>
      </c>
    </row>
    <row r="430" ht="22" customHeight="1">
      <c r="A430" t="inlineStr" s="6">
        <is>
          <t/>
        </is>
      </c>
      <c r="B430" s="5">
        <f>IF(A430="","",TEXT(A430,"aaa"))</f>
      </c>
      <c r="C430" t="inlineStr" s="5">
        <is>
          <t/>
        </is>
      </c>
      <c r="D430" t="inlineStr" s="5">
        <is>
          <t/>
        </is>
      </c>
      <c r="E430" t="inlineStr" s="7">
        <is>
          <t/>
        </is>
      </c>
      <c r="F430" t="inlineStr" s="7">
        <is>
          <t/>
        </is>
      </c>
      <c r="G430" s="8">
        <f>IF(AND(E430="",F430=""),"",F430-E430)</f>
      </c>
      <c r="H430" t="inlineStr" s="5">
        <is>
          <t/>
        </is>
      </c>
      <c r="I430" t="inlineStr" s="5">
        <is>
          <t/>
        </is>
      </c>
    </row>
    <row r="431" ht="22" customHeight="1">
      <c r="A431" t="inlineStr" s="6">
        <is>
          <t/>
        </is>
      </c>
      <c r="B431" s="5">
        <f>IF(A431="","",TEXT(A431,"aaa"))</f>
      </c>
      <c r="C431" t="inlineStr" s="5">
        <is>
          <t/>
        </is>
      </c>
      <c r="D431" t="inlineStr" s="5">
        <is>
          <t/>
        </is>
      </c>
      <c r="E431" t="inlineStr" s="7">
        <is>
          <t/>
        </is>
      </c>
      <c r="F431" t="inlineStr" s="7">
        <is>
          <t/>
        </is>
      </c>
      <c r="G431" s="8">
        <f>IF(AND(E431="",F431=""),"",F431-E431)</f>
      </c>
      <c r="H431" t="inlineStr" s="5">
        <is>
          <t/>
        </is>
      </c>
      <c r="I431" t="inlineStr" s="5">
        <is>
          <t/>
        </is>
      </c>
    </row>
    <row r="432" ht="22" customHeight="1">
      <c r="A432" t="inlineStr" s="6">
        <is>
          <t/>
        </is>
      </c>
      <c r="B432" s="5">
        <f>IF(A432="","",TEXT(A432,"aaa"))</f>
      </c>
      <c r="C432" t="inlineStr" s="5">
        <is>
          <t/>
        </is>
      </c>
      <c r="D432" t="inlineStr" s="5">
        <is>
          <t/>
        </is>
      </c>
      <c r="E432" t="inlineStr" s="7">
        <is>
          <t/>
        </is>
      </c>
      <c r="F432" t="inlineStr" s="7">
        <is>
          <t/>
        </is>
      </c>
      <c r="G432" s="8">
        <f>IF(AND(E432="",F432=""),"",F432-E432)</f>
      </c>
      <c r="H432" t="inlineStr" s="5">
        <is>
          <t/>
        </is>
      </c>
      <c r="I432" t="inlineStr" s="5">
        <is>
          <t/>
        </is>
      </c>
    </row>
    <row r="433" ht="22" customHeight="1">
      <c r="A433" t="inlineStr" s="6">
        <is>
          <t/>
        </is>
      </c>
      <c r="B433" s="5">
        <f>IF(A433="","",TEXT(A433,"aaa"))</f>
      </c>
      <c r="C433" t="inlineStr" s="5">
        <is>
          <t/>
        </is>
      </c>
      <c r="D433" t="inlineStr" s="5">
        <is>
          <t/>
        </is>
      </c>
      <c r="E433" t="inlineStr" s="7">
        <is>
          <t/>
        </is>
      </c>
      <c r="F433" t="inlineStr" s="7">
        <is>
          <t/>
        </is>
      </c>
      <c r="G433" s="8">
        <f>IF(AND(E433="",F433=""),"",F433-E433)</f>
      </c>
      <c r="H433" t="inlineStr" s="5">
        <is>
          <t/>
        </is>
      </c>
      <c r="I433" t="inlineStr" s="5">
        <is>
          <t/>
        </is>
      </c>
    </row>
    <row r="434" ht="22" customHeight="1">
      <c r="A434" t="inlineStr" s="6">
        <is>
          <t/>
        </is>
      </c>
      <c r="B434" s="5">
        <f>IF(A434="","",TEXT(A434,"aaa"))</f>
      </c>
      <c r="C434" t="inlineStr" s="5">
        <is>
          <t/>
        </is>
      </c>
      <c r="D434" t="inlineStr" s="5">
        <is>
          <t/>
        </is>
      </c>
      <c r="E434" t="inlineStr" s="7">
        <is>
          <t/>
        </is>
      </c>
      <c r="F434" t="inlineStr" s="7">
        <is>
          <t/>
        </is>
      </c>
      <c r="G434" s="8">
        <f>IF(AND(E434="",F434=""),"",F434-E434)</f>
      </c>
      <c r="H434" t="inlineStr" s="5">
        <is>
          <t/>
        </is>
      </c>
      <c r="I434" t="inlineStr" s="5">
        <is>
          <t/>
        </is>
      </c>
    </row>
    <row r="435" ht="22" customHeight="1">
      <c r="A435" t="inlineStr" s="6">
        <is>
          <t/>
        </is>
      </c>
      <c r="B435" s="5">
        <f>IF(A435="","",TEXT(A435,"aaa"))</f>
      </c>
      <c r="C435" t="inlineStr" s="5">
        <is>
          <t/>
        </is>
      </c>
      <c r="D435" t="inlineStr" s="5">
        <is>
          <t/>
        </is>
      </c>
      <c r="E435" t="inlineStr" s="7">
        <is>
          <t/>
        </is>
      </c>
      <c r="F435" t="inlineStr" s="7">
        <is>
          <t/>
        </is>
      </c>
      <c r="G435" s="8">
        <f>IF(AND(E435="",F435=""),"",F435-E435)</f>
      </c>
      <c r="H435" t="inlineStr" s="5">
        <is>
          <t/>
        </is>
      </c>
      <c r="I435" t="inlineStr" s="5">
        <is>
          <t/>
        </is>
      </c>
    </row>
    <row r="436" ht="22" customHeight="1">
      <c r="A436" t="inlineStr" s="6">
        <is>
          <t/>
        </is>
      </c>
      <c r="B436" s="5">
        <f>IF(A436="","",TEXT(A436,"aaa"))</f>
      </c>
      <c r="C436" t="inlineStr" s="5">
        <is>
          <t/>
        </is>
      </c>
      <c r="D436" t="inlineStr" s="5">
        <is>
          <t/>
        </is>
      </c>
      <c r="E436" t="inlineStr" s="7">
        <is>
          <t/>
        </is>
      </c>
      <c r="F436" t="inlineStr" s="7">
        <is>
          <t/>
        </is>
      </c>
      <c r="G436" s="8">
        <f>IF(AND(E436="",F436=""),"",F436-E436)</f>
      </c>
      <c r="H436" t="inlineStr" s="5">
        <is>
          <t/>
        </is>
      </c>
      <c r="I436" t="inlineStr" s="5">
        <is>
          <t/>
        </is>
      </c>
    </row>
    <row r="437" ht="22" customHeight="1">
      <c r="A437" t="inlineStr" s="6">
        <is>
          <t/>
        </is>
      </c>
      <c r="B437" s="5">
        <f>IF(A437="","",TEXT(A437,"aaa"))</f>
      </c>
      <c r="C437" t="inlineStr" s="5">
        <is>
          <t/>
        </is>
      </c>
      <c r="D437" t="inlineStr" s="5">
        <is>
          <t/>
        </is>
      </c>
      <c r="E437" t="inlineStr" s="7">
        <is>
          <t/>
        </is>
      </c>
      <c r="F437" t="inlineStr" s="7">
        <is>
          <t/>
        </is>
      </c>
      <c r="G437" s="8">
        <f>IF(AND(E437="",F437=""),"",F437-E437)</f>
      </c>
      <c r="H437" t="inlineStr" s="5">
        <is>
          <t/>
        </is>
      </c>
      <c r="I437" t="inlineStr" s="5">
        <is>
          <t/>
        </is>
      </c>
    </row>
    <row r="438" ht="22" customHeight="1">
      <c r="A438" t="inlineStr" s="6">
        <is>
          <t/>
        </is>
      </c>
      <c r="B438" s="5">
        <f>IF(A438="","",TEXT(A438,"aaa"))</f>
      </c>
      <c r="C438" t="inlineStr" s="5">
        <is>
          <t/>
        </is>
      </c>
      <c r="D438" t="inlineStr" s="5">
        <is>
          <t/>
        </is>
      </c>
      <c r="E438" t="inlineStr" s="7">
        <is>
          <t/>
        </is>
      </c>
      <c r="F438" t="inlineStr" s="7">
        <is>
          <t/>
        </is>
      </c>
      <c r="G438" s="8">
        <f>IF(AND(E438="",F438=""),"",F438-E438)</f>
      </c>
      <c r="H438" t="inlineStr" s="5">
        <is>
          <t/>
        </is>
      </c>
      <c r="I438" t="inlineStr" s="5">
        <is>
          <t/>
        </is>
      </c>
    </row>
    <row r="439" ht="24" customHeight="1">
      <c r="A439" t="inlineStr" s="9">
        <is>
          <t>本周小计</t>
        </is>
      </c>
      <c r="B439" t="inlineStr" s="9">
        <is>
          <t/>
        </is>
      </c>
      <c r="C439" t="inlineStr" s="9">
        <is>
          <t/>
        </is>
      </c>
      <c r="D439" t="inlineStr" s="9">
        <is>
          <t/>
        </is>
      </c>
      <c r="E439" s="9">
        <f>SUM(E424:E438)</f>
      </c>
      <c r="F439" s="9">
        <f>SUM(F424:F438)</f>
      </c>
      <c r="G439" s="9">
        <f>SUM(G424:G438)</f>
      </c>
      <c r="H439" t="inlineStr" s="9">
        <is>
          <t/>
        </is>
      </c>
      <c r="I439" t="inlineStr" s="9">
        <is>
          <t/>
        </is>
      </c>
    </row>
    <row r="440" ht="18" customHeight="1">
      <c r="A440" t="inlineStr" s="10">
        <is>
          <t/>
        </is>
      </c>
      <c r="B440" t="inlineStr" s="10">
        <is>
          <t/>
        </is>
      </c>
      <c r="C440" t="inlineStr" s="10">
        <is>
          <t/>
        </is>
      </c>
      <c r="D440" t="inlineStr" s="10">
        <is>
          <t/>
        </is>
      </c>
      <c r="E440" t="inlineStr" s="10">
        <is>
          <t/>
        </is>
      </c>
      <c r="F440" t="inlineStr" s="10">
        <is>
          <t/>
        </is>
      </c>
      <c r="G440" t="inlineStr" s="10">
        <is>
          <t/>
        </is>
      </c>
      <c r="H440" t="inlineStr" s="10">
        <is>
          <t/>
        </is>
      </c>
      <c r="I440" t="inlineStr" s="10">
        <is>
          <t/>
        </is>
      </c>
    </row>
    <row r="441" ht="18" customHeight="1">
      <c r="A441" t="inlineStr" s="10">
        <is>
          <t/>
        </is>
      </c>
      <c r="B441" t="inlineStr" s="10">
        <is>
          <t/>
        </is>
      </c>
      <c r="C441" t="inlineStr" s="10">
        <is>
          <t/>
        </is>
      </c>
      <c r="D441" t="inlineStr" s="10">
        <is>
          <t/>
        </is>
      </c>
      <c r="E441" t="inlineStr" s="10">
        <is>
          <t/>
        </is>
      </c>
      <c r="F441" t="inlineStr" s="10">
        <is>
          <t/>
        </is>
      </c>
      <c r="G441" t="inlineStr" s="10">
        <is>
          <t/>
        </is>
      </c>
      <c r="H441" t="inlineStr" s="10">
        <is>
          <t/>
        </is>
      </c>
      <c r="I441" t="inlineStr" s="10">
        <is>
          <t/>
        </is>
      </c>
    </row>
    <row r="442" ht="28" customHeight="1">
      <c r="A442" t="inlineStr" s="3">
        <is>
          <t>2026年11月｜第一周（11月2日 - 11月8日）</t>
        </is>
      </c>
      <c r="B442" t="inlineStr" s="3">
        <is>
          <t/>
        </is>
      </c>
      <c r="C442" t="inlineStr" s="3">
        <is>
          <t/>
        </is>
      </c>
      <c r="D442" t="inlineStr" s="3">
        <is>
          <t/>
        </is>
      </c>
      <c r="E442" t="inlineStr" s="3">
        <is>
          <t/>
        </is>
      </c>
      <c r="F442" t="inlineStr" s="3">
        <is>
          <t/>
        </is>
      </c>
      <c r="G442" t="inlineStr" s="3">
        <is>
          <t/>
        </is>
      </c>
      <c r="H442" t="inlineStr" s="3">
        <is>
          <t/>
        </is>
      </c>
      <c r="I442" t="inlineStr" s="3">
        <is>
          <t/>
        </is>
      </c>
    </row>
    <row r="443" ht="23" customHeight="1">
      <c r="A443" t="inlineStr" s="4">
        <is>
          <t>日期</t>
        </is>
      </c>
      <c r="B443" t="inlineStr" s="4">
        <is>
          <t>星期</t>
        </is>
      </c>
      <c r="C443" t="inlineStr" s="4">
        <is>
          <t>分类</t>
        </is>
      </c>
      <c r="D443" t="inlineStr" s="4">
        <is>
          <t>事项</t>
        </is>
      </c>
      <c r="E443" t="inlineStr" s="4">
        <is>
          <t>支出金额</t>
        </is>
      </c>
      <c r="F443" t="inlineStr" s="4">
        <is>
          <t>收入金额</t>
        </is>
      </c>
      <c r="G443" t="inlineStr" s="4">
        <is>
          <t>当笔净额</t>
        </is>
      </c>
      <c r="H443" t="inlineStr" s="4">
        <is>
          <t>支付方式</t>
        </is>
      </c>
      <c r="I443" t="inlineStr" s="4">
        <is>
          <t>备注</t>
        </is>
      </c>
    </row>
    <row r="444" ht="22" customHeight="1">
      <c r="A444" t="inlineStr" s="6">
        <is>
          <t/>
        </is>
      </c>
      <c r="B444" s="5">
        <f>IF(A444="","",TEXT(A444,"aaa"))</f>
      </c>
      <c r="C444" t="inlineStr" s="5">
        <is>
          <t/>
        </is>
      </c>
      <c r="D444" t="inlineStr" s="5">
        <is>
          <t/>
        </is>
      </c>
      <c r="E444" t="inlineStr" s="7">
        <is>
          <t/>
        </is>
      </c>
      <c r="F444" t="inlineStr" s="7">
        <is>
          <t/>
        </is>
      </c>
      <c r="G444" s="8">
        <f>IF(AND(E444="",F444=""),"",F444-E444)</f>
      </c>
      <c r="H444" t="inlineStr" s="5">
        <is>
          <t/>
        </is>
      </c>
      <c r="I444" t="inlineStr" s="5">
        <is>
          <t/>
        </is>
      </c>
    </row>
    <row r="445" ht="22" customHeight="1">
      <c r="A445" t="inlineStr" s="6">
        <is>
          <t/>
        </is>
      </c>
      <c r="B445" s="5">
        <f>IF(A445="","",TEXT(A445,"aaa"))</f>
      </c>
      <c r="C445" t="inlineStr" s="5">
        <is>
          <t/>
        </is>
      </c>
      <c r="D445" t="inlineStr" s="5">
        <is>
          <t/>
        </is>
      </c>
      <c r="E445" t="inlineStr" s="7">
        <is>
          <t/>
        </is>
      </c>
      <c r="F445" t="inlineStr" s="7">
        <is>
          <t/>
        </is>
      </c>
      <c r="G445" s="8">
        <f>IF(AND(E445="",F445=""),"",F445-E445)</f>
      </c>
      <c r="H445" t="inlineStr" s="5">
        <is>
          <t/>
        </is>
      </c>
      <c r="I445" t="inlineStr" s="5">
        <is>
          <t/>
        </is>
      </c>
    </row>
    <row r="446" ht="22" customHeight="1">
      <c r="A446" t="inlineStr" s="6">
        <is>
          <t/>
        </is>
      </c>
      <c r="B446" s="5">
        <f>IF(A446="","",TEXT(A446,"aaa"))</f>
      </c>
      <c r="C446" t="inlineStr" s="5">
        <is>
          <t/>
        </is>
      </c>
      <c r="D446" t="inlineStr" s="5">
        <is>
          <t/>
        </is>
      </c>
      <c r="E446" t="inlineStr" s="7">
        <is>
          <t/>
        </is>
      </c>
      <c r="F446" t="inlineStr" s="7">
        <is>
          <t/>
        </is>
      </c>
      <c r="G446" s="8">
        <f>IF(AND(E446="",F446=""),"",F446-E446)</f>
      </c>
      <c r="H446" t="inlineStr" s="5">
        <is>
          <t/>
        </is>
      </c>
      <c r="I446" t="inlineStr" s="5">
        <is>
          <t/>
        </is>
      </c>
    </row>
    <row r="447" ht="22" customHeight="1">
      <c r="A447" t="inlineStr" s="6">
        <is>
          <t/>
        </is>
      </c>
      <c r="B447" s="5">
        <f>IF(A447="","",TEXT(A447,"aaa"))</f>
      </c>
      <c r="C447" t="inlineStr" s="5">
        <is>
          <t/>
        </is>
      </c>
      <c r="D447" t="inlineStr" s="5">
        <is>
          <t/>
        </is>
      </c>
      <c r="E447" t="inlineStr" s="7">
        <is>
          <t/>
        </is>
      </c>
      <c r="F447" t="inlineStr" s="7">
        <is>
          <t/>
        </is>
      </c>
      <c r="G447" s="8">
        <f>IF(AND(E447="",F447=""),"",F447-E447)</f>
      </c>
      <c r="H447" t="inlineStr" s="5">
        <is>
          <t/>
        </is>
      </c>
      <c r="I447" t="inlineStr" s="5">
        <is>
          <t/>
        </is>
      </c>
    </row>
    <row r="448" ht="22" customHeight="1">
      <c r="A448" t="inlineStr" s="6">
        <is>
          <t/>
        </is>
      </c>
      <c r="B448" s="5">
        <f>IF(A448="","",TEXT(A448,"aaa"))</f>
      </c>
      <c r="C448" t="inlineStr" s="5">
        <is>
          <t/>
        </is>
      </c>
      <c r="D448" t="inlineStr" s="5">
        <is>
          <t/>
        </is>
      </c>
      <c r="E448" t="inlineStr" s="7">
        <is>
          <t/>
        </is>
      </c>
      <c r="F448" t="inlineStr" s="7">
        <is>
          <t/>
        </is>
      </c>
      <c r="G448" s="8">
        <f>IF(AND(E448="",F448=""),"",F448-E448)</f>
      </c>
      <c r="H448" t="inlineStr" s="5">
        <is>
          <t/>
        </is>
      </c>
      <c r="I448" t="inlineStr" s="5">
        <is>
          <t/>
        </is>
      </c>
    </row>
    <row r="449" ht="22" customHeight="1">
      <c r="A449" t="inlineStr" s="6">
        <is>
          <t/>
        </is>
      </c>
      <c r="B449" s="5">
        <f>IF(A449="","",TEXT(A449,"aaa"))</f>
      </c>
      <c r="C449" t="inlineStr" s="5">
        <is>
          <t/>
        </is>
      </c>
      <c r="D449" t="inlineStr" s="5">
        <is>
          <t/>
        </is>
      </c>
      <c r="E449" t="inlineStr" s="7">
        <is>
          <t/>
        </is>
      </c>
      <c r="F449" t="inlineStr" s="7">
        <is>
          <t/>
        </is>
      </c>
      <c r="G449" s="8">
        <f>IF(AND(E449="",F449=""),"",F449-E449)</f>
      </c>
      <c r="H449" t="inlineStr" s="5">
        <is>
          <t/>
        </is>
      </c>
      <c r="I449" t="inlineStr" s="5">
        <is>
          <t/>
        </is>
      </c>
    </row>
    <row r="450" ht="22" customHeight="1">
      <c r="A450" t="inlineStr" s="6">
        <is>
          <t/>
        </is>
      </c>
      <c r="B450" s="5">
        <f>IF(A450="","",TEXT(A450,"aaa"))</f>
      </c>
      <c r="C450" t="inlineStr" s="5">
        <is>
          <t/>
        </is>
      </c>
      <c r="D450" t="inlineStr" s="5">
        <is>
          <t/>
        </is>
      </c>
      <c r="E450" t="inlineStr" s="7">
        <is>
          <t/>
        </is>
      </c>
      <c r="F450" t="inlineStr" s="7">
        <is>
          <t/>
        </is>
      </c>
      <c r="G450" s="8">
        <f>IF(AND(E450="",F450=""),"",F450-E450)</f>
      </c>
      <c r="H450" t="inlineStr" s="5">
        <is>
          <t/>
        </is>
      </c>
      <c r="I450" t="inlineStr" s="5">
        <is>
          <t/>
        </is>
      </c>
    </row>
    <row r="451" ht="22" customHeight="1">
      <c r="A451" t="inlineStr" s="6">
        <is>
          <t/>
        </is>
      </c>
      <c r="B451" s="5">
        <f>IF(A451="","",TEXT(A451,"aaa"))</f>
      </c>
      <c r="C451" t="inlineStr" s="5">
        <is>
          <t/>
        </is>
      </c>
      <c r="D451" t="inlineStr" s="5">
        <is>
          <t/>
        </is>
      </c>
      <c r="E451" t="inlineStr" s="7">
        <is>
          <t/>
        </is>
      </c>
      <c r="F451" t="inlineStr" s="7">
        <is>
          <t/>
        </is>
      </c>
      <c r="G451" s="8">
        <f>IF(AND(E451="",F451=""),"",F451-E451)</f>
      </c>
      <c r="H451" t="inlineStr" s="5">
        <is>
          <t/>
        </is>
      </c>
      <c r="I451" t="inlineStr" s="5">
        <is>
          <t/>
        </is>
      </c>
    </row>
    <row r="452" ht="22" customHeight="1">
      <c r="A452" t="inlineStr" s="6">
        <is>
          <t/>
        </is>
      </c>
      <c r="B452" s="5">
        <f>IF(A452="","",TEXT(A452,"aaa"))</f>
      </c>
      <c r="C452" t="inlineStr" s="5">
        <is>
          <t/>
        </is>
      </c>
      <c r="D452" t="inlineStr" s="5">
        <is>
          <t/>
        </is>
      </c>
      <c r="E452" t="inlineStr" s="7">
        <is>
          <t/>
        </is>
      </c>
      <c r="F452" t="inlineStr" s="7">
        <is>
          <t/>
        </is>
      </c>
      <c r="G452" s="8">
        <f>IF(AND(E452="",F452=""),"",F452-E452)</f>
      </c>
      <c r="H452" t="inlineStr" s="5">
        <is>
          <t/>
        </is>
      </c>
      <c r="I452" t="inlineStr" s="5">
        <is>
          <t/>
        </is>
      </c>
    </row>
    <row r="453" ht="22" customHeight="1">
      <c r="A453" t="inlineStr" s="6">
        <is>
          <t/>
        </is>
      </c>
      <c r="B453" s="5">
        <f>IF(A453="","",TEXT(A453,"aaa"))</f>
      </c>
      <c r="C453" t="inlineStr" s="5">
        <is>
          <t/>
        </is>
      </c>
      <c r="D453" t="inlineStr" s="5">
        <is>
          <t/>
        </is>
      </c>
      <c r="E453" t="inlineStr" s="7">
        <is>
          <t/>
        </is>
      </c>
      <c r="F453" t="inlineStr" s="7">
        <is>
          <t/>
        </is>
      </c>
      <c r="G453" s="8">
        <f>IF(AND(E453="",F453=""),"",F453-E453)</f>
      </c>
      <c r="H453" t="inlineStr" s="5">
        <is>
          <t/>
        </is>
      </c>
      <c r="I453" t="inlineStr" s="5">
        <is>
          <t/>
        </is>
      </c>
    </row>
    <row r="454" ht="22" customHeight="1">
      <c r="A454" t="inlineStr" s="6">
        <is>
          <t/>
        </is>
      </c>
      <c r="B454" s="5">
        <f>IF(A454="","",TEXT(A454,"aaa"))</f>
      </c>
      <c r="C454" t="inlineStr" s="5">
        <is>
          <t/>
        </is>
      </c>
      <c r="D454" t="inlineStr" s="5">
        <is>
          <t/>
        </is>
      </c>
      <c r="E454" t="inlineStr" s="7">
        <is>
          <t/>
        </is>
      </c>
      <c r="F454" t="inlineStr" s="7">
        <is>
          <t/>
        </is>
      </c>
      <c r="G454" s="8">
        <f>IF(AND(E454="",F454=""),"",F454-E454)</f>
      </c>
      <c r="H454" t="inlineStr" s="5">
        <is>
          <t/>
        </is>
      </c>
      <c r="I454" t="inlineStr" s="5">
        <is>
          <t/>
        </is>
      </c>
    </row>
    <row r="455" ht="22" customHeight="1">
      <c r="A455" t="inlineStr" s="6">
        <is>
          <t/>
        </is>
      </c>
      <c r="B455" s="5">
        <f>IF(A455="","",TEXT(A455,"aaa"))</f>
      </c>
      <c r="C455" t="inlineStr" s="5">
        <is>
          <t/>
        </is>
      </c>
      <c r="D455" t="inlineStr" s="5">
        <is>
          <t/>
        </is>
      </c>
      <c r="E455" t="inlineStr" s="7">
        <is>
          <t/>
        </is>
      </c>
      <c r="F455" t="inlineStr" s="7">
        <is>
          <t/>
        </is>
      </c>
      <c r="G455" s="8">
        <f>IF(AND(E455="",F455=""),"",F455-E455)</f>
      </c>
      <c r="H455" t="inlineStr" s="5">
        <is>
          <t/>
        </is>
      </c>
      <c r="I455" t="inlineStr" s="5">
        <is>
          <t/>
        </is>
      </c>
    </row>
    <row r="456" ht="22" customHeight="1">
      <c r="A456" t="inlineStr" s="6">
        <is>
          <t/>
        </is>
      </c>
      <c r="B456" s="5">
        <f>IF(A456="","",TEXT(A456,"aaa"))</f>
      </c>
      <c r="C456" t="inlineStr" s="5">
        <is>
          <t/>
        </is>
      </c>
      <c r="D456" t="inlineStr" s="5">
        <is>
          <t/>
        </is>
      </c>
      <c r="E456" t="inlineStr" s="7">
        <is>
          <t/>
        </is>
      </c>
      <c r="F456" t="inlineStr" s="7">
        <is>
          <t/>
        </is>
      </c>
      <c r="G456" s="8">
        <f>IF(AND(E456="",F456=""),"",F456-E456)</f>
      </c>
      <c r="H456" t="inlineStr" s="5">
        <is>
          <t/>
        </is>
      </c>
      <c r="I456" t="inlineStr" s="5">
        <is>
          <t/>
        </is>
      </c>
    </row>
    <row r="457" ht="22" customHeight="1">
      <c r="A457" t="inlineStr" s="6">
        <is>
          <t/>
        </is>
      </c>
      <c r="B457" s="5">
        <f>IF(A457="","",TEXT(A457,"aaa"))</f>
      </c>
      <c r="C457" t="inlineStr" s="5">
        <is>
          <t/>
        </is>
      </c>
      <c r="D457" t="inlineStr" s="5">
        <is>
          <t/>
        </is>
      </c>
      <c r="E457" t="inlineStr" s="7">
        <is>
          <t/>
        </is>
      </c>
      <c r="F457" t="inlineStr" s="7">
        <is>
          <t/>
        </is>
      </c>
      <c r="G457" s="8">
        <f>IF(AND(E457="",F457=""),"",F457-E457)</f>
      </c>
      <c r="H457" t="inlineStr" s="5">
        <is>
          <t/>
        </is>
      </c>
      <c r="I457" t="inlineStr" s="5">
        <is>
          <t/>
        </is>
      </c>
    </row>
    <row r="458" ht="22" customHeight="1">
      <c r="A458" t="inlineStr" s="6">
        <is>
          <t/>
        </is>
      </c>
      <c r="B458" s="5">
        <f>IF(A458="","",TEXT(A458,"aaa"))</f>
      </c>
      <c r="C458" t="inlineStr" s="5">
        <is>
          <t/>
        </is>
      </c>
      <c r="D458" t="inlineStr" s="5">
        <is>
          <t/>
        </is>
      </c>
      <c r="E458" t="inlineStr" s="7">
        <is>
          <t/>
        </is>
      </c>
      <c r="F458" t="inlineStr" s="7">
        <is>
          <t/>
        </is>
      </c>
      <c r="G458" s="8">
        <f>IF(AND(E458="",F458=""),"",F458-E458)</f>
      </c>
      <c r="H458" t="inlineStr" s="5">
        <is>
          <t/>
        </is>
      </c>
      <c r="I458" t="inlineStr" s="5">
        <is>
          <t/>
        </is>
      </c>
    </row>
    <row r="459" ht="24" customHeight="1">
      <c r="A459" t="inlineStr" s="9">
        <is>
          <t>本周小计</t>
        </is>
      </c>
      <c r="B459" t="inlineStr" s="9">
        <is>
          <t/>
        </is>
      </c>
      <c r="C459" t="inlineStr" s="9">
        <is>
          <t/>
        </is>
      </c>
      <c r="D459" t="inlineStr" s="9">
        <is>
          <t/>
        </is>
      </c>
      <c r="E459" s="9">
        <f>SUM(E444:E458)</f>
      </c>
      <c r="F459" s="9">
        <f>SUM(F444:F458)</f>
      </c>
      <c r="G459" s="9">
        <f>SUM(G444:G458)</f>
      </c>
      <c r="H459" t="inlineStr" s="9">
        <is>
          <t/>
        </is>
      </c>
      <c r="I459" t="inlineStr" s="9">
        <is>
          <t/>
        </is>
      </c>
    </row>
    <row r="460" ht="18" customHeight="1">
      <c r="A460" t="inlineStr" s="10">
        <is>
          <t/>
        </is>
      </c>
      <c r="B460" t="inlineStr" s="10">
        <is>
          <t/>
        </is>
      </c>
      <c r="C460" t="inlineStr" s="10">
        <is>
          <t/>
        </is>
      </c>
      <c r="D460" t="inlineStr" s="10">
        <is>
          <t/>
        </is>
      </c>
      <c r="E460" t="inlineStr" s="10">
        <is>
          <t/>
        </is>
      </c>
      <c r="F460" t="inlineStr" s="10">
        <is>
          <t/>
        </is>
      </c>
      <c r="G460" t="inlineStr" s="10">
        <is>
          <t/>
        </is>
      </c>
      <c r="H460" t="inlineStr" s="10">
        <is>
          <t/>
        </is>
      </c>
      <c r="I460" t="inlineStr" s="10">
        <is>
          <t/>
        </is>
      </c>
    </row>
    <row r="461" ht="18" customHeight="1">
      <c r="A461" t="inlineStr" s="10">
        <is>
          <t/>
        </is>
      </c>
      <c r="B461" t="inlineStr" s="10">
        <is>
          <t/>
        </is>
      </c>
      <c r="C461" t="inlineStr" s="10">
        <is>
          <t/>
        </is>
      </c>
      <c r="D461" t="inlineStr" s="10">
        <is>
          <t/>
        </is>
      </c>
      <c r="E461" t="inlineStr" s="10">
        <is>
          <t/>
        </is>
      </c>
      <c r="F461" t="inlineStr" s="10">
        <is>
          <t/>
        </is>
      </c>
      <c r="G461" t="inlineStr" s="10">
        <is>
          <t/>
        </is>
      </c>
      <c r="H461" t="inlineStr" s="10">
        <is>
          <t/>
        </is>
      </c>
      <c r="I461" t="inlineStr" s="10">
        <is>
          <t/>
        </is>
      </c>
    </row>
    <row r="462" ht="28" customHeight="1">
      <c r="A462" t="inlineStr" s="3">
        <is>
          <t>2026年11月｜第二周（11月9日 - 11月15日）</t>
        </is>
      </c>
      <c r="B462" t="inlineStr" s="3">
        <is>
          <t/>
        </is>
      </c>
      <c r="C462" t="inlineStr" s="3">
        <is>
          <t/>
        </is>
      </c>
      <c r="D462" t="inlineStr" s="3">
        <is>
          <t/>
        </is>
      </c>
      <c r="E462" t="inlineStr" s="3">
        <is>
          <t/>
        </is>
      </c>
      <c r="F462" t="inlineStr" s="3">
        <is>
          <t/>
        </is>
      </c>
      <c r="G462" t="inlineStr" s="3">
        <is>
          <t/>
        </is>
      </c>
      <c r="H462" t="inlineStr" s="3">
        <is>
          <t/>
        </is>
      </c>
      <c r="I462" t="inlineStr" s="3">
        <is>
          <t/>
        </is>
      </c>
    </row>
    <row r="463" ht="23" customHeight="1">
      <c r="A463" t="inlineStr" s="4">
        <is>
          <t>日期</t>
        </is>
      </c>
      <c r="B463" t="inlineStr" s="4">
        <is>
          <t>星期</t>
        </is>
      </c>
      <c r="C463" t="inlineStr" s="4">
        <is>
          <t>分类</t>
        </is>
      </c>
      <c r="D463" t="inlineStr" s="4">
        <is>
          <t>事项</t>
        </is>
      </c>
      <c r="E463" t="inlineStr" s="4">
        <is>
          <t>支出金额</t>
        </is>
      </c>
      <c r="F463" t="inlineStr" s="4">
        <is>
          <t>收入金额</t>
        </is>
      </c>
      <c r="G463" t="inlineStr" s="4">
        <is>
          <t>当笔净额</t>
        </is>
      </c>
      <c r="H463" t="inlineStr" s="4">
        <is>
          <t>支付方式</t>
        </is>
      </c>
      <c r="I463" t="inlineStr" s="4">
        <is>
          <t>备注</t>
        </is>
      </c>
    </row>
    <row r="464" ht="22" customHeight="1">
      <c r="A464" t="inlineStr" s="6">
        <is>
          <t/>
        </is>
      </c>
      <c r="B464" s="5">
        <f>IF(A464="","",TEXT(A464,"aaa"))</f>
      </c>
      <c r="C464" t="inlineStr" s="5">
        <is>
          <t/>
        </is>
      </c>
      <c r="D464" t="inlineStr" s="5">
        <is>
          <t/>
        </is>
      </c>
      <c r="E464" t="inlineStr" s="7">
        <is>
          <t/>
        </is>
      </c>
      <c r="F464" t="inlineStr" s="7">
        <is>
          <t/>
        </is>
      </c>
      <c r="G464" s="8">
        <f>IF(AND(E464="",F464=""),"",F464-E464)</f>
      </c>
      <c r="H464" t="inlineStr" s="5">
        <is>
          <t/>
        </is>
      </c>
      <c r="I464" t="inlineStr" s="5">
        <is>
          <t/>
        </is>
      </c>
    </row>
    <row r="465" ht="22" customHeight="1">
      <c r="A465" t="inlineStr" s="6">
        <is>
          <t/>
        </is>
      </c>
      <c r="B465" s="5">
        <f>IF(A465="","",TEXT(A465,"aaa"))</f>
      </c>
      <c r="C465" t="inlineStr" s="5">
        <is>
          <t/>
        </is>
      </c>
      <c r="D465" t="inlineStr" s="5">
        <is>
          <t/>
        </is>
      </c>
      <c r="E465" t="inlineStr" s="7">
        <is>
          <t/>
        </is>
      </c>
      <c r="F465" t="inlineStr" s="7">
        <is>
          <t/>
        </is>
      </c>
      <c r="G465" s="8">
        <f>IF(AND(E465="",F465=""),"",F465-E465)</f>
      </c>
      <c r="H465" t="inlineStr" s="5">
        <is>
          <t/>
        </is>
      </c>
      <c r="I465" t="inlineStr" s="5">
        <is>
          <t/>
        </is>
      </c>
    </row>
    <row r="466" ht="22" customHeight="1">
      <c r="A466" t="inlineStr" s="6">
        <is>
          <t/>
        </is>
      </c>
      <c r="B466" s="5">
        <f>IF(A466="","",TEXT(A466,"aaa"))</f>
      </c>
      <c r="C466" t="inlineStr" s="5">
        <is>
          <t/>
        </is>
      </c>
      <c r="D466" t="inlineStr" s="5">
        <is>
          <t/>
        </is>
      </c>
      <c r="E466" t="inlineStr" s="7">
        <is>
          <t/>
        </is>
      </c>
      <c r="F466" t="inlineStr" s="7">
        <is>
          <t/>
        </is>
      </c>
      <c r="G466" s="8">
        <f>IF(AND(E466="",F466=""),"",F466-E466)</f>
      </c>
      <c r="H466" t="inlineStr" s="5">
        <is>
          <t/>
        </is>
      </c>
      <c r="I466" t="inlineStr" s="5">
        <is>
          <t/>
        </is>
      </c>
    </row>
    <row r="467" ht="22" customHeight="1">
      <c r="A467" t="inlineStr" s="6">
        <is>
          <t/>
        </is>
      </c>
      <c r="B467" s="5">
        <f>IF(A467="","",TEXT(A467,"aaa"))</f>
      </c>
      <c r="C467" t="inlineStr" s="5">
        <is>
          <t/>
        </is>
      </c>
      <c r="D467" t="inlineStr" s="5">
        <is>
          <t/>
        </is>
      </c>
      <c r="E467" t="inlineStr" s="7">
        <is>
          <t/>
        </is>
      </c>
      <c r="F467" t="inlineStr" s="7">
        <is>
          <t/>
        </is>
      </c>
      <c r="G467" s="8">
        <f>IF(AND(E467="",F467=""),"",F467-E467)</f>
      </c>
      <c r="H467" t="inlineStr" s="5">
        <is>
          <t/>
        </is>
      </c>
      <c r="I467" t="inlineStr" s="5">
        <is>
          <t/>
        </is>
      </c>
    </row>
    <row r="468" ht="22" customHeight="1">
      <c r="A468" t="inlineStr" s="6">
        <is>
          <t/>
        </is>
      </c>
      <c r="B468" s="5">
        <f>IF(A468="","",TEXT(A468,"aaa"))</f>
      </c>
      <c r="C468" t="inlineStr" s="5">
        <is>
          <t/>
        </is>
      </c>
      <c r="D468" t="inlineStr" s="5">
        <is>
          <t/>
        </is>
      </c>
      <c r="E468" t="inlineStr" s="7">
        <is>
          <t/>
        </is>
      </c>
      <c r="F468" t="inlineStr" s="7">
        <is>
          <t/>
        </is>
      </c>
      <c r="G468" s="8">
        <f>IF(AND(E468="",F468=""),"",F468-E468)</f>
      </c>
      <c r="H468" t="inlineStr" s="5">
        <is>
          <t/>
        </is>
      </c>
      <c r="I468" t="inlineStr" s="5">
        <is>
          <t/>
        </is>
      </c>
    </row>
    <row r="469" ht="22" customHeight="1">
      <c r="A469" t="inlineStr" s="6">
        <is>
          <t/>
        </is>
      </c>
      <c r="B469" s="5">
        <f>IF(A469="","",TEXT(A469,"aaa"))</f>
      </c>
      <c r="C469" t="inlineStr" s="5">
        <is>
          <t/>
        </is>
      </c>
      <c r="D469" t="inlineStr" s="5">
        <is>
          <t/>
        </is>
      </c>
      <c r="E469" t="inlineStr" s="7">
        <is>
          <t/>
        </is>
      </c>
      <c r="F469" t="inlineStr" s="7">
        <is>
          <t/>
        </is>
      </c>
      <c r="G469" s="8">
        <f>IF(AND(E469="",F469=""),"",F469-E469)</f>
      </c>
      <c r="H469" t="inlineStr" s="5">
        <is>
          <t/>
        </is>
      </c>
      <c r="I469" t="inlineStr" s="5">
        <is>
          <t/>
        </is>
      </c>
    </row>
    <row r="470" ht="22" customHeight="1">
      <c r="A470" t="inlineStr" s="6">
        <is>
          <t/>
        </is>
      </c>
      <c r="B470" s="5">
        <f>IF(A470="","",TEXT(A470,"aaa"))</f>
      </c>
      <c r="C470" t="inlineStr" s="5">
        <is>
          <t/>
        </is>
      </c>
      <c r="D470" t="inlineStr" s="5">
        <is>
          <t/>
        </is>
      </c>
      <c r="E470" t="inlineStr" s="7">
        <is>
          <t/>
        </is>
      </c>
      <c r="F470" t="inlineStr" s="7">
        <is>
          <t/>
        </is>
      </c>
      <c r="G470" s="8">
        <f>IF(AND(E470="",F470=""),"",F470-E470)</f>
      </c>
      <c r="H470" t="inlineStr" s="5">
        <is>
          <t/>
        </is>
      </c>
      <c r="I470" t="inlineStr" s="5">
        <is>
          <t/>
        </is>
      </c>
    </row>
    <row r="471" ht="22" customHeight="1">
      <c r="A471" t="inlineStr" s="6">
        <is>
          <t/>
        </is>
      </c>
      <c r="B471" s="5">
        <f>IF(A471="","",TEXT(A471,"aaa"))</f>
      </c>
      <c r="C471" t="inlineStr" s="5">
        <is>
          <t/>
        </is>
      </c>
      <c r="D471" t="inlineStr" s="5">
        <is>
          <t/>
        </is>
      </c>
      <c r="E471" t="inlineStr" s="7">
        <is>
          <t/>
        </is>
      </c>
      <c r="F471" t="inlineStr" s="7">
        <is>
          <t/>
        </is>
      </c>
      <c r="G471" s="8">
        <f>IF(AND(E471="",F471=""),"",F471-E471)</f>
      </c>
      <c r="H471" t="inlineStr" s="5">
        <is>
          <t/>
        </is>
      </c>
      <c r="I471" t="inlineStr" s="5">
        <is>
          <t/>
        </is>
      </c>
    </row>
    <row r="472" ht="22" customHeight="1">
      <c r="A472" t="inlineStr" s="6">
        <is>
          <t/>
        </is>
      </c>
      <c r="B472" s="5">
        <f>IF(A472="","",TEXT(A472,"aaa"))</f>
      </c>
      <c r="C472" t="inlineStr" s="5">
        <is>
          <t/>
        </is>
      </c>
      <c r="D472" t="inlineStr" s="5">
        <is>
          <t/>
        </is>
      </c>
      <c r="E472" t="inlineStr" s="7">
        <is>
          <t/>
        </is>
      </c>
      <c r="F472" t="inlineStr" s="7">
        <is>
          <t/>
        </is>
      </c>
      <c r="G472" s="8">
        <f>IF(AND(E472="",F472=""),"",F472-E472)</f>
      </c>
      <c r="H472" t="inlineStr" s="5">
        <is>
          <t/>
        </is>
      </c>
      <c r="I472" t="inlineStr" s="5">
        <is>
          <t/>
        </is>
      </c>
    </row>
    <row r="473" ht="22" customHeight="1">
      <c r="A473" t="inlineStr" s="6">
        <is>
          <t/>
        </is>
      </c>
      <c r="B473" s="5">
        <f>IF(A473="","",TEXT(A473,"aaa"))</f>
      </c>
      <c r="C473" t="inlineStr" s="5">
        <is>
          <t/>
        </is>
      </c>
      <c r="D473" t="inlineStr" s="5">
        <is>
          <t/>
        </is>
      </c>
      <c r="E473" t="inlineStr" s="7">
        <is>
          <t/>
        </is>
      </c>
      <c r="F473" t="inlineStr" s="7">
        <is>
          <t/>
        </is>
      </c>
      <c r="G473" s="8">
        <f>IF(AND(E473="",F473=""),"",F473-E473)</f>
      </c>
      <c r="H473" t="inlineStr" s="5">
        <is>
          <t/>
        </is>
      </c>
      <c r="I473" t="inlineStr" s="5">
        <is>
          <t/>
        </is>
      </c>
    </row>
    <row r="474" ht="22" customHeight="1">
      <c r="A474" t="inlineStr" s="6">
        <is>
          <t/>
        </is>
      </c>
      <c r="B474" s="5">
        <f>IF(A474="","",TEXT(A474,"aaa"))</f>
      </c>
      <c r="C474" t="inlineStr" s="5">
        <is>
          <t/>
        </is>
      </c>
      <c r="D474" t="inlineStr" s="5">
        <is>
          <t/>
        </is>
      </c>
      <c r="E474" t="inlineStr" s="7">
        <is>
          <t/>
        </is>
      </c>
      <c r="F474" t="inlineStr" s="7">
        <is>
          <t/>
        </is>
      </c>
      <c r="G474" s="8">
        <f>IF(AND(E474="",F474=""),"",F474-E474)</f>
      </c>
      <c r="H474" t="inlineStr" s="5">
        <is>
          <t/>
        </is>
      </c>
      <c r="I474" t="inlineStr" s="5">
        <is>
          <t/>
        </is>
      </c>
    </row>
    <row r="475" ht="22" customHeight="1">
      <c r="A475" t="inlineStr" s="6">
        <is>
          <t/>
        </is>
      </c>
      <c r="B475" s="5">
        <f>IF(A475="","",TEXT(A475,"aaa"))</f>
      </c>
      <c r="C475" t="inlineStr" s="5">
        <is>
          <t/>
        </is>
      </c>
      <c r="D475" t="inlineStr" s="5">
        <is>
          <t/>
        </is>
      </c>
      <c r="E475" t="inlineStr" s="7">
        <is>
          <t/>
        </is>
      </c>
      <c r="F475" t="inlineStr" s="7">
        <is>
          <t/>
        </is>
      </c>
      <c r="G475" s="8">
        <f>IF(AND(E475="",F475=""),"",F475-E475)</f>
      </c>
      <c r="H475" t="inlineStr" s="5">
        <is>
          <t/>
        </is>
      </c>
      <c r="I475" t="inlineStr" s="5">
        <is>
          <t/>
        </is>
      </c>
    </row>
    <row r="476" ht="22" customHeight="1">
      <c r="A476" t="inlineStr" s="6">
        <is>
          <t/>
        </is>
      </c>
      <c r="B476" s="5">
        <f>IF(A476="","",TEXT(A476,"aaa"))</f>
      </c>
      <c r="C476" t="inlineStr" s="5">
        <is>
          <t/>
        </is>
      </c>
      <c r="D476" t="inlineStr" s="5">
        <is>
          <t/>
        </is>
      </c>
      <c r="E476" t="inlineStr" s="7">
        <is>
          <t/>
        </is>
      </c>
      <c r="F476" t="inlineStr" s="7">
        <is>
          <t/>
        </is>
      </c>
      <c r="G476" s="8">
        <f>IF(AND(E476="",F476=""),"",F476-E476)</f>
      </c>
      <c r="H476" t="inlineStr" s="5">
        <is>
          <t/>
        </is>
      </c>
      <c r="I476" t="inlineStr" s="5">
        <is>
          <t/>
        </is>
      </c>
    </row>
    <row r="477" ht="22" customHeight="1">
      <c r="A477" t="inlineStr" s="6">
        <is>
          <t/>
        </is>
      </c>
      <c r="B477" s="5">
        <f>IF(A477="","",TEXT(A477,"aaa"))</f>
      </c>
      <c r="C477" t="inlineStr" s="5">
        <is>
          <t/>
        </is>
      </c>
      <c r="D477" t="inlineStr" s="5">
        <is>
          <t/>
        </is>
      </c>
      <c r="E477" t="inlineStr" s="7">
        <is>
          <t/>
        </is>
      </c>
      <c r="F477" t="inlineStr" s="7">
        <is>
          <t/>
        </is>
      </c>
      <c r="G477" s="8">
        <f>IF(AND(E477="",F477=""),"",F477-E477)</f>
      </c>
      <c r="H477" t="inlineStr" s="5">
        <is>
          <t/>
        </is>
      </c>
      <c r="I477" t="inlineStr" s="5">
        <is>
          <t/>
        </is>
      </c>
    </row>
    <row r="478" ht="22" customHeight="1">
      <c r="A478" t="inlineStr" s="6">
        <is>
          <t/>
        </is>
      </c>
      <c r="B478" s="5">
        <f>IF(A478="","",TEXT(A478,"aaa"))</f>
      </c>
      <c r="C478" t="inlineStr" s="5">
        <is>
          <t/>
        </is>
      </c>
      <c r="D478" t="inlineStr" s="5">
        <is>
          <t/>
        </is>
      </c>
      <c r="E478" t="inlineStr" s="7">
        <is>
          <t/>
        </is>
      </c>
      <c r="F478" t="inlineStr" s="7">
        <is>
          <t/>
        </is>
      </c>
      <c r="G478" s="8">
        <f>IF(AND(E478="",F478=""),"",F478-E478)</f>
      </c>
      <c r="H478" t="inlineStr" s="5">
        <is>
          <t/>
        </is>
      </c>
      <c r="I478" t="inlineStr" s="5">
        <is>
          <t/>
        </is>
      </c>
    </row>
    <row r="479" ht="24" customHeight="1">
      <c r="A479" t="inlineStr" s="9">
        <is>
          <t>本周小计</t>
        </is>
      </c>
      <c r="B479" t="inlineStr" s="9">
        <is>
          <t/>
        </is>
      </c>
      <c r="C479" t="inlineStr" s="9">
        <is>
          <t/>
        </is>
      </c>
      <c r="D479" t="inlineStr" s="9">
        <is>
          <t/>
        </is>
      </c>
      <c r="E479" s="9">
        <f>SUM(E464:E478)</f>
      </c>
      <c r="F479" s="9">
        <f>SUM(F464:F478)</f>
      </c>
      <c r="G479" s="9">
        <f>SUM(G464:G478)</f>
      </c>
      <c r="H479" t="inlineStr" s="9">
        <is>
          <t/>
        </is>
      </c>
      <c r="I479" t="inlineStr" s="9">
        <is>
          <t/>
        </is>
      </c>
    </row>
    <row r="480" ht="18" customHeight="1">
      <c r="A480" t="inlineStr" s="10">
        <is>
          <t/>
        </is>
      </c>
      <c r="B480" t="inlineStr" s="10">
        <is>
          <t/>
        </is>
      </c>
      <c r="C480" t="inlineStr" s="10">
        <is>
          <t/>
        </is>
      </c>
      <c r="D480" t="inlineStr" s="10">
        <is>
          <t/>
        </is>
      </c>
      <c r="E480" t="inlineStr" s="10">
        <is>
          <t/>
        </is>
      </c>
      <c r="F480" t="inlineStr" s="10">
        <is>
          <t/>
        </is>
      </c>
      <c r="G480" t="inlineStr" s="10">
        <is>
          <t/>
        </is>
      </c>
      <c r="H480" t="inlineStr" s="10">
        <is>
          <t/>
        </is>
      </c>
      <c r="I480" t="inlineStr" s="10">
        <is>
          <t/>
        </is>
      </c>
    </row>
    <row r="481" ht="18" customHeight="1">
      <c r="A481" t="inlineStr" s="10">
        <is>
          <t/>
        </is>
      </c>
      <c r="B481" t="inlineStr" s="10">
        <is>
          <t/>
        </is>
      </c>
      <c r="C481" t="inlineStr" s="10">
        <is>
          <t/>
        </is>
      </c>
      <c r="D481" t="inlineStr" s="10">
        <is>
          <t/>
        </is>
      </c>
      <c r="E481" t="inlineStr" s="10">
        <is>
          <t/>
        </is>
      </c>
      <c r="F481" t="inlineStr" s="10">
        <is>
          <t/>
        </is>
      </c>
      <c r="G481" t="inlineStr" s="10">
        <is>
          <t/>
        </is>
      </c>
      <c r="H481" t="inlineStr" s="10">
        <is>
          <t/>
        </is>
      </c>
      <c r="I481" t="inlineStr" s="10">
        <is>
          <t/>
        </is>
      </c>
    </row>
    <row r="482" ht="28" customHeight="1">
      <c r="A482" t="inlineStr" s="3">
        <is>
          <t>2026年11月｜第三周（11月16日 - 11月22日）</t>
        </is>
      </c>
      <c r="B482" t="inlineStr" s="3">
        <is>
          <t/>
        </is>
      </c>
      <c r="C482" t="inlineStr" s="3">
        <is>
          <t/>
        </is>
      </c>
      <c r="D482" t="inlineStr" s="3">
        <is>
          <t/>
        </is>
      </c>
      <c r="E482" t="inlineStr" s="3">
        <is>
          <t/>
        </is>
      </c>
      <c r="F482" t="inlineStr" s="3">
        <is>
          <t/>
        </is>
      </c>
      <c r="G482" t="inlineStr" s="3">
        <is>
          <t/>
        </is>
      </c>
      <c r="H482" t="inlineStr" s="3">
        <is>
          <t/>
        </is>
      </c>
      <c r="I482" t="inlineStr" s="3">
        <is>
          <t/>
        </is>
      </c>
    </row>
    <row r="483" ht="23" customHeight="1">
      <c r="A483" t="inlineStr" s="4">
        <is>
          <t>日期</t>
        </is>
      </c>
      <c r="B483" t="inlineStr" s="4">
        <is>
          <t>星期</t>
        </is>
      </c>
      <c r="C483" t="inlineStr" s="4">
        <is>
          <t>分类</t>
        </is>
      </c>
      <c r="D483" t="inlineStr" s="4">
        <is>
          <t>事项</t>
        </is>
      </c>
      <c r="E483" t="inlineStr" s="4">
        <is>
          <t>支出金额</t>
        </is>
      </c>
      <c r="F483" t="inlineStr" s="4">
        <is>
          <t>收入金额</t>
        </is>
      </c>
      <c r="G483" t="inlineStr" s="4">
        <is>
          <t>当笔净额</t>
        </is>
      </c>
      <c r="H483" t="inlineStr" s="4">
        <is>
          <t>支付方式</t>
        </is>
      </c>
      <c r="I483" t="inlineStr" s="4">
        <is>
          <t>备注</t>
        </is>
      </c>
    </row>
    <row r="484" ht="22" customHeight="1">
      <c r="A484" t="inlineStr" s="6">
        <is>
          <t/>
        </is>
      </c>
      <c r="B484" s="5">
        <f>IF(A484="","",TEXT(A484,"aaa"))</f>
      </c>
      <c r="C484" t="inlineStr" s="5">
        <is>
          <t/>
        </is>
      </c>
      <c r="D484" t="inlineStr" s="5">
        <is>
          <t/>
        </is>
      </c>
      <c r="E484" t="inlineStr" s="7">
        <is>
          <t/>
        </is>
      </c>
      <c r="F484" t="inlineStr" s="7">
        <is>
          <t/>
        </is>
      </c>
      <c r="G484" s="8">
        <f>IF(AND(E484="",F484=""),"",F484-E484)</f>
      </c>
      <c r="H484" t="inlineStr" s="5">
        <is>
          <t/>
        </is>
      </c>
      <c r="I484" t="inlineStr" s="5">
        <is>
          <t/>
        </is>
      </c>
    </row>
    <row r="485" ht="22" customHeight="1">
      <c r="A485" t="inlineStr" s="6">
        <is>
          <t/>
        </is>
      </c>
      <c r="B485" s="5">
        <f>IF(A485="","",TEXT(A485,"aaa"))</f>
      </c>
      <c r="C485" t="inlineStr" s="5">
        <is>
          <t/>
        </is>
      </c>
      <c r="D485" t="inlineStr" s="5">
        <is>
          <t/>
        </is>
      </c>
      <c r="E485" t="inlineStr" s="7">
        <is>
          <t/>
        </is>
      </c>
      <c r="F485" t="inlineStr" s="7">
        <is>
          <t/>
        </is>
      </c>
      <c r="G485" s="8">
        <f>IF(AND(E485="",F485=""),"",F485-E485)</f>
      </c>
      <c r="H485" t="inlineStr" s="5">
        <is>
          <t/>
        </is>
      </c>
      <c r="I485" t="inlineStr" s="5">
        <is>
          <t/>
        </is>
      </c>
    </row>
    <row r="486" ht="22" customHeight="1">
      <c r="A486" t="inlineStr" s="6">
        <is>
          <t/>
        </is>
      </c>
      <c r="B486" s="5">
        <f>IF(A486="","",TEXT(A486,"aaa"))</f>
      </c>
      <c r="C486" t="inlineStr" s="5">
        <is>
          <t/>
        </is>
      </c>
      <c r="D486" t="inlineStr" s="5">
        <is>
          <t/>
        </is>
      </c>
      <c r="E486" t="inlineStr" s="7">
        <is>
          <t/>
        </is>
      </c>
      <c r="F486" t="inlineStr" s="7">
        <is>
          <t/>
        </is>
      </c>
      <c r="G486" s="8">
        <f>IF(AND(E486="",F486=""),"",F486-E486)</f>
      </c>
      <c r="H486" t="inlineStr" s="5">
        <is>
          <t/>
        </is>
      </c>
      <c r="I486" t="inlineStr" s="5">
        <is>
          <t/>
        </is>
      </c>
    </row>
    <row r="487" ht="22" customHeight="1">
      <c r="A487" t="inlineStr" s="6">
        <is>
          <t/>
        </is>
      </c>
      <c r="B487" s="5">
        <f>IF(A487="","",TEXT(A487,"aaa"))</f>
      </c>
      <c r="C487" t="inlineStr" s="5">
        <is>
          <t/>
        </is>
      </c>
      <c r="D487" t="inlineStr" s="5">
        <is>
          <t/>
        </is>
      </c>
      <c r="E487" t="inlineStr" s="7">
        <is>
          <t/>
        </is>
      </c>
      <c r="F487" t="inlineStr" s="7">
        <is>
          <t/>
        </is>
      </c>
      <c r="G487" s="8">
        <f>IF(AND(E487="",F487=""),"",F487-E487)</f>
      </c>
      <c r="H487" t="inlineStr" s="5">
        <is>
          <t/>
        </is>
      </c>
      <c r="I487" t="inlineStr" s="5">
        <is>
          <t/>
        </is>
      </c>
    </row>
    <row r="488" ht="22" customHeight="1">
      <c r="A488" t="inlineStr" s="6">
        <is>
          <t/>
        </is>
      </c>
      <c r="B488" s="5">
        <f>IF(A488="","",TEXT(A488,"aaa"))</f>
      </c>
      <c r="C488" t="inlineStr" s="5">
        <is>
          <t/>
        </is>
      </c>
      <c r="D488" t="inlineStr" s="5">
        <is>
          <t/>
        </is>
      </c>
      <c r="E488" t="inlineStr" s="7">
        <is>
          <t/>
        </is>
      </c>
      <c r="F488" t="inlineStr" s="7">
        <is>
          <t/>
        </is>
      </c>
      <c r="G488" s="8">
        <f>IF(AND(E488="",F488=""),"",F488-E488)</f>
      </c>
      <c r="H488" t="inlineStr" s="5">
        <is>
          <t/>
        </is>
      </c>
      <c r="I488" t="inlineStr" s="5">
        <is>
          <t/>
        </is>
      </c>
    </row>
    <row r="489" ht="22" customHeight="1">
      <c r="A489" t="inlineStr" s="6">
        <is>
          <t/>
        </is>
      </c>
      <c r="B489" s="5">
        <f>IF(A489="","",TEXT(A489,"aaa"))</f>
      </c>
      <c r="C489" t="inlineStr" s="5">
        <is>
          <t/>
        </is>
      </c>
      <c r="D489" t="inlineStr" s="5">
        <is>
          <t/>
        </is>
      </c>
      <c r="E489" t="inlineStr" s="7">
        <is>
          <t/>
        </is>
      </c>
      <c r="F489" t="inlineStr" s="7">
        <is>
          <t/>
        </is>
      </c>
      <c r="G489" s="8">
        <f>IF(AND(E489="",F489=""),"",F489-E489)</f>
      </c>
      <c r="H489" t="inlineStr" s="5">
        <is>
          <t/>
        </is>
      </c>
      <c r="I489" t="inlineStr" s="5">
        <is>
          <t/>
        </is>
      </c>
    </row>
    <row r="490" ht="22" customHeight="1">
      <c r="A490" t="inlineStr" s="6">
        <is>
          <t/>
        </is>
      </c>
      <c r="B490" s="5">
        <f>IF(A490="","",TEXT(A490,"aaa"))</f>
      </c>
      <c r="C490" t="inlineStr" s="5">
        <is>
          <t/>
        </is>
      </c>
      <c r="D490" t="inlineStr" s="5">
        <is>
          <t/>
        </is>
      </c>
      <c r="E490" t="inlineStr" s="7">
        <is>
          <t/>
        </is>
      </c>
      <c r="F490" t="inlineStr" s="7">
        <is>
          <t/>
        </is>
      </c>
      <c r="G490" s="8">
        <f>IF(AND(E490="",F490=""),"",F490-E490)</f>
      </c>
      <c r="H490" t="inlineStr" s="5">
        <is>
          <t/>
        </is>
      </c>
      <c r="I490" t="inlineStr" s="5">
        <is>
          <t/>
        </is>
      </c>
    </row>
    <row r="491" ht="22" customHeight="1">
      <c r="A491" t="inlineStr" s="6">
        <is>
          <t/>
        </is>
      </c>
      <c r="B491" s="5">
        <f>IF(A491="","",TEXT(A491,"aaa"))</f>
      </c>
      <c r="C491" t="inlineStr" s="5">
        <is>
          <t/>
        </is>
      </c>
      <c r="D491" t="inlineStr" s="5">
        <is>
          <t/>
        </is>
      </c>
      <c r="E491" t="inlineStr" s="7">
        <is>
          <t/>
        </is>
      </c>
      <c r="F491" t="inlineStr" s="7">
        <is>
          <t/>
        </is>
      </c>
      <c r="G491" s="8">
        <f>IF(AND(E491="",F491=""),"",F491-E491)</f>
      </c>
      <c r="H491" t="inlineStr" s="5">
        <is>
          <t/>
        </is>
      </c>
      <c r="I491" t="inlineStr" s="5">
        <is>
          <t/>
        </is>
      </c>
    </row>
    <row r="492" ht="22" customHeight="1">
      <c r="A492" t="inlineStr" s="6">
        <is>
          <t/>
        </is>
      </c>
      <c r="B492" s="5">
        <f>IF(A492="","",TEXT(A492,"aaa"))</f>
      </c>
      <c r="C492" t="inlineStr" s="5">
        <is>
          <t/>
        </is>
      </c>
      <c r="D492" t="inlineStr" s="5">
        <is>
          <t/>
        </is>
      </c>
      <c r="E492" t="inlineStr" s="7">
        <is>
          <t/>
        </is>
      </c>
      <c r="F492" t="inlineStr" s="7">
        <is>
          <t/>
        </is>
      </c>
      <c r="G492" s="8">
        <f>IF(AND(E492="",F492=""),"",F492-E492)</f>
      </c>
      <c r="H492" t="inlineStr" s="5">
        <is>
          <t/>
        </is>
      </c>
      <c r="I492" t="inlineStr" s="5">
        <is>
          <t/>
        </is>
      </c>
    </row>
    <row r="493" ht="22" customHeight="1">
      <c r="A493" t="inlineStr" s="6">
        <is>
          <t/>
        </is>
      </c>
      <c r="B493" s="5">
        <f>IF(A493="","",TEXT(A493,"aaa"))</f>
      </c>
      <c r="C493" t="inlineStr" s="5">
        <is>
          <t/>
        </is>
      </c>
      <c r="D493" t="inlineStr" s="5">
        <is>
          <t/>
        </is>
      </c>
      <c r="E493" t="inlineStr" s="7">
        <is>
          <t/>
        </is>
      </c>
      <c r="F493" t="inlineStr" s="7">
        <is>
          <t/>
        </is>
      </c>
      <c r="G493" s="8">
        <f>IF(AND(E493="",F493=""),"",F493-E493)</f>
      </c>
      <c r="H493" t="inlineStr" s="5">
        <is>
          <t/>
        </is>
      </c>
      <c r="I493" t="inlineStr" s="5">
        <is>
          <t/>
        </is>
      </c>
    </row>
    <row r="494" ht="22" customHeight="1">
      <c r="A494" t="inlineStr" s="6">
        <is>
          <t/>
        </is>
      </c>
      <c r="B494" s="5">
        <f>IF(A494="","",TEXT(A494,"aaa"))</f>
      </c>
      <c r="C494" t="inlineStr" s="5">
        <is>
          <t/>
        </is>
      </c>
      <c r="D494" t="inlineStr" s="5">
        <is>
          <t/>
        </is>
      </c>
      <c r="E494" t="inlineStr" s="7">
        <is>
          <t/>
        </is>
      </c>
      <c r="F494" t="inlineStr" s="7">
        <is>
          <t/>
        </is>
      </c>
      <c r="G494" s="8">
        <f>IF(AND(E494="",F494=""),"",F494-E494)</f>
      </c>
      <c r="H494" t="inlineStr" s="5">
        <is>
          <t/>
        </is>
      </c>
      <c r="I494" t="inlineStr" s="5">
        <is>
          <t/>
        </is>
      </c>
    </row>
    <row r="495" ht="22" customHeight="1">
      <c r="A495" t="inlineStr" s="6">
        <is>
          <t/>
        </is>
      </c>
      <c r="B495" s="5">
        <f>IF(A495="","",TEXT(A495,"aaa"))</f>
      </c>
      <c r="C495" t="inlineStr" s="5">
        <is>
          <t/>
        </is>
      </c>
      <c r="D495" t="inlineStr" s="5">
        <is>
          <t/>
        </is>
      </c>
      <c r="E495" t="inlineStr" s="7">
        <is>
          <t/>
        </is>
      </c>
      <c r="F495" t="inlineStr" s="7">
        <is>
          <t/>
        </is>
      </c>
      <c r="G495" s="8">
        <f>IF(AND(E495="",F495=""),"",F495-E495)</f>
      </c>
      <c r="H495" t="inlineStr" s="5">
        <is>
          <t/>
        </is>
      </c>
      <c r="I495" t="inlineStr" s="5">
        <is>
          <t/>
        </is>
      </c>
    </row>
    <row r="496" ht="22" customHeight="1">
      <c r="A496" t="inlineStr" s="6">
        <is>
          <t/>
        </is>
      </c>
      <c r="B496" s="5">
        <f>IF(A496="","",TEXT(A496,"aaa"))</f>
      </c>
      <c r="C496" t="inlineStr" s="5">
        <is>
          <t/>
        </is>
      </c>
      <c r="D496" t="inlineStr" s="5">
        <is>
          <t/>
        </is>
      </c>
      <c r="E496" t="inlineStr" s="7">
        <is>
          <t/>
        </is>
      </c>
      <c r="F496" t="inlineStr" s="7">
        <is>
          <t/>
        </is>
      </c>
      <c r="G496" s="8">
        <f>IF(AND(E496="",F496=""),"",F496-E496)</f>
      </c>
      <c r="H496" t="inlineStr" s="5">
        <is>
          <t/>
        </is>
      </c>
      <c r="I496" t="inlineStr" s="5">
        <is>
          <t/>
        </is>
      </c>
    </row>
    <row r="497" ht="22" customHeight="1">
      <c r="A497" t="inlineStr" s="6">
        <is>
          <t/>
        </is>
      </c>
      <c r="B497" s="5">
        <f>IF(A497="","",TEXT(A497,"aaa"))</f>
      </c>
      <c r="C497" t="inlineStr" s="5">
        <is>
          <t/>
        </is>
      </c>
      <c r="D497" t="inlineStr" s="5">
        <is>
          <t/>
        </is>
      </c>
      <c r="E497" t="inlineStr" s="7">
        <is>
          <t/>
        </is>
      </c>
      <c r="F497" t="inlineStr" s="7">
        <is>
          <t/>
        </is>
      </c>
      <c r="G497" s="8">
        <f>IF(AND(E497="",F497=""),"",F497-E497)</f>
      </c>
      <c r="H497" t="inlineStr" s="5">
        <is>
          <t/>
        </is>
      </c>
      <c r="I497" t="inlineStr" s="5">
        <is>
          <t/>
        </is>
      </c>
    </row>
    <row r="498" ht="22" customHeight="1">
      <c r="A498" t="inlineStr" s="6">
        <is>
          <t/>
        </is>
      </c>
      <c r="B498" s="5">
        <f>IF(A498="","",TEXT(A498,"aaa"))</f>
      </c>
      <c r="C498" t="inlineStr" s="5">
        <is>
          <t/>
        </is>
      </c>
      <c r="D498" t="inlineStr" s="5">
        <is>
          <t/>
        </is>
      </c>
      <c r="E498" t="inlineStr" s="7">
        <is>
          <t/>
        </is>
      </c>
      <c r="F498" t="inlineStr" s="7">
        <is>
          <t/>
        </is>
      </c>
      <c r="G498" s="8">
        <f>IF(AND(E498="",F498=""),"",F498-E498)</f>
      </c>
      <c r="H498" t="inlineStr" s="5">
        <is>
          <t/>
        </is>
      </c>
      <c r="I498" t="inlineStr" s="5">
        <is>
          <t/>
        </is>
      </c>
    </row>
    <row r="499" ht="24" customHeight="1">
      <c r="A499" t="inlineStr" s="9">
        <is>
          <t>本周小计</t>
        </is>
      </c>
      <c r="B499" t="inlineStr" s="9">
        <is>
          <t/>
        </is>
      </c>
      <c r="C499" t="inlineStr" s="9">
        <is>
          <t/>
        </is>
      </c>
      <c r="D499" t="inlineStr" s="9">
        <is>
          <t/>
        </is>
      </c>
      <c r="E499" s="9">
        <f>SUM(E484:E498)</f>
      </c>
      <c r="F499" s="9">
        <f>SUM(F484:F498)</f>
      </c>
      <c r="G499" s="9">
        <f>SUM(G484:G498)</f>
      </c>
      <c r="H499" t="inlineStr" s="9">
        <is>
          <t/>
        </is>
      </c>
      <c r="I499" t="inlineStr" s="9">
        <is>
          <t/>
        </is>
      </c>
    </row>
    <row r="500" ht="18" customHeight="1">
      <c r="A500" t="inlineStr" s="10">
        <is>
          <t/>
        </is>
      </c>
      <c r="B500" t="inlineStr" s="10">
        <is>
          <t/>
        </is>
      </c>
      <c r="C500" t="inlineStr" s="10">
        <is>
          <t/>
        </is>
      </c>
      <c r="D500" t="inlineStr" s="10">
        <is>
          <t/>
        </is>
      </c>
      <c r="E500" t="inlineStr" s="10">
        <is>
          <t/>
        </is>
      </c>
      <c r="F500" t="inlineStr" s="10">
        <is>
          <t/>
        </is>
      </c>
      <c r="G500" t="inlineStr" s="10">
        <is>
          <t/>
        </is>
      </c>
      <c r="H500" t="inlineStr" s="10">
        <is>
          <t/>
        </is>
      </c>
      <c r="I500" t="inlineStr" s="10">
        <is>
          <t/>
        </is>
      </c>
    </row>
    <row r="501" ht="18" customHeight="1">
      <c r="A501" t="inlineStr" s="10">
        <is>
          <t/>
        </is>
      </c>
      <c r="B501" t="inlineStr" s="10">
        <is>
          <t/>
        </is>
      </c>
      <c r="C501" t="inlineStr" s="10">
        <is>
          <t/>
        </is>
      </c>
      <c r="D501" t="inlineStr" s="10">
        <is>
          <t/>
        </is>
      </c>
      <c r="E501" t="inlineStr" s="10">
        <is>
          <t/>
        </is>
      </c>
      <c r="F501" t="inlineStr" s="10">
        <is>
          <t/>
        </is>
      </c>
      <c r="G501" t="inlineStr" s="10">
        <is>
          <t/>
        </is>
      </c>
      <c r="H501" t="inlineStr" s="10">
        <is>
          <t/>
        </is>
      </c>
      <c r="I501" t="inlineStr" s="10">
        <is>
          <t/>
        </is>
      </c>
    </row>
    <row r="502" ht="28" customHeight="1">
      <c r="A502" t="inlineStr" s="3">
        <is>
          <t>2026年11月｜第四周（11月23日 - 11月29日）</t>
        </is>
      </c>
      <c r="B502" t="inlineStr" s="3">
        <is>
          <t/>
        </is>
      </c>
      <c r="C502" t="inlineStr" s="3">
        <is>
          <t/>
        </is>
      </c>
      <c r="D502" t="inlineStr" s="3">
        <is>
          <t/>
        </is>
      </c>
      <c r="E502" t="inlineStr" s="3">
        <is>
          <t/>
        </is>
      </c>
      <c r="F502" t="inlineStr" s="3">
        <is>
          <t/>
        </is>
      </c>
      <c r="G502" t="inlineStr" s="3">
        <is>
          <t/>
        </is>
      </c>
      <c r="H502" t="inlineStr" s="3">
        <is>
          <t/>
        </is>
      </c>
      <c r="I502" t="inlineStr" s="3">
        <is>
          <t/>
        </is>
      </c>
    </row>
    <row r="503" ht="23" customHeight="1">
      <c r="A503" t="inlineStr" s="4">
        <is>
          <t>日期</t>
        </is>
      </c>
      <c r="B503" t="inlineStr" s="4">
        <is>
          <t>星期</t>
        </is>
      </c>
      <c r="C503" t="inlineStr" s="4">
        <is>
          <t>分类</t>
        </is>
      </c>
      <c r="D503" t="inlineStr" s="4">
        <is>
          <t>事项</t>
        </is>
      </c>
      <c r="E503" t="inlineStr" s="4">
        <is>
          <t>支出金额</t>
        </is>
      </c>
      <c r="F503" t="inlineStr" s="4">
        <is>
          <t>收入金额</t>
        </is>
      </c>
      <c r="G503" t="inlineStr" s="4">
        <is>
          <t>当笔净额</t>
        </is>
      </c>
      <c r="H503" t="inlineStr" s="4">
        <is>
          <t>支付方式</t>
        </is>
      </c>
      <c r="I503" t="inlineStr" s="4">
        <is>
          <t>备注</t>
        </is>
      </c>
    </row>
    <row r="504" ht="22" customHeight="1">
      <c r="A504" t="inlineStr" s="6">
        <is>
          <t/>
        </is>
      </c>
      <c r="B504" s="5">
        <f>IF(A504="","",TEXT(A504,"aaa"))</f>
      </c>
      <c r="C504" t="inlineStr" s="5">
        <is>
          <t/>
        </is>
      </c>
      <c r="D504" t="inlineStr" s="5">
        <is>
          <t/>
        </is>
      </c>
      <c r="E504" t="inlineStr" s="7">
        <is>
          <t/>
        </is>
      </c>
      <c r="F504" t="inlineStr" s="7">
        <is>
          <t/>
        </is>
      </c>
      <c r="G504" s="8">
        <f>IF(AND(E504="",F504=""),"",F504-E504)</f>
      </c>
      <c r="H504" t="inlineStr" s="5">
        <is>
          <t/>
        </is>
      </c>
      <c r="I504" t="inlineStr" s="5">
        <is>
          <t/>
        </is>
      </c>
    </row>
    <row r="505" ht="22" customHeight="1">
      <c r="A505" t="inlineStr" s="6">
        <is>
          <t/>
        </is>
      </c>
      <c r="B505" s="5">
        <f>IF(A505="","",TEXT(A505,"aaa"))</f>
      </c>
      <c r="C505" t="inlineStr" s="5">
        <is>
          <t/>
        </is>
      </c>
      <c r="D505" t="inlineStr" s="5">
        <is>
          <t/>
        </is>
      </c>
      <c r="E505" t="inlineStr" s="7">
        <is>
          <t/>
        </is>
      </c>
      <c r="F505" t="inlineStr" s="7">
        <is>
          <t/>
        </is>
      </c>
      <c r="G505" s="8">
        <f>IF(AND(E505="",F505=""),"",F505-E505)</f>
      </c>
      <c r="H505" t="inlineStr" s="5">
        <is>
          <t/>
        </is>
      </c>
      <c r="I505" t="inlineStr" s="5">
        <is>
          <t/>
        </is>
      </c>
    </row>
    <row r="506" ht="22" customHeight="1">
      <c r="A506" t="inlineStr" s="6">
        <is>
          <t/>
        </is>
      </c>
      <c r="B506" s="5">
        <f>IF(A506="","",TEXT(A506,"aaa"))</f>
      </c>
      <c r="C506" t="inlineStr" s="5">
        <is>
          <t/>
        </is>
      </c>
      <c r="D506" t="inlineStr" s="5">
        <is>
          <t/>
        </is>
      </c>
      <c r="E506" t="inlineStr" s="7">
        <is>
          <t/>
        </is>
      </c>
      <c r="F506" t="inlineStr" s="7">
        <is>
          <t/>
        </is>
      </c>
      <c r="G506" s="8">
        <f>IF(AND(E506="",F506=""),"",F506-E506)</f>
      </c>
      <c r="H506" t="inlineStr" s="5">
        <is>
          <t/>
        </is>
      </c>
      <c r="I506" t="inlineStr" s="5">
        <is>
          <t/>
        </is>
      </c>
    </row>
    <row r="507" ht="22" customHeight="1">
      <c r="A507" t="inlineStr" s="6">
        <is>
          <t/>
        </is>
      </c>
      <c r="B507" s="5">
        <f>IF(A507="","",TEXT(A507,"aaa"))</f>
      </c>
      <c r="C507" t="inlineStr" s="5">
        <is>
          <t/>
        </is>
      </c>
      <c r="D507" t="inlineStr" s="5">
        <is>
          <t/>
        </is>
      </c>
      <c r="E507" t="inlineStr" s="7">
        <is>
          <t/>
        </is>
      </c>
      <c r="F507" t="inlineStr" s="7">
        <is>
          <t/>
        </is>
      </c>
      <c r="G507" s="8">
        <f>IF(AND(E507="",F507=""),"",F507-E507)</f>
      </c>
      <c r="H507" t="inlineStr" s="5">
        <is>
          <t/>
        </is>
      </c>
      <c r="I507" t="inlineStr" s="5">
        <is>
          <t/>
        </is>
      </c>
    </row>
    <row r="508" ht="22" customHeight="1">
      <c r="A508" t="inlineStr" s="6">
        <is>
          <t/>
        </is>
      </c>
      <c r="B508" s="5">
        <f>IF(A508="","",TEXT(A508,"aaa"))</f>
      </c>
      <c r="C508" t="inlineStr" s="5">
        <is>
          <t/>
        </is>
      </c>
      <c r="D508" t="inlineStr" s="5">
        <is>
          <t/>
        </is>
      </c>
      <c r="E508" t="inlineStr" s="7">
        <is>
          <t/>
        </is>
      </c>
      <c r="F508" t="inlineStr" s="7">
        <is>
          <t/>
        </is>
      </c>
      <c r="G508" s="8">
        <f>IF(AND(E508="",F508=""),"",F508-E508)</f>
      </c>
      <c r="H508" t="inlineStr" s="5">
        <is>
          <t/>
        </is>
      </c>
      <c r="I508" t="inlineStr" s="5">
        <is>
          <t/>
        </is>
      </c>
    </row>
    <row r="509" ht="22" customHeight="1">
      <c r="A509" t="inlineStr" s="6">
        <is>
          <t/>
        </is>
      </c>
      <c r="B509" s="5">
        <f>IF(A509="","",TEXT(A509,"aaa"))</f>
      </c>
      <c r="C509" t="inlineStr" s="5">
        <is>
          <t/>
        </is>
      </c>
      <c r="D509" t="inlineStr" s="5">
        <is>
          <t/>
        </is>
      </c>
      <c r="E509" t="inlineStr" s="7">
        <is>
          <t/>
        </is>
      </c>
      <c r="F509" t="inlineStr" s="7">
        <is>
          <t/>
        </is>
      </c>
      <c r="G509" s="8">
        <f>IF(AND(E509="",F509=""),"",F509-E509)</f>
      </c>
      <c r="H509" t="inlineStr" s="5">
        <is>
          <t/>
        </is>
      </c>
      <c r="I509" t="inlineStr" s="5">
        <is>
          <t/>
        </is>
      </c>
    </row>
    <row r="510" ht="22" customHeight="1">
      <c r="A510" t="inlineStr" s="6">
        <is>
          <t/>
        </is>
      </c>
      <c r="B510" s="5">
        <f>IF(A510="","",TEXT(A510,"aaa"))</f>
      </c>
      <c r="C510" t="inlineStr" s="5">
        <is>
          <t/>
        </is>
      </c>
      <c r="D510" t="inlineStr" s="5">
        <is>
          <t/>
        </is>
      </c>
      <c r="E510" t="inlineStr" s="7">
        <is>
          <t/>
        </is>
      </c>
      <c r="F510" t="inlineStr" s="7">
        <is>
          <t/>
        </is>
      </c>
      <c r="G510" s="8">
        <f>IF(AND(E510="",F510=""),"",F510-E510)</f>
      </c>
      <c r="H510" t="inlineStr" s="5">
        <is>
          <t/>
        </is>
      </c>
      <c r="I510" t="inlineStr" s="5">
        <is>
          <t/>
        </is>
      </c>
    </row>
    <row r="511" ht="22" customHeight="1">
      <c r="A511" t="inlineStr" s="6">
        <is>
          <t/>
        </is>
      </c>
      <c r="B511" s="5">
        <f>IF(A511="","",TEXT(A511,"aaa"))</f>
      </c>
      <c r="C511" t="inlineStr" s="5">
        <is>
          <t/>
        </is>
      </c>
      <c r="D511" t="inlineStr" s="5">
        <is>
          <t/>
        </is>
      </c>
      <c r="E511" t="inlineStr" s="7">
        <is>
          <t/>
        </is>
      </c>
      <c r="F511" t="inlineStr" s="7">
        <is>
          <t/>
        </is>
      </c>
      <c r="G511" s="8">
        <f>IF(AND(E511="",F511=""),"",F511-E511)</f>
      </c>
      <c r="H511" t="inlineStr" s="5">
        <is>
          <t/>
        </is>
      </c>
      <c r="I511" t="inlineStr" s="5">
        <is>
          <t/>
        </is>
      </c>
    </row>
    <row r="512" ht="22" customHeight="1">
      <c r="A512" t="inlineStr" s="6">
        <is>
          <t/>
        </is>
      </c>
      <c r="B512" s="5">
        <f>IF(A512="","",TEXT(A512,"aaa"))</f>
      </c>
      <c r="C512" t="inlineStr" s="5">
        <is>
          <t/>
        </is>
      </c>
      <c r="D512" t="inlineStr" s="5">
        <is>
          <t/>
        </is>
      </c>
      <c r="E512" t="inlineStr" s="7">
        <is>
          <t/>
        </is>
      </c>
      <c r="F512" t="inlineStr" s="7">
        <is>
          <t/>
        </is>
      </c>
      <c r="G512" s="8">
        <f>IF(AND(E512="",F512=""),"",F512-E512)</f>
      </c>
      <c r="H512" t="inlineStr" s="5">
        <is>
          <t/>
        </is>
      </c>
      <c r="I512" t="inlineStr" s="5">
        <is>
          <t/>
        </is>
      </c>
    </row>
    <row r="513" ht="22" customHeight="1">
      <c r="A513" t="inlineStr" s="6">
        <is>
          <t/>
        </is>
      </c>
      <c r="B513" s="5">
        <f>IF(A513="","",TEXT(A513,"aaa"))</f>
      </c>
      <c r="C513" t="inlineStr" s="5">
        <is>
          <t/>
        </is>
      </c>
      <c r="D513" t="inlineStr" s="5">
        <is>
          <t/>
        </is>
      </c>
      <c r="E513" t="inlineStr" s="7">
        <is>
          <t/>
        </is>
      </c>
      <c r="F513" t="inlineStr" s="7">
        <is>
          <t/>
        </is>
      </c>
      <c r="G513" s="8">
        <f>IF(AND(E513="",F513=""),"",F513-E513)</f>
      </c>
      <c r="H513" t="inlineStr" s="5">
        <is>
          <t/>
        </is>
      </c>
      <c r="I513" t="inlineStr" s="5">
        <is>
          <t/>
        </is>
      </c>
    </row>
    <row r="514" ht="22" customHeight="1">
      <c r="A514" t="inlineStr" s="6">
        <is>
          <t/>
        </is>
      </c>
      <c r="B514" s="5">
        <f>IF(A514="","",TEXT(A514,"aaa"))</f>
      </c>
      <c r="C514" t="inlineStr" s="5">
        <is>
          <t/>
        </is>
      </c>
      <c r="D514" t="inlineStr" s="5">
        <is>
          <t/>
        </is>
      </c>
      <c r="E514" t="inlineStr" s="7">
        <is>
          <t/>
        </is>
      </c>
      <c r="F514" t="inlineStr" s="7">
        <is>
          <t/>
        </is>
      </c>
      <c r="G514" s="8">
        <f>IF(AND(E514="",F514=""),"",F514-E514)</f>
      </c>
      <c r="H514" t="inlineStr" s="5">
        <is>
          <t/>
        </is>
      </c>
      <c r="I514" t="inlineStr" s="5">
        <is>
          <t/>
        </is>
      </c>
    </row>
    <row r="515" ht="22" customHeight="1">
      <c r="A515" t="inlineStr" s="6">
        <is>
          <t/>
        </is>
      </c>
      <c r="B515" s="5">
        <f>IF(A515="","",TEXT(A515,"aaa"))</f>
      </c>
      <c r="C515" t="inlineStr" s="5">
        <is>
          <t/>
        </is>
      </c>
      <c r="D515" t="inlineStr" s="5">
        <is>
          <t/>
        </is>
      </c>
      <c r="E515" t="inlineStr" s="7">
        <is>
          <t/>
        </is>
      </c>
      <c r="F515" t="inlineStr" s="7">
        <is>
          <t/>
        </is>
      </c>
      <c r="G515" s="8">
        <f>IF(AND(E515="",F515=""),"",F515-E515)</f>
      </c>
      <c r="H515" t="inlineStr" s="5">
        <is>
          <t/>
        </is>
      </c>
      <c r="I515" t="inlineStr" s="5">
        <is>
          <t/>
        </is>
      </c>
    </row>
    <row r="516" ht="22" customHeight="1">
      <c r="A516" t="inlineStr" s="6">
        <is>
          <t/>
        </is>
      </c>
      <c r="B516" s="5">
        <f>IF(A516="","",TEXT(A516,"aaa"))</f>
      </c>
      <c r="C516" t="inlineStr" s="5">
        <is>
          <t/>
        </is>
      </c>
      <c r="D516" t="inlineStr" s="5">
        <is>
          <t/>
        </is>
      </c>
      <c r="E516" t="inlineStr" s="7">
        <is>
          <t/>
        </is>
      </c>
      <c r="F516" t="inlineStr" s="7">
        <is>
          <t/>
        </is>
      </c>
      <c r="G516" s="8">
        <f>IF(AND(E516="",F516=""),"",F516-E516)</f>
      </c>
      <c r="H516" t="inlineStr" s="5">
        <is>
          <t/>
        </is>
      </c>
      <c r="I516" t="inlineStr" s="5">
        <is>
          <t/>
        </is>
      </c>
    </row>
    <row r="517" ht="22" customHeight="1">
      <c r="A517" t="inlineStr" s="6">
        <is>
          <t/>
        </is>
      </c>
      <c r="B517" s="5">
        <f>IF(A517="","",TEXT(A517,"aaa"))</f>
      </c>
      <c r="C517" t="inlineStr" s="5">
        <is>
          <t/>
        </is>
      </c>
      <c r="D517" t="inlineStr" s="5">
        <is>
          <t/>
        </is>
      </c>
      <c r="E517" t="inlineStr" s="7">
        <is>
          <t/>
        </is>
      </c>
      <c r="F517" t="inlineStr" s="7">
        <is>
          <t/>
        </is>
      </c>
      <c r="G517" s="8">
        <f>IF(AND(E517="",F517=""),"",F517-E517)</f>
      </c>
      <c r="H517" t="inlineStr" s="5">
        <is>
          <t/>
        </is>
      </c>
      <c r="I517" t="inlineStr" s="5">
        <is>
          <t/>
        </is>
      </c>
    </row>
    <row r="518" ht="22" customHeight="1">
      <c r="A518" t="inlineStr" s="6">
        <is>
          <t/>
        </is>
      </c>
      <c r="B518" s="5">
        <f>IF(A518="","",TEXT(A518,"aaa"))</f>
      </c>
      <c r="C518" t="inlineStr" s="5">
        <is>
          <t/>
        </is>
      </c>
      <c r="D518" t="inlineStr" s="5">
        <is>
          <t/>
        </is>
      </c>
      <c r="E518" t="inlineStr" s="7">
        <is>
          <t/>
        </is>
      </c>
      <c r="F518" t="inlineStr" s="7">
        <is>
          <t/>
        </is>
      </c>
      <c r="G518" s="8">
        <f>IF(AND(E518="",F518=""),"",F518-E518)</f>
      </c>
      <c r="H518" t="inlineStr" s="5">
        <is>
          <t/>
        </is>
      </c>
      <c r="I518" t="inlineStr" s="5">
        <is>
          <t/>
        </is>
      </c>
    </row>
    <row r="519" ht="24" customHeight="1">
      <c r="A519" t="inlineStr" s="9">
        <is>
          <t>本周小计</t>
        </is>
      </c>
      <c r="B519" t="inlineStr" s="9">
        <is>
          <t/>
        </is>
      </c>
      <c r="C519" t="inlineStr" s="9">
        <is>
          <t/>
        </is>
      </c>
      <c r="D519" t="inlineStr" s="9">
        <is>
          <t/>
        </is>
      </c>
      <c r="E519" s="9">
        <f>SUM(E504:E518)</f>
      </c>
      <c r="F519" s="9">
        <f>SUM(F504:F518)</f>
      </c>
      <c r="G519" s="9">
        <f>SUM(G504:G518)</f>
      </c>
      <c r="H519" t="inlineStr" s="9">
        <is>
          <t/>
        </is>
      </c>
      <c r="I519" t="inlineStr" s="9">
        <is>
          <t/>
        </is>
      </c>
    </row>
    <row r="520" ht="18" customHeight="1">
      <c r="A520" t="inlineStr" s="10">
        <is>
          <t/>
        </is>
      </c>
      <c r="B520" t="inlineStr" s="10">
        <is>
          <t/>
        </is>
      </c>
      <c r="C520" t="inlineStr" s="10">
        <is>
          <t/>
        </is>
      </c>
      <c r="D520" t="inlineStr" s="10">
        <is>
          <t/>
        </is>
      </c>
      <c r="E520" t="inlineStr" s="10">
        <is>
          <t/>
        </is>
      </c>
      <c r="F520" t="inlineStr" s="10">
        <is>
          <t/>
        </is>
      </c>
      <c r="G520" t="inlineStr" s="10">
        <is>
          <t/>
        </is>
      </c>
      <c r="H520" t="inlineStr" s="10">
        <is>
          <t/>
        </is>
      </c>
      <c r="I520" t="inlineStr" s="10">
        <is>
          <t/>
        </is>
      </c>
    </row>
    <row r="521" ht="18" customHeight="1">
      <c r="A521" t="inlineStr" s="10">
        <is>
          <t/>
        </is>
      </c>
      <c r="B521" t="inlineStr" s="10">
        <is>
          <t/>
        </is>
      </c>
      <c r="C521" t="inlineStr" s="10">
        <is>
          <t/>
        </is>
      </c>
      <c r="D521" t="inlineStr" s="10">
        <is>
          <t/>
        </is>
      </c>
      <c r="E521" t="inlineStr" s="10">
        <is>
          <t/>
        </is>
      </c>
      <c r="F521" t="inlineStr" s="10">
        <is>
          <t/>
        </is>
      </c>
      <c r="G521" t="inlineStr" s="10">
        <is>
          <t/>
        </is>
      </c>
      <c r="H521" t="inlineStr" s="10">
        <is>
          <t/>
        </is>
      </c>
      <c r="I521" t="inlineStr" s="10">
        <is>
          <t/>
        </is>
      </c>
    </row>
    <row r="522" ht="28" customHeight="1">
      <c r="A522" t="inlineStr" s="3">
        <is>
          <t>2026年11月-12月｜第五周（11月30日 - 12月6日）</t>
        </is>
      </c>
      <c r="B522" t="inlineStr" s="3">
        <is>
          <t/>
        </is>
      </c>
      <c r="C522" t="inlineStr" s="3">
        <is>
          <t/>
        </is>
      </c>
      <c r="D522" t="inlineStr" s="3">
        <is>
          <t/>
        </is>
      </c>
      <c r="E522" t="inlineStr" s="3">
        <is>
          <t/>
        </is>
      </c>
      <c r="F522" t="inlineStr" s="3">
        <is>
          <t/>
        </is>
      </c>
      <c r="G522" t="inlineStr" s="3">
        <is>
          <t/>
        </is>
      </c>
      <c r="H522" t="inlineStr" s="3">
        <is>
          <t/>
        </is>
      </c>
      <c r="I522" t="inlineStr" s="3">
        <is>
          <t/>
        </is>
      </c>
    </row>
    <row r="523" ht="23" customHeight="1">
      <c r="A523" t="inlineStr" s="4">
        <is>
          <t>日期</t>
        </is>
      </c>
      <c r="B523" t="inlineStr" s="4">
        <is>
          <t>星期</t>
        </is>
      </c>
      <c r="C523" t="inlineStr" s="4">
        <is>
          <t>分类</t>
        </is>
      </c>
      <c r="D523" t="inlineStr" s="4">
        <is>
          <t>事项</t>
        </is>
      </c>
      <c r="E523" t="inlineStr" s="4">
        <is>
          <t>支出金额</t>
        </is>
      </c>
      <c r="F523" t="inlineStr" s="4">
        <is>
          <t>收入金额</t>
        </is>
      </c>
      <c r="G523" t="inlineStr" s="4">
        <is>
          <t>当笔净额</t>
        </is>
      </c>
      <c r="H523" t="inlineStr" s="4">
        <is>
          <t>支付方式</t>
        </is>
      </c>
      <c r="I523" t="inlineStr" s="4">
        <is>
          <t>备注</t>
        </is>
      </c>
    </row>
    <row r="524" ht="22" customHeight="1">
      <c r="A524" t="inlineStr" s="6">
        <is>
          <t/>
        </is>
      </c>
      <c r="B524" s="5">
        <f>IF(A524="","",TEXT(A524,"aaa"))</f>
      </c>
      <c r="C524" t="inlineStr" s="5">
        <is>
          <t/>
        </is>
      </c>
      <c r="D524" t="inlineStr" s="5">
        <is>
          <t/>
        </is>
      </c>
      <c r="E524" t="inlineStr" s="7">
        <is>
          <t/>
        </is>
      </c>
      <c r="F524" t="inlineStr" s="7">
        <is>
          <t/>
        </is>
      </c>
      <c r="G524" s="8">
        <f>IF(AND(E524="",F524=""),"",F524-E524)</f>
      </c>
      <c r="H524" t="inlineStr" s="5">
        <is>
          <t/>
        </is>
      </c>
      <c r="I524" t="inlineStr" s="5">
        <is>
          <t/>
        </is>
      </c>
    </row>
    <row r="525" ht="22" customHeight="1">
      <c r="A525" t="inlineStr" s="6">
        <is>
          <t/>
        </is>
      </c>
      <c r="B525" s="5">
        <f>IF(A525="","",TEXT(A525,"aaa"))</f>
      </c>
      <c r="C525" t="inlineStr" s="5">
        <is>
          <t/>
        </is>
      </c>
      <c r="D525" t="inlineStr" s="5">
        <is>
          <t/>
        </is>
      </c>
      <c r="E525" t="inlineStr" s="7">
        <is>
          <t/>
        </is>
      </c>
      <c r="F525" t="inlineStr" s="7">
        <is>
          <t/>
        </is>
      </c>
      <c r="G525" s="8">
        <f>IF(AND(E525="",F525=""),"",F525-E525)</f>
      </c>
      <c r="H525" t="inlineStr" s="5">
        <is>
          <t/>
        </is>
      </c>
      <c r="I525" t="inlineStr" s="5">
        <is>
          <t/>
        </is>
      </c>
    </row>
    <row r="526" ht="22" customHeight="1">
      <c r="A526" t="inlineStr" s="6">
        <is>
          <t/>
        </is>
      </c>
      <c r="B526" s="5">
        <f>IF(A526="","",TEXT(A526,"aaa"))</f>
      </c>
      <c r="C526" t="inlineStr" s="5">
        <is>
          <t/>
        </is>
      </c>
      <c r="D526" t="inlineStr" s="5">
        <is>
          <t/>
        </is>
      </c>
      <c r="E526" t="inlineStr" s="7">
        <is>
          <t/>
        </is>
      </c>
      <c r="F526" t="inlineStr" s="7">
        <is>
          <t/>
        </is>
      </c>
      <c r="G526" s="8">
        <f>IF(AND(E526="",F526=""),"",F526-E526)</f>
      </c>
      <c r="H526" t="inlineStr" s="5">
        <is>
          <t/>
        </is>
      </c>
      <c r="I526" t="inlineStr" s="5">
        <is>
          <t/>
        </is>
      </c>
    </row>
    <row r="527" ht="22" customHeight="1">
      <c r="A527" t="inlineStr" s="6">
        <is>
          <t/>
        </is>
      </c>
      <c r="B527" s="5">
        <f>IF(A527="","",TEXT(A527,"aaa"))</f>
      </c>
      <c r="C527" t="inlineStr" s="5">
        <is>
          <t/>
        </is>
      </c>
      <c r="D527" t="inlineStr" s="5">
        <is>
          <t/>
        </is>
      </c>
      <c r="E527" t="inlineStr" s="7">
        <is>
          <t/>
        </is>
      </c>
      <c r="F527" t="inlineStr" s="7">
        <is>
          <t/>
        </is>
      </c>
      <c r="G527" s="8">
        <f>IF(AND(E527="",F527=""),"",F527-E527)</f>
      </c>
      <c r="H527" t="inlineStr" s="5">
        <is>
          <t/>
        </is>
      </c>
      <c r="I527" t="inlineStr" s="5">
        <is>
          <t/>
        </is>
      </c>
    </row>
    <row r="528" ht="22" customHeight="1">
      <c r="A528" t="inlineStr" s="6">
        <is>
          <t/>
        </is>
      </c>
      <c r="B528" s="5">
        <f>IF(A528="","",TEXT(A528,"aaa"))</f>
      </c>
      <c r="C528" t="inlineStr" s="5">
        <is>
          <t/>
        </is>
      </c>
      <c r="D528" t="inlineStr" s="5">
        <is>
          <t/>
        </is>
      </c>
      <c r="E528" t="inlineStr" s="7">
        <is>
          <t/>
        </is>
      </c>
      <c r="F528" t="inlineStr" s="7">
        <is>
          <t/>
        </is>
      </c>
      <c r="G528" s="8">
        <f>IF(AND(E528="",F528=""),"",F528-E528)</f>
      </c>
      <c r="H528" t="inlineStr" s="5">
        <is>
          <t/>
        </is>
      </c>
      <c r="I528" t="inlineStr" s="5">
        <is>
          <t/>
        </is>
      </c>
    </row>
    <row r="529" ht="22" customHeight="1">
      <c r="A529" t="inlineStr" s="6">
        <is>
          <t/>
        </is>
      </c>
      <c r="B529" s="5">
        <f>IF(A529="","",TEXT(A529,"aaa"))</f>
      </c>
      <c r="C529" t="inlineStr" s="5">
        <is>
          <t/>
        </is>
      </c>
      <c r="D529" t="inlineStr" s="5">
        <is>
          <t/>
        </is>
      </c>
      <c r="E529" t="inlineStr" s="7">
        <is>
          <t/>
        </is>
      </c>
      <c r="F529" t="inlineStr" s="7">
        <is>
          <t/>
        </is>
      </c>
      <c r="G529" s="8">
        <f>IF(AND(E529="",F529=""),"",F529-E529)</f>
      </c>
      <c r="H529" t="inlineStr" s="5">
        <is>
          <t/>
        </is>
      </c>
      <c r="I529" t="inlineStr" s="5">
        <is>
          <t/>
        </is>
      </c>
    </row>
    <row r="530" ht="22" customHeight="1">
      <c r="A530" t="inlineStr" s="6">
        <is>
          <t/>
        </is>
      </c>
      <c r="B530" s="5">
        <f>IF(A530="","",TEXT(A530,"aaa"))</f>
      </c>
      <c r="C530" t="inlineStr" s="5">
        <is>
          <t/>
        </is>
      </c>
      <c r="D530" t="inlineStr" s="5">
        <is>
          <t/>
        </is>
      </c>
      <c r="E530" t="inlineStr" s="7">
        <is>
          <t/>
        </is>
      </c>
      <c r="F530" t="inlineStr" s="7">
        <is>
          <t/>
        </is>
      </c>
      <c r="G530" s="8">
        <f>IF(AND(E530="",F530=""),"",F530-E530)</f>
      </c>
      <c r="H530" t="inlineStr" s="5">
        <is>
          <t/>
        </is>
      </c>
      <c r="I530" t="inlineStr" s="5">
        <is>
          <t/>
        </is>
      </c>
    </row>
    <row r="531" ht="22" customHeight="1">
      <c r="A531" t="inlineStr" s="6">
        <is>
          <t/>
        </is>
      </c>
      <c r="B531" s="5">
        <f>IF(A531="","",TEXT(A531,"aaa"))</f>
      </c>
      <c r="C531" t="inlineStr" s="5">
        <is>
          <t/>
        </is>
      </c>
      <c r="D531" t="inlineStr" s="5">
        <is>
          <t/>
        </is>
      </c>
      <c r="E531" t="inlineStr" s="7">
        <is>
          <t/>
        </is>
      </c>
      <c r="F531" t="inlineStr" s="7">
        <is>
          <t/>
        </is>
      </c>
      <c r="G531" s="8">
        <f>IF(AND(E531="",F531=""),"",F531-E531)</f>
      </c>
      <c r="H531" t="inlineStr" s="5">
        <is>
          <t/>
        </is>
      </c>
      <c r="I531" t="inlineStr" s="5">
        <is>
          <t/>
        </is>
      </c>
    </row>
    <row r="532" ht="22" customHeight="1">
      <c r="A532" t="inlineStr" s="6">
        <is>
          <t/>
        </is>
      </c>
      <c r="B532" s="5">
        <f>IF(A532="","",TEXT(A532,"aaa"))</f>
      </c>
      <c r="C532" t="inlineStr" s="5">
        <is>
          <t/>
        </is>
      </c>
      <c r="D532" t="inlineStr" s="5">
        <is>
          <t/>
        </is>
      </c>
      <c r="E532" t="inlineStr" s="7">
        <is>
          <t/>
        </is>
      </c>
      <c r="F532" t="inlineStr" s="7">
        <is>
          <t/>
        </is>
      </c>
      <c r="G532" s="8">
        <f>IF(AND(E532="",F532=""),"",F532-E532)</f>
      </c>
      <c r="H532" t="inlineStr" s="5">
        <is>
          <t/>
        </is>
      </c>
      <c r="I532" t="inlineStr" s="5">
        <is>
          <t/>
        </is>
      </c>
    </row>
    <row r="533" ht="22" customHeight="1">
      <c r="A533" t="inlineStr" s="6">
        <is>
          <t/>
        </is>
      </c>
      <c r="B533" s="5">
        <f>IF(A533="","",TEXT(A533,"aaa"))</f>
      </c>
      <c r="C533" t="inlineStr" s="5">
        <is>
          <t/>
        </is>
      </c>
      <c r="D533" t="inlineStr" s="5">
        <is>
          <t/>
        </is>
      </c>
      <c r="E533" t="inlineStr" s="7">
        <is>
          <t/>
        </is>
      </c>
      <c r="F533" t="inlineStr" s="7">
        <is>
          <t/>
        </is>
      </c>
      <c r="G533" s="8">
        <f>IF(AND(E533="",F533=""),"",F533-E533)</f>
      </c>
      <c r="H533" t="inlineStr" s="5">
        <is>
          <t/>
        </is>
      </c>
      <c r="I533" t="inlineStr" s="5">
        <is>
          <t/>
        </is>
      </c>
    </row>
    <row r="534" ht="22" customHeight="1">
      <c r="A534" t="inlineStr" s="6">
        <is>
          <t/>
        </is>
      </c>
      <c r="B534" s="5">
        <f>IF(A534="","",TEXT(A534,"aaa"))</f>
      </c>
      <c r="C534" t="inlineStr" s="5">
        <is>
          <t/>
        </is>
      </c>
      <c r="D534" t="inlineStr" s="5">
        <is>
          <t/>
        </is>
      </c>
      <c r="E534" t="inlineStr" s="7">
        <is>
          <t/>
        </is>
      </c>
      <c r="F534" t="inlineStr" s="7">
        <is>
          <t/>
        </is>
      </c>
      <c r="G534" s="8">
        <f>IF(AND(E534="",F534=""),"",F534-E534)</f>
      </c>
      <c r="H534" t="inlineStr" s="5">
        <is>
          <t/>
        </is>
      </c>
      <c r="I534" t="inlineStr" s="5">
        <is>
          <t/>
        </is>
      </c>
    </row>
    <row r="535" ht="22" customHeight="1">
      <c r="A535" t="inlineStr" s="6">
        <is>
          <t/>
        </is>
      </c>
      <c r="B535" s="5">
        <f>IF(A535="","",TEXT(A535,"aaa"))</f>
      </c>
      <c r="C535" t="inlineStr" s="5">
        <is>
          <t/>
        </is>
      </c>
      <c r="D535" t="inlineStr" s="5">
        <is>
          <t/>
        </is>
      </c>
      <c r="E535" t="inlineStr" s="7">
        <is>
          <t/>
        </is>
      </c>
      <c r="F535" t="inlineStr" s="7">
        <is>
          <t/>
        </is>
      </c>
      <c r="G535" s="8">
        <f>IF(AND(E535="",F535=""),"",F535-E535)</f>
      </c>
      <c r="H535" t="inlineStr" s="5">
        <is>
          <t/>
        </is>
      </c>
      <c r="I535" t="inlineStr" s="5">
        <is>
          <t/>
        </is>
      </c>
    </row>
    <row r="536" ht="22" customHeight="1">
      <c r="A536" t="inlineStr" s="6">
        <is>
          <t/>
        </is>
      </c>
      <c r="B536" s="5">
        <f>IF(A536="","",TEXT(A536,"aaa"))</f>
      </c>
      <c r="C536" t="inlineStr" s="5">
        <is>
          <t/>
        </is>
      </c>
      <c r="D536" t="inlineStr" s="5">
        <is>
          <t/>
        </is>
      </c>
      <c r="E536" t="inlineStr" s="7">
        <is>
          <t/>
        </is>
      </c>
      <c r="F536" t="inlineStr" s="7">
        <is>
          <t/>
        </is>
      </c>
      <c r="G536" s="8">
        <f>IF(AND(E536="",F536=""),"",F536-E536)</f>
      </c>
      <c r="H536" t="inlineStr" s="5">
        <is>
          <t/>
        </is>
      </c>
      <c r="I536" t="inlineStr" s="5">
        <is>
          <t/>
        </is>
      </c>
    </row>
    <row r="537" ht="22" customHeight="1">
      <c r="A537" t="inlineStr" s="6">
        <is>
          <t/>
        </is>
      </c>
      <c r="B537" s="5">
        <f>IF(A537="","",TEXT(A537,"aaa"))</f>
      </c>
      <c r="C537" t="inlineStr" s="5">
        <is>
          <t/>
        </is>
      </c>
      <c r="D537" t="inlineStr" s="5">
        <is>
          <t/>
        </is>
      </c>
      <c r="E537" t="inlineStr" s="7">
        <is>
          <t/>
        </is>
      </c>
      <c r="F537" t="inlineStr" s="7">
        <is>
          <t/>
        </is>
      </c>
      <c r="G537" s="8">
        <f>IF(AND(E537="",F537=""),"",F537-E537)</f>
      </c>
      <c r="H537" t="inlineStr" s="5">
        <is>
          <t/>
        </is>
      </c>
      <c r="I537" t="inlineStr" s="5">
        <is>
          <t/>
        </is>
      </c>
    </row>
    <row r="538" ht="22" customHeight="1">
      <c r="A538" t="inlineStr" s="6">
        <is>
          <t/>
        </is>
      </c>
      <c r="B538" s="5">
        <f>IF(A538="","",TEXT(A538,"aaa"))</f>
      </c>
      <c r="C538" t="inlineStr" s="5">
        <is>
          <t/>
        </is>
      </c>
      <c r="D538" t="inlineStr" s="5">
        <is>
          <t/>
        </is>
      </c>
      <c r="E538" t="inlineStr" s="7">
        <is>
          <t/>
        </is>
      </c>
      <c r="F538" t="inlineStr" s="7">
        <is>
          <t/>
        </is>
      </c>
      <c r="G538" s="8">
        <f>IF(AND(E538="",F538=""),"",F538-E538)</f>
      </c>
      <c r="H538" t="inlineStr" s="5">
        <is>
          <t/>
        </is>
      </c>
      <c r="I538" t="inlineStr" s="5">
        <is>
          <t/>
        </is>
      </c>
    </row>
    <row r="539" ht="24" customHeight="1">
      <c r="A539" t="inlineStr" s="9">
        <is>
          <t>本周小计</t>
        </is>
      </c>
      <c r="B539" t="inlineStr" s="9">
        <is>
          <t/>
        </is>
      </c>
      <c r="C539" t="inlineStr" s="9">
        <is>
          <t/>
        </is>
      </c>
      <c r="D539" t="inlineStr" s="9">
        <is>
          <t/>
        </is>
      </c>
      <c r="E539" s="9">
        <f>SUM(E524:E538)</f>
      </c>
      <c r="F539" s="9">
        <f>SUM(F524:F538)</f>
      </c>
      <c r="G539" s="9">
        <f>SUM(G524:G538)</f>
      </c>
      <c r="H539" t="inlineStr" s="9">
        <is>
          <t/>
        </is>
      </c>
      <c r="I539" t="inlineStr" s="9">
        <is>
          <t/>
        </is>
      </c>
    </row>
    <row r="540" ht="18" customHeight="1">
      <c r="A540" t="inlineStr" s="10">
        <is>
          <t/>
        </is>
      </c>
      <c r="B540" t="inlineStr" s="10">
        <is>
          <t/>
        </is>
      </c>
      <c r="C540" t="inlineStr" s="10">
        <is>
          <t/>
        </is>
      </c>
      <c r="D540" t="inlineStr" s="10">
        <is>
          <t/>
        </is>
      </c>
      <c r="E540" t="inlineStr" s="10">
        <is>
          <t/>
        </is>
      </c>
      <c r="F540" t="inlineStr" s="10">
        <is>
          <t/>
        </is>
      </c>
      <c r="G540" t="inlineStr" s="10">
        <is>
          <t/>
        </is>
      </c>
      <c r="H540" t="inlineStr" s="10">
        <is>
          <t/>
        </is>
      </c>
      <c r="I540" t="inlineStr" s="10">
        <is>
          <t/>
        </is>
      </c>
    </row>
    <row r="541" ht="18" customHeight="1">
      <c r="A541" t="inlineStr" s="10">
        <is>
          <t/>
        </is>
      </c>
      <c r="B541" t="inlineStr" s="10">
        <is>
          <t/>
        </is>
      </c>
      <c r="C541" t="inlineStr" s="10">
        <is>
          <t/>
        </is>
      </c>
      <c r="D541" t="inlineStr" s="10">
        <is>
          <t/>
        </is>
      </c>
      <c r="E541" t="inlineStr" s="10">
        <is>
          <t/>
        </is>
      </c>
      <c r="F541" t="inlineStr" s="10">
        <is>
          <t/>
        </is>
      </c>
      <c r="G541" t="inlineStr" s="10">
        <is>
          <t/>
        </is>
      </c>
      <c r="H541" t="inlineStr" s="10">
        <is>
          <t/>
        </is>
      </c>
      <c r="I541" t="inlineStr" s="10">
        <is>
          <t/>
        </is>
      </c>
    </row>
    <row r="542" ht="28" customHeight="1">
      <c r="A542" t="inlineStr" s="3">
        <is>
          <t>2026年12月｜第一周（12月7日 - 12月13日）</t>
        </is>
      </c>
      <c r="B542" t="inlineStr" s="3">
        <is>
          <t/>
        </is>
      </c>
      <c r="C542" t="inlineStr" s="3">
        <is>
          <t/>
        </is>
      </c>
      <c r="D542" t="inlineStr" s="3">
        <is>
          <t/>
        </is>
      </c>
      <c r="E542" t="inlineStr" s="3">
        <is>
          <t/>
        </is>
      </c>
      <c r="F542" t="inlineStr" s="3">
        <is>
          <t/>
        </is>
      </c>
      <c r="G542" t="inlineStr" s="3">
        <is>
          <t/>
        </is>
      </c>
      <c r="H542" t="inlineStr" s="3">
        <is>
          <t/>
        </is>
      </c>
      <c r="I542" t="inlineStr" s="3">
        <is>
          <t/>
        </is>
      </c>
    </row>
    <row r="543" ht="23" customHeight="1">
      <c r="A543" t="inlineStr" s="4">
        <is>
          <t>日期</t>
        </is>
      </c>
      <c r="B543" t="inlineStr" s="4">
        <is>
          <t>星期</t>
        </is>
      </c>
      <c r="C543" t="inlineStr" s="4">
        <is>
          <t>分类</t>
        </is>
      </c>
      <c r="D543" t="inlineStr" s="4">
        <is>
          <t>事项</t>
        </is>
      </c>
      <c r="E543" t="inlineStr" s="4">
        <is>
          <t>支出金额</t>
        </is>
      </c>
      <c r="F543" t="inlineStr" s="4">
        <is>
          <t>收入金额</t>
        </is>
      </c>
      <c r="G543" t="inlineStr" s="4">
        <is>
          <t>当笔净额</t>
        </is>
      </c>
      <c r="H543" t="inlineStr" s="4">
        <is>
          <t>支付方式</t>
        </is>
      </c>
      <c r="I543" t="inlineStr" s="4">
        <is>
          <t>备注</t>
        </is>
      </c>
    </row>
    <row r="544" ht="22" customHeight="1">
      <c r="A544" t="inlineStr" s="6">
        <is>
          <t/>
        </is>
      </c>
      <c r="B544" s="5">
        <f>IF(A544="","",TEXT(A544,"aaa"))</f>
      </c>
      <c r="C544" t="inlineStr" s="5">
        <is>
          <t/>
        </is>
      </c>
      <c r="D544" t="inlineStr" s="5">
        <is>
          <t/>
        </is>
      </c>
      <c r="E544" t="inlineStr" s="7">
        <is>
          <t/>
        </is>
      </c>
      <c r="F544" t="inlineStr" s="7">
        <is>
          <t/>
        </is>
      </c>
      <c r="G544" s="8">
        <f>IF(AND(E544="",F544=""),"",F544-E544)</f>
      </c>
      <c r="H544" t="inlineStr" s="5">
        <is>
          <t/>
        </is>
      </c>
      <c r="I544" t="inlineStr" s="5">
        <is>
          <t/>
        </is>
      </c>
    </row>
    <row r="545" ht="22" customHeight="1">
      <c r="A545" t="inlineStr" s="6">
        <is>
          <t/>
        </is>
      </c>
      <c r="B545" s="5">
        <f>IF(A545="","",TEXT(A545,"aaa"))</f>
      </c>
      <c r="C545" t="inlineStr" s="5">
        <is>
          <t/>
        </is>
      </c>
      <c r="D545" t="inlineStr" s="5">
        <is>
          <t/>
        </is>
      </c>
      <c r="E545" t="inlineStr" s="7">
        <is>
          <t/>
        </is>
      </c>
      <c r="F545" t="inlineStr" s="7">
        <is>
          <t/>
        </is>
      </c>
      <c r="G545" s="8">
        <f>IF(AND(E545="",F545=""),"",F545-E545)</f>
      </c>
      <c r="H545" t="inlineStr" s="5">
        <is>
          <t/>
        </is>
      </c>
      <c r="I545" t="inlineStr" s="5">
        <is>
          <t/>
        </is>
      </c>
    </row>
    <row r="546" ht="22" customHeight="1">
      <c r="A546" t="inlineStr" s="6">
        <is>
          <t/>
        </is>
      </c>
      <c r="B546" s="5">
        <f>IF(A546="","",TEXT(A546,"aaa"))</f>
      </c>
      <c r="C546" t="inlineStr" s="5">
        <is>
          <t/>
        </is>
      </c>
      <c r="D546" t="inlineStr" s="5">
        <is>
          <t/>
        </is>
      </c>
      <c r="E546" t="inlineStr" s="7">
        <is>
          <t/>
        </is>
      </c>
      <c r="F546" t="inlineStr" s="7">
        <is>
          <t/>
        </is>
      </c>
      <c r="G546" s="8">
        <f>IF(AND(E546="",F546=""),"",F546-E546)</f>
      </c>
      <c r="H546" t="inlineStr" s="5">
        <is>
          <t/>
        </is>
      </c>
      <c r="I546" t="inlineStr" s="5">
        <is>
          <t/>
        </is>
      </c>
    </row>
    <row r="547" ht="22" customHeight="1">
      <c r="A547" t="inlineStr" s="6">
        <is>
          <t/>
        </is>
      </c>
      <c r="B547" s="5">
        <f>IF(A547="","",TEXT(A547,"aaa"))</f>
      </c>
      <c r="C547" t="inlineStr" s="5">
        <is>
          <t/>
        </is>
      </c>
      <c r="D547" t="inlineStr" s="5">
        <is>
          <t/>
        </is>
      </c>
      <c r="E547" t="inlineStr" s="7">
        <is>
          <t/>
        </is>
      </c>
      <c r="F547" t="inlineStr" s="7">
        <is>
          <t/>
        </is>
      </c>
      <c r="G547" s="8">
        <f>IF(AND(E547="",F547=""),"",F547-E547)</f>
      </c>
      <c r="H547" t="inlineStr" s="5">
        <is>
          <t/>
        </is>
      </c>
      <c r="I547" t="inlineStr" s="5">
        <is>
          <t/>
        </is>
      </c>
    </row>
    <row r="548" ht="22" customHeight="1">
      <c r="A548" t="inlineStr" s="6">
        <is>
          <t/>
        </is>
      </c>
      <c r="B548" s="5">
        <f>IF(A548="","",TEXT(A548,"aaa"))</f>
      </c>
      <c r="C548" t="inlineStr" s="5">
        <is>
          <t/>
        </is>
      </c>
      <c r="D548" t="inlineStr" s="5">
        <is>
          <t/>
        </is>
      </c>
      <c r="E548" t="inlineStr" s="7">
        <is>
          <t/>
        </is>
      </c>
      <c r="F548" t="inlineStr" s="7">
        <is>
          <t/>
        </is>
      </c>
      <c r="G548" s="8">
        <f>IF(AND(E548="",F548=""),"",F548-E548)</f>
      </c>
      <c r="H548" t="inlineStr" s="5">
        <is>
          <t/>
        </is>
      </c>
      <c r="I548" t="inlineStr" s="5">
        <is>
          <t/>
        </is>
      </c>
    </row>
    <row r="549" ht="22" customHeight="1">
      <c r="A549" t="inlineStr" s="6">
        <is>
          <t/>
        </is>
      </c>
      <c r="B549" s="5">
        <f>IF(A549="","",TEXT(A549,"aaa"))</f>
      </c>
      <c r="C549" t="inlineStr" s="5">
        <is>
          <t/>
        </is>
      </c>
      <c r="D549" t="inlineStr" s="5">
        <is>
          <t/>
        </is>
      </c>
      <c r="E549" t="inlineStr" s="7">
        <is>
          <t/>
        </is>
      </c>
      <c r="F549" t="inlineStr" s="7">
        <is>
          <t/>
        </is>
      </c>
      <c r="G549" s="8">
        <f>IF(AND(E549="",F549=""),"",F549-E549)</f>
      </c>
      <c r="H549" t="inlineStr" s="5">
        <is>
          <t/>
        </is>
      </c>
      <c r="I549" t="inlineStr" s="5">
        <is>
          <t/>
        </is>
      </c>
    </row>
    <row r="550" ht="22" customHeight="1">
      <c r="A550" t="inlineStr" s="6">
        <is>
          <t/>
        </is>
      </c>
      <c r="B550" s="5">
        <f>IF(A550="","",TEXT(A550,"aaa"))</f>
      </c>
      <c r="C550" t="inlineStr" s="5">
        <is>
          <t/>
        </is>
      </c>
      <c r="D550" t="inlineStr" s="5">
        <is>
          <t/>
        </is>
      </c>
      <c r="E550" t="inlineStr" s="7">
        <is>
          <t/>
        </is>
      </c>
      <c r="F550" t="inlineStr" s="7">
        <is>
          <t/>
        </is>
      </c>
      <c r="G550" s="8">
        <f>IF(AND(E550="",F550=""),"",F550-E550)</f>
      </c>
      <c r="H550" t="inlineStr" s="5">
        <is>
          <t/>
        </is>
      </c>
      <c r="I550" t="inlineStr" s="5">
        <is>
          <t/>
        </is>
      </c>
    </row>
    <row r="551" ht="22" customHeight="1">
      <c r="A551" t="inlineStr" s="6">
        <is>
          <t/>
        </is>
      </c>
      <c r="B551" s="5">
        <f>IF(A551="","",TEXT(A551,"aaa"))</f>
      </c>
      <c r="C551" t="inlineStr" s="5">
        <is>
          <t/>
        </is>
      </c>
      <c r="D551" t="inlineStr" s="5">
        <is>
          <t/>
        </is>
      </c>
      <c r="E551" t="inlineStr" s="7">
        <is>
          <t/>
        </is>
      </c>
      <c r="F551" t="inlineStr" s="7">
        <is>
          <t/>
        </is>
      </c>
      <c r="G551" s="8">
        <f>IF(AND(E551="",F551=""),"",F551-E551)</f>
      </c>
      <c r="H551" t="inlineStr" s="5">
        <is>
          <t/>
        </is>
      </c>
      <c r="I551" t="inlineStr" s="5">
        <is>
          <t/>
        </is>
      </c>
    </row>
    <row r="552" ht="22" customHeight="1">
      <c r="A552" t="inlineStr" s="6">
        <is>
          <t/>
        </is>
      </c>
      <c r="B552" s="5">
        <f>IF(A552="","",TEXT(A552,"aaa"))</f>
      </c>
      <c r="C552" t="inlineStr" s="5">
        <is>
          <t/>
        </is>
      </c>
      <c r="D552" t="inlineStr" s="5">
        <is>
          <t/>
        </is>
      </c>
      <c r="E552" t="inlineStr" s="7">
        <is>
          <t/>
        </is>
      </c>
      <c r="F552" t="inlineStr" s="7">
        <is>
          <t/>
        </is>
      </c>
      <c r="G552" s="8">
        <f>IF(AND(E552="",F552=""),"",F552-E552)</f>
      </c>
      <c r="H552" t="inlineStr" s="5">
        <is>
          <t/>
        </is>
      </c>
      <c r="I552" t="inlineStr" s="5">
        <is>
          <t/>
        </is>
      </c>
    </row>
    <row r="553" ht="22" customHeight="1">
      <c r="A553" t="inlineStr" s="6">
        <is>
          <t/>
        </is>
      </c>
      <c r="B553" s="5">
        <f>IF(A553="","",TEXT(A553,"aaa"))</f>
      </c>
      <c r="C553" t="inlineStr" s="5">
        <is>
          <t/>
        </is>
      </c>
      <c r="D553" t="inlineStr" s="5">
        <is>
          <t/>
        </is>
      </c>
      <c r="E553" t="inlineStr" s="7">
        <is>
          <t/>
        </is>
      </c>
      <c r="F553" t="inlineStr" s="7">
        <is>
          <t/>
        </is>
      </c>
      <c r="G553" s="8">
        <f>IF(AND(E553="",F553=""),"",F553-E553)</f>
      </c>
      <c r="H553" t="inlineStr" s="5">
        <is>
          <t/>
        </is>
      </c>
      <c r="I553" t="inlineStr" s="5">
        <is>
          <t/>
        </is>
      </c>
    </row>
    <row r="554" ht="22" customHeight="1">
      <c r="A554" t="inlineStr" s="6">
        <is>
          <t/>
        </is>
      </c>
      <c r="B554" s="5">
        <f>IF(A554="","",TEXT(A554,"aaa"))</f>
      </c>
      <c r="C554" t="inlineStr" s="5">
        <is>
          <t/>
        </is>
      </c>
      <c r="D554" t="inlineStr" s="5">
        <is>
          <t/>
        </is>
      </c>
      <c r="E554" t="inlineStr" s="7">
        <is>
          <t/>
        </is>
      </c>
      <c r="F554" t="inlineStr" s="7">
        <is>
          <t/>
        </is>
      </c>
      <c r="G554" s="8">
        <f>IF(AND(E554="",F554=""),"",F554-E554)</f>
      </c>
      <c r="H554" t="inlineStr" s="5">
        <is>
          <t/>
        </is>
      </c>
      <c r="I554" t="inlineStr" s="5">
        <is>
          <t/>
        </is>
      </c>
    </row>
    <row r="555" ht="22" customHeight="1">
      <c r="A555" t="inlineStr" s="6">
        <is>
          <t/>
        </is>
      </c>
      <c r="B555" s="5">
        <f>IF(A555="","",TEXT(A555,"aaa"))</f>
      </c>
      <c r="C555" t="inlineStr" s="5">
        <is>
          <t/>
        </is>
      </c>
      <c r="D555" t="inlineStr" s="5">
        <is>
          <t/>
        </is>
      </c>
      <c r="E555" t="inlineStr" s="7">
        <is>
          <t/>
        </is>
      </c>
      <c r="F555" t="inlineStr" s="7">
        <is>
          <t/>
        </is>
      </c>
      <c r="G555" s="8">
        <f>IF(AND(E555="",F555=""),"",F555-E555)</f>
      </c>
      <c r="H555" t="inlineStr" s="5">
        <is>
          <t/>
        </is>
      </c>
      <c r="I555" t="inlineStr" s="5">
        <is>
          <t/>
        </is>
      </c>
    </row>
    <row r="556" ht="22" customHeight="1">
      <c r="A556" t="inlineStr" s="6">
        <is>
          <t/>
        </is>
      </c>
      <c r="B556" s="5">
        <f>IF(A556="","",TEXT(A556,"aaa"))</f>
      </c>
      <c r="C556" t="inlineStr" s="5">
        <is>
          <t/>
        </is>
      </c>
      <c r="D556" t="inlineStr" s="5">
        <is>
          <t/>
        </is>
      </c>
      <c r="E556" t="inlineStr" s="7">
        <is>
          <t/>
        </is>
      </c>
      <c r="F556" t="inlineStr" s="7">
        <is>
          <t/>
        </is>
      </c>
      <c r="G556" s="8">
        <f>IF(AND(E556="",F556=""),"",F556-E556)</f>
      </c>
      <c r="H556" t="inlineStr" s="5">
        <is>
          <t/>
        </is>
      </c>
      <c r="I556" t="inlineStr" s="5">
        <is>
          <t/>
        </is>
      </c>
    </row>
    <row r="557" ht="22" customHeight="1">
      <c r="A557" t="inlineStr" s="6">
        <is>
          <t/>
        </is>
      </c>
      <c r="B557" s="5">
        <f>IF(A557="","",TEXT(A557,"aaa"))</f>
      </c>
      <c r="C557" t="inlineStr" s="5">
        <is>
          <t/>
        </is>
      </c>
      <c r="D557" t="inlineStr" s="5">
        <is>
          <t/>
        </is>
      </c>
      <c r="E557" t="inlineStr" s="7">
        <is>
          <t/>
        </is>
      </c>
      <c r="F557" t="inlineStr" s="7">
        <is>
          <t/>
        </is>
      </c>
      <c r="G557" s="8">
        <f>IF(AND(E557="",F557=""),"",F557-E557)</f>
      </c>
      <c r="H557" t="inlineStr" s="5">
        <is>
          <t/>
        </is>
      </c>
      <c r="I557" t="inlineStr" s="5">
        <is>
          <t/>
        </is>
      </c>
    </row>
    <row r="558" ht="22" customHeight="1">
      <c r="A558" t="inlineStr" s="6">
        <is>
          <t/>
        </is>
      </c>
      <c r="B558" s="5">
        <f>IF(A558="","",TEXT(A558,"aaa"))</f>
      </c>
      <c r="C558" t="inlineStr" s="5">
        <is>
          <t/>
        </is>
      </c>
      <c r="D558" t="inlineStr" s="5">
        <is>
          <t/>
        </is>
      </c>
      <c r="E558" t="inlineStr" s="7">
        <is>
          <t/>
        </is>
      </c>
      <c r="F558" t="inlineStr" s="7">
        <is>
          <t/>
        </is>
      </c>
      <c r="G558" s="8">
        <f>IF(AND(E558="",F558=""),"",F558-E558)</f>
      </c>
      <c r="H558" t="inlineStr" s="5">
        <is>
          <t/>
        </is>
      </c>
      <c r="I558" t="inlineStr" s="5">
        <is>
          <t/>
        </is>
      </c>
    </row>
    <row r="559" ht="24" customHeight="1">
      <c r="A559" t="inlineStr" s="9">
        <is>
          <t>本周小计</t>
        </is>
      </c>
      <c r="B559" t="inlineStr" s="9">
        <is>
          <t/>
        </is>
      </c>
      <c r="C559" t="inlineStr" s="9">
        <is>
          <t/>
        </is>
      </c>
      <c r="D559" t="inlineStr" s="9">
        <is>
          <t/>
        </is>
      </c>
      <c r="E559" s="9">
        <f>SUM(E544:E558)</f>
      </c>
      <c r="F559" s="9">
        <f>SUM(F544:F558)</f>
      </c>
      <c r="G559" s="9">
        <f>SUM(G544:G558)</f>
      </c>
      <c r="H559" t="inlineStr" s="9">
        <is>
          <t/>
        </is>
      </c>
      <c r="I559" t="inlineStr" s="9">
        <is>
          <t/>
        </is>
      </c>
    </row>
    <row r="560" ht="18" customHeight="1">
      <c r="A560" t="inlineStr" s="10">
        <is>
          <t/>
        </is>
      </c>
      <c r="B560" t="inlineStr" s="10">
        <is>
          <t/>
        </is>
      </c>
      <c r="C560" t="inlineStr" s="10">
        <is>
          <t/>
        </is>
      </c>
      <c r="D560" t="inlineStr" s="10">
        <is>
          <t/>
        </is>
      </c>
      <c r="E560" t="inlineStr" s="10">
        <is>
          <t/>
        </is>
      </c>
      <c r="F560" t="inlineStr" s="10">
        <is>
          <t/>
        </is>
      </c>
      <c r="G560" t="inlineStr" s="10">
        <is>
          <t/>
        </is>
      </c>
      <c r="H560" t="inlineStr" s="10">
        <is>
          <t/>
        </is>
      </c>
      <c r="I560" t="inlineStr" s="10">
        <is>
          <t/>
        </is>
      </c>
    </row>
    <row r="561" ht="18" customHeight="1">
      <c r="A561" t="inlineStr" s="10">
        <is>
          <t/>
        </is>
      </c>
      <c r="B561" t="inlineStr" s="10">
        <is>
          <t/>
        </is>
      </c>
      <c r="C561" t="inlineStr" s="10">
        <is>
          <t/>
        </is>
      </c>
      <c r="D561" t="inlineStr" s="10">
        <is>
          <t/>
        </is>
      </c>
      <c r="E561" t="inlineStr" s="10">
        <is>
          <t/>
        </is>
      </c>
      <c r="F561" t="inlineStr" s="10">
        <is>
          <t/>
        </is>
      </c>
      <c r="G561" t="inlineStr" s="10">
        <is>
          <t/>
        </is>
      </c>
      <c r="H561" t="inlineStr" s="10">
        <is>
          <t/>
        </is>
      </c>
      <c r="I561" t="inlineStr" s="10">
        <is>
          <t/>
        </is>
      </c>
    </row>
    <row r="562" ht="28" customHeight="1">
      <c r="A562" t="inlineStr" s="3">
        <is>
          <t>2026年12月｜第二周（12月14日 - 12月20日）</t>
        </is>
      </c>
      <c r="B562" t="inlineStr" s="3">
        <is>
          <t/>
        </is>
      </c>
      <c r="C562" t="inlineStr" s="3">
        <is>
          <t/>
        </is>
      </c>
      <c r="D562" t="inlineStr" s="3">
        <is>
          <t/>
        </is>
      </c>
      <c r="E562" t="inlineStr" s="3">
        <is>
          <t/>
        </is>
      </c>
      <c r="F562" t="inlineStr" s="3">
        <is>
          <t/>
        </is>
      </c>
      <c r="G562" t="inlineStr" s="3">
        <is>
          <t/>
        </is>
      </c>
      <c r="H562" t="inlineStr" s="3">
        <is>
          <t/>
        </is>
      </c>
      <c r="I562" t="inlineStr" s="3">
        <is>
          <t/>
        </is>
      </c>
    </row>
    <row r="563" ht="23" customHeight="1">
      <c r="A563" t="inlineStr" s="4">
        <is>
          <t>日期</t>
        </is>
      </c>
      <c r="B563" t="inlineStr" s="4">
        <is>
          <t>星期</t>
        </is>
      </c>
      <c r="C563" t="inlineStr" s="4">
        <is>
          <t>分类</t>
        </is>
      </c>
      <c r="D563" t="inlineStr" s="4">
        <is>
          <t>事项</t>
        </is>
      </c>
      <c r="E563" t="inlineStr" s="4">
        <is>
          <t>支出金额</t>
        </is>
      </c>
      <c r="F563" t="inlineStr" s="4">
        <is>
          <t>收入金额</t>
        </is>
      </c>
      <c r="G563" t="inlineStr" s="4">
        <is>
          <t>当笔净额</t>
        </is>
      </c>
      <c r="H563" t="inlineStr" s="4">
        <is>
          <t>支付方式</t>
        </is>
      </c>
      <c r="I563" t="inlineStr" s="4">
        <is>
          <t>备注</t>
        </is>
      </c>
    </row>
    <row r="564" ht="22" customHeight="1">
      <c r="A564" t="inlineStr" s="6">
        <is>
          <t/>
        </is>
      </c>
      <c r="B564" s="5">
        <f>IF(A564="","",TEXT(A564,"aaa"))</f>
      </c>
      <c r="C564" t="inlineStr" s="5">
        <is>
          <t/>
        </is>
      </c>
      <c r="D564" t="inlineStr" s="5">
        <is>
          <t/>
        </is>
      </c>
      <c r="E564" t="inlineStr" s="7">
        <is>
          <t/>
        </is>
      </c>
      <c r="F564" t="inlineStr" s="7">
        <is>
          <t/>
        </is>
      </c>
      <c r="G564" s="8">
        <f>IF(AND(E564="",F564=""),"",F564-E564)</f>
      </c>
      <c r="H564" t="inlineStr" s="5">
        <is>
          <t/>
        </is>
      </c>
      <c r="I564" t="inlineStr" s="5">
        <is>
          <t/>
        </is>
      </c>
    </row>
    <row r="565" ht="22" customHeight="1">
      <c r="A565" t="inlineStr" s="6">
        <is>
          <t/>
        </is>
      </c>
      <c r="B565" s="5">
        <f>IF(A565="","",TEXT(A565,"aaa"))</f>
      </c>
      <c r="C565" t="inlineStr" s="5">
        <is>
          <t/>
        </is>
      </c>
      <c r="D565" t="inlineStr" s="5">
        <is>
          <t/>
        </is>
      </c>
      <c r="E565" t="inlineStr" s="7">
        <is>
          <t/>
        </is>
      </c>
      <c r="F565" t="inlineStr" s="7">
        <is>
          <t/>
        </is>
      </c>
      <c r="G565" s="8">
        <f>IF(AND(E565="",F565=""),"",F565-E565)</f>
      </c>
      <c r="H565" t="inlineStr" s="5">
        <is>
          <t/>
        </is>
      </c>
      <c r="I565" t="inlineStr" s="5">
        <is>
          <t/>
        </is>
      </c>
    </row>
    <row r="566" ht="22" customHeight="1">
      <c r="A566" t="inlineStr" s="6">
        <is>
          <t/>
        </is>
      </c>
      <c r="B566" s="5">
        <f>IF(A566="","",TEXT(A566,"aaa"))</f>
      </c>
      <c r="C566" t="inlineStr" s="5">
        <is>
          <t/>
        </is>
      </c>
      <c r="D566" t="inlineStr" s="5">
        <is>
          <t/>
        </is>
      </c>
      <c r="E566" t="inlineStr" s="7">
        <is>
          <t/>
        </is>
      </c>
      <c r="F566" t="inlineStr" s="7">
        <is>
          <t/>
        </is>
      </c>
      <c r="G566" s="8">
        <f>IF(AND(E566="",F566=""),"",F566-E566)</f>
      </c>
      <c r="H566" t="inlineStr" s="5">
        <is>
          <t/>
        </is>
      </c>
      <c r="I566" t="inlineStr" s="5">
        <is>
          <t/>
        </is>
      </c>
    </row>
    <row r="567" ht="22" customHeight="1">
      <c r="A567" t="inlineStr" s="6">
        <is>
          <t/>
        </is>
      </c>
      <c r="B567" s="5">
        <f>IF(A567="","",TEXT(A567,"aaa"))</f>
      </c>
      <c r="C567" t="inlineStr" s="5">
        <is>
          <t/>
        </is>
      </c>
      <c r="D567" t="inlineStr" s="5">
        <is>
          <t/>
        </is>
      </c>
      <c r="E567" t="inlineStr" s="7">
        <is>
          <t/>
        </is>
      </c>
      <c r="F567" t="inlineStr" s="7">
        <is>
          <t/>
        </is>
      </c>
      <c r="G567" s="8">
        <f>IF(AND(E567="",F567=""),"",F567-E567)</f>
      </c>
      <c r="H567" t="inlineStr" s="5">
        <is>
          <t/>
        </is>
      </c>
      <c r="I567" t="inlineStr" s="5">
        <is>
          <t/>
        </is>
      </c>
    </row>
    <row r="568" ht="22" customHeight="1">
      <c r="A568" t="inlineStr" s="6">
        <is>
          <t/>
        </is>
      </c>
      <c r="B568" s="5">
        <f>IF(A568="","",TEXT(A568,"aaa"))</f>
      </c>
      <c r="C568" t="inlineStr" s="5">
        <is>
          <t/>
        </is>
      </c>
      <c r="D568" t="inlineStr" s="5">
        <is>
          <t/>
        </is>
      </c>
      <c r="E568" t="inlineStr" s="7">
        <is>
          <t/>
        </is>
      </c>
      <c r="F568" t="inlineStr" s="7">
        <is>
          <t/>
        </is>
      </c>
      <c r="G568" s="8">
        <f>IF(AND(E568="",F568=""),"",F568-E568)</f>
      </c>
      <c r="H568" t="inlineStr" s="5">
        <is>
          <t/>
        </is>
      </c>
      <c r="I568" t="inlineStr" s="5">
        <is>
          <t/>
        </is>
      </c>
    </row>
    <row r="569" ht="22" customHeight="1">
      <c r="A569" t="inlineStr" s="6">
        <is>
          <t/>
        </is>
      </c>
      <c r="B569" s="5">
        <f>IF(A569="","",TEXT(A569,"aaa"))</f>
      </c>
      <c r="C569" t="inlineStr" s="5">
        <is>
          <t/>
        </is>
      </c>
      <c r="D569" t="inlineStr" s="5">
        <is>
          <t/>
        </is>
      </c>
      <c r="E569" t="inlineStr" s="7">
        <is>
          <t/>
        </is>
      </c>
      <c r="F569" t="inlineStr" s="7">
        <is>
          <t/>
        </is>
      </c>
      <c r="G569" s="8">
        <f>IF(AND(E569="",F569=""),"",F569-E569)</f>
      </c>
      <c r="H569" t="inlineStr" s="5">
        <is>
          <t/>
        </is>
      </c>
      <c r="I569" t="inlineStr" s="5">
        <is>
          <t/>
        </is>
      </c>
    </row>
    <row r="570" ht="22" customHeight="1">
      <c r="A570" t="inlineStr" s="6">
        <is>
          <t/>
        </is>
      </c>
      <c r="B570" s="5">
        <f>IF(A570="","",TEXT(A570,"aaa"))</f>
      </c>
      <c r="C570" t="inlineStr" s="5">
        <is>
          <t/>
        </is>
      </c>
      <c r="D570" t="inlineStr" s="5">
        <is>
          <t/>
        </is>
      </c>
      <c r="E570" t="inlineStr" s="7">
        <is>
          <t/>
        </is>
      </c>
      <c r="F570" t="inlineStr" s="7">
        <is>
          <t/>
        </is>
      </c>
      <c r="G570" s="8">
        <f>IF(AND(E570="",F570=""),"",F570-E570)</f>
      </c>
      <c r="H570" t="inlineStr" s="5">
        <is>
          <t/>
        </is>
      </c>
      <c r="I570" t="inlineStr" s="5">
        <is>
          <t/>
        </is>
      </c>
    </row>
    <row r="571" ht="22" customHeight="1">
      <c r="A571" t="inlineStr" s="6">
        <is>
          <t/>
        </is>
      </c>
      <c r="B571" s="5">
        <f>IF(A571="","",TEXT(A571,"aaa"))</f>
      </c>
      <c r="C571" t="inlineStr" s="5">
        <is>
          <t/>
        </is>
      </c>
      <c r="D571" t="inlineStr" s="5">
        <is>
          <t/>
        </is>
      </c>
      <c r="E571" t="inlineStr" s="7">
        <is>
          <t/>
        </is>
      </c>
      <c r="F571" t="inlineStr" s="7">
        <is>
          <t/>
        </is>
      </c>
      <c r="G571" s="8">
        <f>IF(AND(E571="",F571=""),"",F571-E571)</f>
      </c>
      <c r="H571" t="inlineStr" s="5">
        <is>
          <t/>
        </is>
      </c>
      <c r="I571" t="inlineStr" s="5">
        <is>
          <t/>
        </is>
      </c>
    </row>
    <row r="572" ht="22" customHeight="1">
      <c r="A572" t="inlineStr" s="6">
        <is>
          <t/>
        </is>
      </c>
      <c r="B572" s="5">
        <f>IF(A572="","",TEXT(A572,"aaa"))</f>
      </c>
      <c r="C572" t="inlineStr" s="5">
        <is>
          <t/>
        </is>
      </c>
      <c r="D572" t="inlineStr" s="5">
        <is>
          <t/>
        </is>
      </c>
      <c r="E572" t="inlineStr" s="7">
        <is>
          <t/>
        </is>
      </c>
      <c r="F572" t="inlineStr" s="7">
        <is>
          <t/>
        </is>
      </c>
      <c r="G572" s="8">
        <f>IF(AND(E572="",F572=""),"",F572-E572)</f>
      </c>
      <c r="H572" t="inlineStr" s="5">
        <is>
          <t/>
        </is>
      </c>
      <c r="I572" t="inlineStr" s="5">
        <is>
          <t/>
        </is>
      </c>
    </row>
    <row r="573" ht="22" customHeight="1">
      <c r="A573" t="inlineStr" s="6">
        <is>
          <t/>
        </is>
      </c>
      <c r="B573" s="5">
        <f>IF(A573="","",TEXT(A573,"aaa"))</f>
      </c>
      <c r="C573" t="inlineStr" s="5">
        <is>
          <t/>
        </is>
      </c>
      <c r="D573" t="inlineStr" s="5">
        <is>
          <t/>
        </is>
      </c>
      <c r="E573" t="inlineStr" s="7">
        <is>
          <t/>
        </is>
      </c>
      <c r="F573" t="inlineStr" s="7">
        <is>
          <t/>
        </is>
      </c>
      <c r="G573" s="8">
        <f>IF(AND(E573="",F573=""),"",F573-E573)</f>
      </c>
      <c r="H573" t="inlineStr" s="5">
        <is>
          <t/>
        </is>
      </c>
      <c r="I573" t="inlineStr" s="5">
        <is>
          <t/>
        </is>
      </c>
    </row>
    <row r="574" ht="22" customHeight="1">
      <c r="A574" t="inlineStr" s="6">
        <is>
          <t/>
        </is>
      </c>
      <c r="B574" s="5">
        <f>IF(A574="","",TEXT(A574,"aaa"))</f>
      </c>
      <c r="C574" t="inlineStr" s="5">
        <is>
          <t/>
        </is>
      </c>
      <c r="D574" t="inlineStr" s="5">
        <is>
          <t/>
        </is>
      </c>
      <c r="E574" t="inlineStr" s="7">
        <is>
          <t/>
        </is>
      </c>
      <c r="F574" t="inlineStr" s="7">
        <is>
          <t/>
        </is>
      </c>
      <c r="G574" s="8">
        <f>IF(AND(E574="",F574=""),"",F574-E574)</f>
      </c>
      <c r="H574" t="inlineStr" s="5">
        <is>
          <t/>
        </is>
      </c>
      <c r="I574" t="inlineStr" s="5">
        <is>
          <t/>
        </is>
      </c>
    </row>
    <row r="575" ht="22" customHeight="1">
      <c r="A575" t="inlineStr" s="6">
        <is>
          <t/>
        </is>
      </c>
      <c r="B575" s="5">
        <f>IF(A575="","",TEXT(A575,"aaa"))</f>
      </c>
      <c r="C575" t="inlineStr" s="5">
        <is>
          <t/>
        </is>
      </c>
      <c r="D575" t="inlineStr" s="5">
        <is>
          <t/>
        </is>
      </c>
      <c r="E575" t="inlineStr" s="7">
        <is>
          <t/>
        </is>
      </c>
      <c r="F575" t="inlineStr" s="7">
        <is>
          <t/>
        </is>
      </c>
      <c r="G575" s="8">
        <f>IF(AND(E575="",F575=""),"",F575-E575)</f>
      </c>
      <c r="H575" t="inlineStr" s="5">
        <is>
          <t/>
        </is>
      </c>
      <c r="I575" t="inlineStr" s="5">
        <is>
          <t/>
        </is>
      </c>
    </row>
    <row r="576" ht="22" customHeight="1">
      <c r="A576" t="inlineStr" s="6">
        <is>
          <t/>
        </is>
      </c>
      <c r="B576" s="5">
        <f>IF(A576="","",TEXT(A576,"aaa"))</f>
      </c>
      <c r="C576" t="inlineStr" s="5">
        <is>
          <t/>
        </is>
      </c>
      <c r="D576" t="inlineStr" s="5">
        <is>
          <t/>
        </is>
      </c>
      <c r="E576" t="inlineStr" s="7">
        <is>
          <t/>
        </is>
      </c>
      <c r="F576" t="inlineStr" s="7">
        <is>
          <t/>
        </is>
      </c>
      <c r="G576" s="8">
        <f>IF(AND(E576="",F576=""),"",F576-E576)</f>
      </c>
      <c r="H576" t="inlineStr" s="5">
        <is>
          <t/>
        </is>
      </c>
      <c r="I576" t="inlineStr" s="5">
        <is>
          <t/>
        </is>
      </c>
    </row>
    <row r="577" ht="22" customHeight="1">
      <c r="A577" t="inlineStr" s="6">
        <is>
          <t/>
        </is>
      </c>
      <c r="B577" s="5">
        <f>IF(A577="","",TEXT(A577,"aaa"))</f>
      </c>
      <c r="C577" t="inlineStr" s="5">
        <is>
          <t/>
        </is>
      </c>
      <c r="D577" t="inlineStr" s="5">
        <is>
          <t/>
        </is>
      </c>
      <c r="E577" t="inlineStr" s="7">
        <is>
          <t/>
        </is>
      </c>
      <c r="F577" t="inlineStr" s="7">
        <is>
          <t/>
        </is>
      </c>
      <c r="G577" s="8">
        <f>IF(AND(E577="",F577=""),"",F577-E577)</f>
      </c>
      <c r="H577" t="inlineStr" s="5">
        <is>
          <t/>
        </is>
      </c>
      <c r="I577" t="inlineStr" s="5">
        <is>
          <t/>
        </is>
      </c>
    </row>
    <row r="578" ht="22" customHeight="1">
      <c r="A578" t="inlineStr" s="6">
        <is>
          <t/>
        </is>
      </c>
      <c r="B578" s="5">
        <f>IF(A578="","",TEXT(A578,"aaa"))</f>
      </c>
      <c r="C578" t="inlineStr" s="5">
        <is>
          <t/>
        </is>
      </c>
      <c r="D578" t="inlineStr" s="5">
        <is>
          <t/>
        </is>
      </c>
      <c r="E578" t="inlineStr" s="7">
        <is>
          <t/>
        </is>
      </c>
      <c r="F578" t="inlineStr" s="7">
        <is>
          <t/>
        </is>
      </c>
      <c r="G578" s="8">
        <f>IF(AND(E578="",F578=""),"",F578-E578)</f>
      </c>
      <c r="H578" t="inlineStr" s="5">
        <is>
          <t/>
        </is>
      </c>
      <c r="I578" t="inlineStr" s="5">
        <is>
          <t/>
        </is>
      </c>
    </row>
    <row r="579" ht="24" customHeight="1">
      <c r="A579" t="inlineStr" s="9">
        <is>
          <t>本周小计</t>
        </is>
      </c>
      <c r="B579" t="inlineStr" s="9">
        <is>
          <t/>
        </is>
      </c>
      <c r="C579" t="inlineStr" s="9">
        <is>
          <t/>
        </is>
      </c>
      <c r="D579" t="inlineStr" s="9">
        <is>
          <t/>
        </is>
      </c>
      <c r="E579" s="9">
        <f>SUM(E564:E578)</f>
      </c>
      <c r="F579" s="9">
        <f>SUM(F564:F578)</f>
      </c>
      <c r="G579" s="9">
        <f>SUM(G564:G578)</f>
      </c>
      <c r="H579" t="inlineStr" s="9">
        <is>
          <t/>
        </is>
      </c>
      <c r="I579" t="inlineStr" s="9">
        <is>
          <t/>
        </is>
      </c>
    </row>
    <row r="580" ht="18" customHeight="1">
      <c r="A580" t="inlineStr" s="10">
        <is>
          <t/>
        </is>
      </c>
      <c r="B580" t="inlineStr" s="10">
        <is>
          <t/>
        </is>
      </c>
      <c r="C580" t="inlineStr" s="10">
        <is>
          <t/>
        </is>
      </c>
      <c r="D580" t="inlineStr" s="10">
        <is>
          <t/>
        </is>
      </c>
      <c r="E580" t="inlineStr" s="10">
        <is>
          <t/>
        </is>
      </c>
      <c r="F580" t="inlineStr" s="10">
        <is>
          <t/>
        </is>
      </c>
      <c r="G580" t="inlineStr" s="10">
        <is>
          <t/>
        </is>
      </c>
      <c r="H580" t="inlineStr" s="10">
        <is>
          <t/>
        </is>
      </c>
      <c r="I580" t="inlineStr" s="10">
        <is>
          <t/>
        </is>
      </c>
    </row>
    <row r="581" ht="18" customHeight="1">
      <c r="A581" t="inlineStr" s="10">
        <is>
          <t/>
        </is>
      </c>
      <c r="B581" t="inlineStr" s="10">
        <is>
          <t/>
        </is>
      </c>
      <c r="C581" t="inlineStr" s="10">
        <is>
          <t/>
        </is>
      </c>
      <c r="D581" t="inlineStr" s="10">
        <is>
          <t/>
        </is>
      </c>
      <c r="E581" t="inlineStr" s="10">
        <is>
          <t/>
        </is>
      </c>
      <c r="F581" t="inlineStr" s="10">
        <is>
          <t/>
        </is>
      </c>
      <c r="G581" t="inlineStr" s="10">
        <is>
          <t/>
        </is>
      </c>
      <c r="H581" t="inlineStr" s="10">
        <is>
          <t/>
        </is>
      </c>
      <c r="I581" t="inlineStr" s="10">
        <is>
          <t/>
        </is>
      </c>
    </row>
    <row r="582" ht="28" customHeight="1">
      <c r="A582" t="inlineStr" s="3">
        <is>
          <t>2026年12月｜第三周（12月21日 - 12月27日）</t>
        </is>
      </c>
      <c r="B582" t="inlineStr" s="3">
        <is>
          <t/>
        </is>
      </c>
      <c r="C582" t="inlineStr" s="3">
        <is>
          <t/>
        </is>
      </c>
      <c r="D582" t="inlineStr" s="3">
        <is>
          <t/>
        </is>
      </c>
      <c r="E582" t="inlineStr" s="3">
        <is>
          <t/>
        </is>
      </c>
      <c r="F582" t="inlineStr" s="3">
        <is>
          <t/>
        </is>
      </c>
      <c r="G582" t="inlineStr" s="3">
        <is>
          <t/>
        </is>
      </c>
      <c r="H582" t="inlineStr" s="3">
        <is>
          <t/>
        </is>
      </c>
      <c r="I582" t="inlineStr" s="3">
        <is>
          <t/>
        </is>
      </c>
    </row>
    <row r="583" ht="23" customHeight="1">
      <c r="A583" t="inlineStr" s="4">
        <is>
          <t>日期</t>
        </is>
      </c>
      <c r="B583" t="inlineStr" s="4">
        <is>
          <t>星期</t>
        </is>
      </c>
      <c r="C583" t="inlineStr" s="4">
        <is>
          <t>分类</t>
        </is>
      </c>
      <c r="D583" t="inlineStr" s="4">
        <is>
          <t>事项</t>
        </is>
      </c>
      <c r="E583" t="inlineStr" s="4">
        <is>
          <t>支出金额</t>
        </is>
      </c>
      <c r="F583" t="inlineStr" s="4">
        <is>
          <t>收入金额</t>
        </is>
      </c>
      <c r="G583" t="inlineStr" s="4">
        <is>
          <t>当笔净额</t>
        </is>
      </c>
      <c r="H583" t="inlineStr" s="4">
        <is>
          <t>支付方式</t>
        </is>
      </c>
      <c r="I583" t="inlineStr" s="4">
        <is>
          <t>备注</t>
        </is>
      </c>
    </row>
    <row r="584" ht="22" customHeight="1">
      <c r="A584" t="inlineStr" s="6">
        <is>
          <t/>
        </is>
      </c>
      <c r="B584" s="5">
        <f>IF(A584="","",TEXT(A584,"aaa"))</f>
      </c>
      <c r="C584" t="inlineStr" s="5">
        <is>
          <t/>
        </is>
      </c>
      <c r="D584" t="inlineStr" s="5">
        <is>
          <t/>
        </is>
      </c>
      <c r="E584" t="inlineStr" s="7">
        <is>
          <t/>
        </is>
      </c>
      <c r="F584" t="inlineStr" s="7">
        <is>
          <t/>
        </is>
      </c>
      <c r="G584" s="8">
        <f>IF(AND(E584="",F584=""),"",F584-E584)</f>
      </c>
      <c r="H584" t="inlineStr" s="5">
        <is>
          <t/>
        </is>
      </c>
      <c r="I584" t="inlineStr" s="5">
        <is>
          <t/>
        </is>
      </c>
    </row>
    <row r="585" ht="22" customHeight="1">
      <c r="A585" t="inlineStr" s="6">
        <is>
          <t/>
        </is>
      </c>
      <c r="B585" s="5">
        <f>IF(A585="","",TEXT(A585,"aaa"))</f>
      </c>
      <c r="C585" t="inlineStr" s="5">
        <is>
          <t/>
        </is>
      </c>
      <c r="D585" t="inlineStr" s="5">
        <is>
          <t/>
        </is>
      </c>
      <c r="E585" t="inlineStr" s="7">
        <is>
          <t/>
        </is>
      </c>
      <c r="F585" t="inlineStr" s="7">
        <is>
          <t/>
        </is>
      </c>
      <c r="G585" s="8">
        <f>IF(AND(E585="",F585=""),"",F585-E585)</f>
      </c>
      <c r="H585" t="inlineStr" s="5">
        <is>
          <t/>
        </is>
      </c>
      <c r="I585" t="inlineStr" s="5">
        <is>
          <t/>
        </is>
      </c>
    </row>
    <row r="586" ht="22" customHeight="1">
      <c r="A586" t="inlineStr" s="6">
        <is>
          <t/>
        </is>
      </c>
      <c r="B586" s="5">
        <f>IF(A586="","",TEXT(A586,"aaa"))</f>
      </c>
      <c r="C586" t="inlineStr" s="5">
        <is>
          <t/>
        </is>
      </c>
      <c r="D586" t="inlineStr" s="5">
        <is>
          <t/>
        </is>
      </c>
      <c r="E586" t="inlineStr" s="7">
        <is>
          <t/>
        </is>
      </c>
      <c r="F586" t="inlineStr" s="7">
        <is>
          <t/>
        </is>
      </c>
      <c r="G586" s="8">
        <f>IF(AND(E586="",F586=""),"",F586-E586)</f>
      </c>
      <c r="H586" t="inlineStr" s="5">
        <is>
          <t/>
        </is>
      </c>
      <c r="I586" t="inlineStr" s="5">
        <is>
          <t/>
        </is>
      </c>
    </row>
    <row r="587" ht="22" customHeight="1">
      <c r="A587" t="inlineStr" s="6">
        <is>
          <t/>
        </is>
      </c>
      <c r="B587" s="5">
        <f>IF(A587="","",TEXT(A587,"aaa"))</f>
      </c>
      <c r="C587" t="inlineStr" s="5">
        <is>
          <t/>
        </is>
      </c>
      <c r="D587" t="inlineStr" s="5">
        <is>
          <t/>
        </is>
      </c>
      <c r="E587" t="inlineStr" s="7">
        <is>
          <t/>
        </is>
      </c>
      <c r="F587" t="inlineStr" s="7">
        <is>
          <t/>
        </is>
      </c>
      <c r="G587" s="8">
        <f>IF(AND(E587="",F587=""),"",F587-E587)</f>
      </c>
      <c r="H587" t="inlineStr" s="5">
        <is>
          <t/>
        </is>
      </c>
      <c r="I587" t="inlineStr" s="5">
        <is>
          <t/>
        </is>
      </c>
    </row>
    <row r="588" ht="22" customHeight="1">
      <c r="A588" t="inlineStr" s="6">
        <is>
          <t/>
        </is>
      </c>
      <c r="B588" s="5">
        <f>IF(A588="","",TEXT(A588,"aaa"))</f>
      </c>
      <c r="C588" t="inlineStr" s="5">
        <is>
          <t/>
        </is>
      </c>
      <c r="D588" t="inlineStr" s="5">
        <is>
          <t/>
        </is>
      </c>
      <c r="E588" t="inlineStr" s="7">
        <is>
          <t/>
        </is>
      </c>
      <c r="F588" t="inlineStr" s="7">
        <is>
          <t/>
        </is>
      </c>
      <c r="G588" s="8">
        <f>IF(AND(E588="",F588=""),"",F588-E588)</f>
      </c>
      <c r="H588" t="inlineStr" s="5">
        <is>
          <t/>
        </is>
      </c>
      <c r="I588" t="inlineStr" s="5">
        <is>
          <t/>
        </is>
      </c>
    </row>
    <row r="589" ht="22" customHeight="1">
      <c r="A589" t="inlineStr" s="6">
        <is>
          <t/>
        </is>
      </c>
      <c r="B589" s="5">
        <f>IF(A589="","",TEXT(A589,"aaa"))</f>
      </c>
      <c r="C589" t="inlineStr" s="5">
        <is>
          <t/>
        </is>
      </c>
      <c r="D589" t="inlineStr" s="5">
        <is>
          <t/>
        </is>
      </c>
      <c r="E589" t="inlineStr" s="7">
        <is>
          <t/>
        </is>
      </c>
      <c r="F589" t="inlineStr" s="7">
        <is>
          <t/>
        </is>
      </c>
      <c r="G589" s="8">
        <f>IF(AND(E589="",F589=""),"",F589-E589)</f>
      </c>
      <c r="H589" t="inlineStr" s="5">
        <is>
          <t/>
        </is>
      </c>
      <c r="I589" t="inlineStr" s="5">
        <is>
          <t/>
        </is>
      </c>
    </row>
    <row r="590" ht="22" customHeight="1">
      <c r="A590" t="inlineStr" s="6">
        <is>
          <t/>
        </is>
      </c>
      <c r="B590" s="5">
        <f>IF(A590="","",TEXT(A590,"aaa"))</f>
      </c>
      <c r="C590" t="inlineStr" s="5">
        <is>
          <t/>
        </is>
      </c>
      <c r="D590" t="inlineStr" s="5">
        <is>
          <t/>
        </is>
      </c>
      <c r="E590" t="inlineStr" s="7">
        <is>
          <t/>
        </is>
      </c>
      <c r="F590" t="inlineStr" s="7">
        <is>
          <t/>
        </is>
      </c>
      <c r="G590" s="8">
        <f>IF(AND(E590="",F590=""),"",F590-E590)</f>
      </c>
      <c r="H590" t="inlineStr" s="5">
        <is>
          <t/>
        </is>
      </c>
      <c r="I590" t="inlineStr" s="5">
        <is>
          <t/>
        </is>
      </c>
    </row>
    <row r="591" ht="22" customHeight="1">
      <c r="A591" t="inlineStr" s="6">
        <is>
          <t/>
        </is>
      </c>
      <c r="B591" s="5">
        <f>IF(A591="","",TEXT(A591,"aaa"))</f>
      </c>
      <c r="C591" t="inlineStr" s="5">
        <is>
          <t/>
        </is>
      </c>
      <c r="D591" t="inlineStr" s="5">
        <is>
          <t/>
        </is>
      </c>
      <c r="E591" t="inlineStr" s="7">
        <is>
          <t/>
        </is>
      </c>
      <c r="F591" t="inlineStr" s="7">
        <is>
          <t/>
        </is>
      </c>
      <c r="G591" s="8">
        <f>IF(AND(E591="",F591=""),"",F591-E591)</f>
      </c>
      <c r="H591" t="inlineStr" s="5">
        <is>
          <t/>
        </is>
      </c>
      <c r="I591" t="inlineStr" s="5">
        <is>
          <t/>
        </is>
      </c>
    </row>
    <row r="592" ht="22" customHeight="1">
      <c r="A592" t="inlineStr" s="6">
        <is>
          <t/>
        </is>
      </c>
      <c r="B592" s="5">
        <f>IF(A592="","",TEXT(A592,"aaa"))</f>
      </c>
      <c r="C592" t="inlineStr" s="5">
        <is>
          <t/>
        </is>
      </c>
      <c r="D592" t="inlineStr" s="5">
        <is>
          <t/>
        </is>
      </c>
      <c r="E592" t="inlineStr" s="7">
        <is>
          <t/>
        </is>
      </c>
      <c r="F592" t="inlineStr" s="7">
        <is>
          <t/>
        </is>
      </c>
      <c r="G592" s="8">
        <f>IF(AND(E592="",F592=""),"",F592-E592)</f>
      </c>
      <c r="H592" t="inlineStr" s="5">
        <is>
          <t/>
        </is>
      </c>
      <c r="I592" t="inlineStr" s="5">
        <is>
          <t/>
        </is>
      </c>
    </row>
    <row r="593" ht="22" customHeight="1">
      <c r="A593" t="inlineStr" s="6">
        <is>
          <t/>
        </is>
      </c>
      <c r="B593" s="5">
        <f>IF(A593="","",TEXT(A593,"aaa"))</f>
      </c>
      <c r="C593" t="inlineStr" s="5">
        <is>
          <t/>
        </is>
      </c>
      <c r="D593" t="inlineStr" s="5">
        <is>
          <t/>
        </is>
      </c>
      <c r="E593" t="inlineStr" s="7">
        <is>
          <t/>
        </is>
      </c>
      <c r="F593" t="inlineStr" s="7">
        <is>
          <t/>
        </is>
      </c>
      <c r="G593" s="8">
        <f>IF(AND(E593="",F593=""),"",F593-E593)</f>
      </c>
      <c r="H593" t="inlineStr" s="5">
        <is>
          <t/>
        </is>
      </c>
      <c r="I593" t="inlineStr" s="5">
        <is>
          <t/>
        </is>
      </c>
    </row>
    <row r="594" ht="22" customHeight="1">
      <c r="A594" t="inlineStr" s="6">
        <is>
          <t/>
        </is>
      </c>
      <c r="B594" s="5">
        <f>IF(A594="","",TEXT(A594,"aaa"))</f>
      </c>
      <c r="C594" t="inlineStr" s="5">
        <is>
          <t/>
        </is>
      </c>
      <c r="D594" t="inlineStr" s="5">
        <is>
          <t/>
        </is>
      </c>
      <c r="E594" t="inlineStr" s="7">
        <is>
          <t/>
        </is>
      </c>
      <c r="F594" t="inlineStr" s="7">
        <is>
          <t/>
        </is>
      </c>
      <c r="G594" s="8">
        <f>IF(AND(E594="",F594=""),"",F594-E594)</f>
      </c>
      <c r="H594" t="inlineStr" s="5">
        <is>
          <t/>
        </is>
      </c>
      <c r="I594" t="inlineStr" s="5">
        <is>
          <t/>
        </is>
      </c>
    </row>
    <row r="595" ht="22" customHeight="1">
      <c r="A595" t="inlineStr" s="6">
        <is>
          <t/>
        </is>
      </c>
      <c r="B595" s="5">
        <f>IF(A595="","",TEXT(A595,"aaa"))</f>
      </c>
      <c r="C595" t="inlineStr" s="5">
        <is>
          <t/>
        </is>
      </c>
      <c r="D595" t="inlineStr" s="5">
        <is>
          <t/>
        </is>
      </c>
      <c r="E595" t="inlineStr" s="7">
        <is>
          <t/>
        </is>
      </c>
      <c r="F595" t="inlineStr" s="7">
        <is>
          <t/>
        </is>
      </c>
      <c r="G595" s="8">
        <f>IF(AND(E595="",F595=""),"",F595-E595)</f>
      </c>
      <c r="H595" t="inlineStr" s="5">
        <is>
          <t/>
        </is>
      </c>
      <c r="I595" t="inlineStr" s="5">
        <is>
          <t/>
        </is>
      </c>
    </row>
    <row r="596" ht="22" customHeight="1">
      <c r="A596" t="inlineStr" s="6">
        <is>
          <t/>
        </is>
      </c>
      <c r="B596" s="5">
        <f>IF(A596="","",TEXT(A596,"aaa"))</f>
      </c>
      <c r="C596" t="inlineStr" s="5">
        <is>
          <t/>
        </is>
      </c>
      <c r="D596" t="inlineStr" s="5">
        <is>
          <t/>
        </is>
      </c>
      <c r="E596" t="inlineStr" s="7">
        <is>
          <t/>
        </is>
      </c>
      <c r="F596" t="inlineStr" s="7">
        <is>
          <t/>
        </is>
      </c>
      <c r="G596" s="8">
        <f>IF(AND(E596="",F596=""),"",F596-E596)</f>
      </c>
      <c r="H596" t="inlineStr" s="5">
        <is>
          <t/>
        </is>
      </c>
      <c r="I596" t="inlineStr" s="5">
        <is>
          <t/>
        </is>
      </c>
    </row>
    <row r="597" ht="22" customHeight="1">
      <c r="A597" t="inlineStr" s="6">
        <is>
          <t/>
        </is>
      </c>
      <c r="B597" s="5">
        <f>IF(A597="","",TEXT(A597,"aaa"))</f>
      </c>
      <c r="C597" t="inlineStr" s="5">
        <is>
          <t/>
        </is>
      </c>
      <c r="D597" t="inlineStr" s="5">
        <is>
          <t/>
        </is>
      </c>
      <c r="E597" t="inlineStr" s="7">
        <is>
          <t/>
        </is>
      </c>
      <c r="F597" t="inlineStr" s="7">
        <is>
          <t/>
        </is>
      </c>
      <c r="G597" s="8">
        <f>IF(AND(E597="",F597=""),"",F597-E597)</f>
      </c>
      <c r="H597" t="inlineStr" s="5">
        <is>
          <t/>
        </is>
      </c>
      <c r="I597" t="inlineStr" s="5">
        <is>
          <t/>
        </is>
      </c>
    </row>
    <row r="598" ht="22" customHeight="1">
      <c r="A598" t="inlineStr" s="6">
        <is>
          <t/>
        </is>
      </c>
      <c r="B598" s="5">
        <f>IF(A598="","",TEXT(A598,"aaa"))</f>
      </c>
      <c r="C598" t="inlineStr" s="5">
        <is>
          <t/>
        </is>
      </c>
      <c r="D598" t="inlineStr" s="5">
        <is>
          <t/>
        </is>
      </c>
      <c r="E598" t="inlineStr" s="7">
        <is>
          <t/>
        </is>
      </c>
      <c r="F598" t="inlineStr" s="7">
        <is>
          <t/>
        </is>
      </c>
      <c r="G598" s="8">
        <f>IF(AND(E598="",F598=""),"",F598-E598)</f>
      </c>
      <c r="H598" t="inlineStr" s="5">
        <is>
          <t/>
        </is>
      </c>
      <c r="I598" t="inlineStr" s="5">
        <is>
          <t/>
        </is>
      </c>
    </row>
    <row r="599" ht="24" customHeight="1">
      <c r="A599" t="inlineStr" s="9">
        <is>
          <t>本周小计</t>
        </is>
      </c>
      <c r="B599" t="inlineStr" s="9">
        <is>
          <t/>
        </is>
      </c>
      <c r="C599" t="inlineStr" s="9">
        <is>
          <t/>
        </is>
      </c>
      <c r="D599" t="inlineStr" s="9">
        <is>
          <t/>
        </is>
      </c>
      <c r="E599" s="9">
        <f>SUM(E584:E598)</f>
      </c>
      <c r="F599" s="9">
        <f>SUM(F584:F598)</f>
      </c>
      <c r="G599" s="9">
        <f>SUM(G584:G598)</f>
      </c>
      <c r="H599" t="inlineStr" s="9">
        <is>
          <t/>
        </is>
      </c>
      <c r="I599" t="inlineStr" s="9">
        <is>
          <t/>
        </is>
      </c>
    </row>
    <row r="600" ht="18" customHeight="1">
      <c r="A600" t="inlineStr" s="10">
        <is>
          <t/>
        </is>
      </c>
      <c r="B600" t="inlineStr" s="10">
        <is>
          <t/>
        </is>
      </c>
      <c r="C600" t="inlineStr" s="10">
        <is>
          <t/>
        </is>
      </c>
      <c r="D600" t="inlineStr" s="10">
        <is>
          <t/>
        </is>
      </c>
      <c r="E600" t="inlineStr" s="10">
        <is>
          <t/>
        </is>
      </c>
      <c r="F600" t="inlineStr" s="10">
        <is>
          <t/>
        </is>
      </c>
      <c r="G600" t="inlineStr" s="10">
        <is>
          <t/>
        </is>
      </c>
      <c r="H600" t="inlineStr" s="10">
        <is>
          <t/>
        </is>
      </c>
      <c r="I600" t="inlineStr" s="10">
        <is>
          <t/>
        </is>
      </c>
    </row>
    <row r="601" ht="18" customHeight="1">
      <c r="A601" t="inlineStr" s="10">
        <is>
          <t/>
        </is>
      </c>
      <c r="B601" t="inlineStr" s="10">
        <is>
          <t/>
        </is>
      </c>
      <c r="C601" t="inlineStr" s="10">
        <is>
          <t/>
        </is>
      </c>
      <c r="D601" t="inlineStr" s="10">
        <is>
          <t/>
        </is>
      </c>
      <c r="E601" t="inlineStr" s="10">
        <is>
          <t/>
        </is>
      </c>
      <c r="F601" t="inlineStr" s="10">
        <is>
          <t/>
        </is>
      </c>
      <c r="G601" t="inlineStr" s="10">
        <is>
          <t/>
        </is>
      </c>
      <c r="H601" t="inlineStr" s="10">
        <is>
          <t/>
        </is>
      </c>
      <c r="I601" t="inlineStr" s="10">
        <is>
          <t/>
        </is>
      </c>
    </row>
    <row r="602" ht="28" customHeight="1">
      <c r="A602" t="inlineStr" s="3">
        <is>
          <t>2026年12月-1月｜第四周（12月28日 - 1月3日）</t>
        </is>
      </c>
      <c r="B602" t="inlineStr" s="3">
        <is>
          <t/>
        </is>
      </c>
      <c r="C602" t="inlineStr" s="3">
        <is>
          <t/>
        </is>
      </c>
      <c r="D602" t="inlineStr" s="3">
        <is>
          <t/>
        </is>
      </c>
      <c r="E602" t="inlineStr" s="3">
        <is>
          <t/>
        </is>
      </c>
      <c r="F602" t="inlineStr" s="3">
        <is>
          <t/>
        </is>
      </c>
      <c r="G602" t="inlineStr" s="3">
        <is>
          <t/>
        </is>
      </c>
      <c r="H602" t="inlineStr" s="3">
        <is>
          <t/>
        </is>
      </c>
      <c r="I602" t="inlineStr" s="3">
        <is>
          <t/>
        </is>
      </c>
    </row>
    <row r="603" ht="23" customHeight="1">
      <c r="A603" t="inlineStr" s="4">
        <is>
          <t>日期</t>
        </is>
      </c>
      <c r="B603" t="inlineStr" s="4">
        <is>
          <t>星期</t>
        </is>
      </c>
      <c r="C603" t="inlineStr" s="4">
        <is>
          <t>分类</t>
        </is>
      </c>
      <c r="D603" t="inlineStr" s="4">
        <is>
          <t>事项</t>
        </is>
      </c>
      <c r="E603" t="inlineStr" s="4">
        <is>
          <t>支出金额</t>
        </is>
      </c>
      <c r="F603" t="inlineStr" s="4">
        <is>
          <t>收入金额</t>
        </is>
      </c>
      <c r="G603" t="inlineStr" s="4">
        <is>
          <t>当笔净额</t>
        </is>
      </c>
      <c r="H603" t="inlineStr" s="4">
        <is>
          <t>支付方式</t>
        </is>
      </c>
      <c r="I603" t="inlineStr" s="4">
        <is>
          <t>备注</t>
        </is>
      </c>
    </row>
    <row r="604" ht="22" customHeight="1">
      <c r="A604" t="inlineStr" s="6">
        <is>
          <t/>
        </is>
      </c>
      <c r="B604" s="5">
        <f>IF(A604="","",TEXT(A604,"aaa"))</f>
      </c>
      <c r="C604" t="inlineStr" s="5">
        <is>
          <t/>
        </is>
      </c>
      <c r="D604" t="inlineStr" s="5">
        <is>
          <t/>
        </is>
      </c>
      <c r="E604" t="inlineStr" s="7">
        <is>
          <t/>
        </is>
      </c>
      <c r="F604" t="inlineStr" s="7">
        <is>
          <t/>
        </is>
      </c>
      <c r="G604" s="8">
        <f>IF(AND(E604="",F604=""),"",F604-E604)</f>
      </c>
      <c r="H604" t="inlineStr" s="5">
        <is>
          <t/>
        </is>
      </c>
      <c r="I604" t="inlineStr" s="5">
        <is>
          <t/>
        </is>
      </c>
    </row>
    <row r="605" ht="22" customHeight="1">
      <c r="A605" t="inlineStr" s="6">
        <is>
          <t/>
        </is>
      </c>
      <c r="B605" s="5">
        <f>IF(A605="","",TEXT(A605,"aaa"))</f>
      </c>
      <c r="C605" t="inlineStr" s="5">
        <is>
          <t/>
        </is>
      </c>
      <c r="D605" t="inlineStr" s="5">
        <is>
          <t/>
        </is>
      </c>
      <c r="E605" t="inlineStr" s="7">
        <is>
          <t/>
        </is>
      </c>
      <c r="F605" t="inlineStr" s="7">
        <is>
          <t/>
        </is>
      </c>
      <c r="G605" s="8">
        <f>IF(AND(E605="",F605=""),"",F605-E605)</f>
      </c>
      <c r="H605" t="inlineStr" s="5">
        <is>
          <t/>
        </is>
      </c>
      <c r="I605" t="inlineStr" s="5">
        <is>
          <t/>
        </is>
      </c>
    </row>
    <row r="606" ht="22" customHeight="1">
      <c r="A606" t="inlineStr" s="6">
        <is>
          <t/>
        </is>
      </c>
      <c r="B606" s="5">
        <f>IF(A606="","",TEXT(A606,"aaa"))</f>
      </c>
      <c r="C606" t="inlineStr" s="5">
        <is>
          <t/>
        </is>
      </c>
      <c r="D606" t="inlineStr" s="5">
        <is>
          <t/>
        </is>
      </c>
      <c r="E606" t="inlineStr" s="7">
        <is>
          <t/>
        </is>
      </c>
      <c r="F606" t="inlineStr" s="7">
        <is>
          <t/>
        </is>
      </c>
      <c r="G606" s="8">
        <f>IF(AND(E606="",F606=""),"",F606-E606)</f>
      </c>
      <c r="H606" t="inlineStr" s="5">
        <is>
          <t/>
        </is>
      </c>
      <c r="I606" t="inlineStr" s="5">
        <is>
          <t/>
        </is>
      </c>
    </row>
    <row r="607" ht="22" customHeight="1">
      <c r="A607" t="inlineStr" s="6">
        <is>
          <t/>
        </is>
      </c>
      <c r="B607" s="5">
        <f>IF(A607="","",TEXT(A607,"aaa"))</f>
      </c>
      <c r="C607" t="inlineStr" s="5">
        <is>
          <t/>
        </is>
      </c>
      <c r="D607" t="inlineStr" s="5">
        <is>
          <t/>
        </is>
      </c>
      <c r="E607" t="inlineStr" s="7">
        <is>
          <t/>
        </is>
      </c>
      <c r="F607" t="inlineStr" s="7">
        <is>
          <t/>
        </is>
      </c>
      <c r="G607" s="8">
        <f>IF(AND(E607="",F607=""),"",F607-E607)</f>
      </c>
      <c r="H607" t="inlineStr" s="5">
        <is>
          <t/>
        </is>
      </c>
      <c r="I607" t="inlineStr" s="5">
        <is>
          <t/>
        </is>
      </c>
    </row>
    <row r="608" ht="22" customHeight="1">
      <c r="A608" t="inlineStr" s="6">
        <is>
          <t/>
        </is>
      </c>
      <c r="B608" s="5">
        <f>IF(A608="","",TEXT(A608,"aaa"))</f>
      </c>
      <c r="C608" t="inlineStr" s="5">
        <is>
          <t/>
        </is>
      </c>
      <c r="D608" t="inlineStr" s="5">
        <is>
          <t/>
        </is>
      </c>
      <c r="E608" t="inlineStr" s="7">
        <is>
          <t/>
        </is>
      </c>
      <c r="F608" t="inlineStr" s="7">
        <is>
          <t/>
        </is>
      </c>
      <c r="G608" s="8">
        <f>IF(AND(E608="",F608=""),"",F608-E608)</f>
      </c>
      <c r="H608" t="inlineStr" s="5">
        <is>
          <t/>
        </is>
      </c>
      <c r="I608" t="inlineStr" s="5">
        <is>
          <t/>
        </is>
      </c>
    </row>
    <row r="609" ht="22" customHeight="1">
      <c r="A609" t="inlineStr" s="6">
        <is>
          <t/>
        </is>
      </c>
      <c r="B609" s="5">
        <f>IF(A609="","",TEXT(A609,"aaa"))</f>
      </c>
      <c r="C609" t="inlineStr" s="5">
        <is>
          <t/>
        </is>
      </c>
      <c r="D609" t="inlineStr" s="5">
        <is>
          <t/>
        </is>
      </c>
      <c r="E609" t="inlineStr" s="7">
        <is>
          <t/>
        </is>
      </c>
      <c r="F609" t="inlineStr" s="7">
        <is>
          <t/>
        </is>
      </c>
      <c r="G609" s="8">
        <f>IF(AND(E609="",F609=""),"",F609-E609)</f>
      </c>
      <c r="H609" t="inlineStr" s="5">
        <is>
          <t/>
        </is>
      </c>
      <c r="I609" t="inlineStr" s="5">
        <is>
          <t/>
        </is>
      </c>
    </row>
    <row r="610" ht="22" customHeight="1">
      <c r="A610" t="inlineStr" s="6">
        <is>
          <t/>
        </is>
      </c>
      <c r="B610" s="5">
        <f>IF(A610="","",TEXT(A610,"aaa"))</f>
      </c>
      <c r="C610" t="inlineStr" s="5">
        <is>
          <t/>
        </is>
      </c>
      <c r="D610" t="inlineStr" s="5">
        <is>
          <t/>
        </is>
      </c>
      <c r="E610" t="inlineStr" s="7">
        <is>
          <t/>
        </is>
      </c>
      <c r="F610" t="inlineStr" s="7">
        <is>
          <t/>
        </is>
      </c>
      <c r="G610" s="8">
        <f>IF(AND(E610="",F610=""),"",F610-E610)</f>
      </c>
      <c r="H610" t="inlineStr" s="5">
        <is>
          <t/>
        </is>
      </c>
      <c r="I610" t="inlineStr" s="5">
        <is>
          <t/>
        </is>
      </c>
    </row>
    <row r="611" ht="22" customHeight="1">
      <c r="A611" t="inlineStr" s="6">
        <is>
          <t/>
        </is>
      </c>
      <c r="B611" s="5">
        <f>IF(A611="","",TEXT(A611,"aaa"))</f>
      </c>
      <c r="C611" t="inlineStr" s="5">
        <is>
          <t/>
        </is>
      </c>
      <c r="D611" t="inlineStr" s="5">
        <is>
          <t/>
        </is>
      </c>
      <c r="E611" t="inlineStr" s="7">
        <is>
          <t/>
        </is>
      </c>
      <c r="F611" t="inlineStr" s="7">
        <is>
          <t/>
        </is>
      </c>
      <c r="G611" s="8">
        <f>IF(AND(E611="",F611=""),"",F611-E611)</f>
      </c>
      <c r="H611" t="inlineStr" s="5">
        <is>
          <t/>
        </is>
      </c>
      <c r="I611" t="inlineStr" s="5">
        <is>
          <t/>
        </is>
      </c>
    </row>
    <row r="612" ht="22" customHeight="1">
      <c r="A612" t="inlineStr" s="6">
        <is>
          <t/>
        </is>
      </c>
      <c r="B612" s="5">
        <f>IF(A612="","",TEXT(A612,"aaa"))</f>
      </c>
      <c r="C612" t="inlineStr" s="5">
        <is>
          <t/>
        </is>
      </c>
      <c r="D612" t="inlineStr" s="5">
        <is>
          <t/>
        </is>
      </c>
      <c r="E612" t="inlineStr" s="7">
        <is>
          <t/>
        </is>
      </c>
      <c r="F612" t="inlineStr" s="7">
        <is>
          <t/>
        </is>
      </c>
      <c r="G612" s="8">
        <f>IF(AND(E612="",F612=""),"",F612-E612)</f>
      </c>
      <c r="H612" t="inlineStr" s="5">
        <is>
          <t/>
        </is>
      </c>
      <c r="I612" t="inlineStr" s="5">
        <is>
          <t/>
        </is>
      </c>
    </row>
    <row r="613" ht="22" customHeight="1">
      <c r="A613" t="inlineStr" s="6">
        <is>
          <t/>
        </is>
      </c>
      <c r="B613" s="5">
        <f>IF(A613="","",TEXT(A613,"aaa"))</f>
      </c>
      <c r="C613" t="inlineStr" s="5">
        <is>
          <t/>
        </is>
      </c>
      <c r="D613" t="inlineStr" s="5">
        <is>
          <t/>
        </is>
      </c>
      <c r="E613" t="inlineStr" s="7">
        <is>
          <t/>
        </is>
      </c>
      <c r="F613" t="inlineStr" s="7">
        <is>
          <t/>
        </is>
      </c>
      <c r="G613" s="8">
        <f>IF(AND(E613="",F613=""),"",F613-E613)</f>
      </c>
      <c r="H613" t="inlineStr" s="5">
        <is>
          <t/>
        </is>
      </c>
      <c r="I613" t="inlineStr" s="5">
        <is>
          <t/>
        </is>
      </c>
    </row>
    <row r="614" ht="22" customHeight="1">
      <c r="A614" t="inlineStr" s="6">
        <is>
          <t/>
        </is>
      </c>
      <c r="B614" s="5">
        <f>IF(A614="","",TEXT(A614,"aaa"))</f>
      </c>
      <c r="C614" t="inlineStr" s="5">
        <is>
          <t/>
        </is>
      </c>
      <c r="D614" t="inlineStr" s="5">
        <is>
          <t/>
        </is>
      </c>
      <c r="E614" t="inlineStr" s="7">
        <is>
          <t/>
        </is>
      </c>
      <c r="F614" t="inlineStr" s="7">
        <is>
          <t/>
        </is>
      </c>
      <c r="G614" s="8">
        <f>IF(AND(E614="",F614=""),"",F614-E614)</f>
      </c>
      <c r="H614" t="inlineStr" s="5">
        <is>
          <t/>
        </is>
      </c>
      <c r="I614" t="inlineStr" s="5">
        <is>
          <t/>
        </is>
      </c>
    </row>
    <row r="615" ht="22" customHeight="1">
      <c r="A615" t="inlineStr" s="6">
        <is>
          <t/>
        </is>
      </c>
      <c r="B615" s="5">
        <f>IF(A615="","",TEXT(A615,"aaa"))</f>
      </c>
      <c r="C615" t="inlineStr" s="5">
        <is>
          <t/>
        </is>
      </c>
      <c r="D615" t="inlineStr" s="5">
        <is>
          <t/>
        </is>
      </c>
      <c r="E615" t="inlineStr" s="7">
        <is>
          <t/>
        </is>
      </c>
      <c r="F615" t="inlineStr" s="7">
        <is>
          <t/>
        </is>
      </c>
      <c r="G615" s="8">
        <f>IF(AND(E615="",F615=""),"",F615-E615)</f>
      </c>
      <c r="H615" t="inlineStr" s="5">
        <is>
          <t/>
        </is>
      </c>
      <c r="I615" t="inlineStr" s="5">
        <is>
          <t/>
        </is>
      </c>
    </row>
    <row r="616" ht="22" customHeight="1">
      <c r="A616" t="inlineStr" s="6">
        <is>
          <t/>
        </is>
      </c>
      <c r="B616" s="5">
        <f>IF(A616="","",TEXT(A616,"aaa"))</f>
      </c>
      <c r="C616" t="inlineStr" s="5">
        <is>
          <t/>
        </is>
      </c>
      <c r="D616" t="inlineStr" s="5">
        <is>
          <t/>
        </is>
      </c>
      <c r="E616" t="inlineStr" s="7">
        <is>
          <t/>
        </is>
      </c>
      <c r="F616" t="inlineStr" s="7">
        <is>
          <t/>
        </is>
      </c>
      <c r="G616" s="8">
        <f>IF(AND(E616="",F616=""),"",F616-E616)</f>
      </c>
      <c r="H616" t="inlineStr" s="5">
        <is>
          <t/>
        </is>
      </c>
      <c r="I616" t="inlineStr" s="5">
        <is>
          <t/>
        </is>
      </c>
    </row>
    <row r="617" ht="22" customHeight="1">
      <c r="A617" t="inlineStr" s="6">
        <is>
          <t/>
        </is>
      </c>
      <c r="B617" s="5">
        <f>IF(A617="","",TEXT(A617,"aaa"))</f>
      </c>
      <c r="C617" t="inlineStr" s="5">
        <is>
          <t/>
        </is>
      </c>
      <c r="D617" t="inlineStr" s="5">
        <is>
          <t/>
        </is>
      </c>
      <c r="E617" t="inlineStr" s="7">
        <is>
          <t/>
        </is>
      </c>
      <c r="F617" t="inlineStr" s="7">
        <is>
          <t/>
        </is>
      </c>
      <c r="G617" s="8">
        <f>IF(AND(E617="",F617=""),"",F617-E617)</f>
      </c>
      <c r="H617" t="inlineStr" s="5">
        <is>
          <t/>
        </is>
      </c>
      <c r="I617" t="inlineStr" s="5">
        <is>
          <t/>
        </is>
      </c>
    </row>
    <row r="618" ht="22" customHeight="1">
      <c r="A618" t="inlineStr" s="6">
        <is>
          <t/>
        </is>
      </c>
      <c r="B618" s="5">
        <f>IF(A618="","",TEXT(A618,"aaa"))</f>
      </c>
      <c r="C618" t="inlineStr" s="5">
        <is>
          <t/>
        </is>
      </c>
      <c r="D618" t="inlineStr" s="5">
        <is>
          <t/>
        </is>
      </c>
      <c r="E618" t="inlineStr" s="7">
        <is>
          <t/>
        </is>
      </c>
      <c r="F618" t="inlineStr" s="7">
        <is>
          <t/>
        </is>
      </c>
      <c r="G618" s="8">
        <f>IF(AND(E618="",F618=""),"",F618-E618)</f>
      </c>
      <c r="H618" t="inlineStr" s="5">
        <is>
          <t/>
        </is>
      </c>
      <c r="I618" t="inlineStr" s="5">
        <is>
          <t/>
        </is>
      </c>
    </row>
    <row r="619" ht="24" customHeight="1">
      <c r="A619" t="inlineStr" s="9">
        <is>
          <t>本周小计</t>
        </is>
      </c>
      <c r="B619" t="inlineStr" s="9">
        <is>
          <t/>
        </is>
      </c>
      <c r="C619" t="inlineStr" s="9">
        <is>
          <t/>
        </is>
      </c>
      <c r="D619" t="inlineStr" s="9">
        <is>
          <t/>
        </is>
      </c>
      <c r="E619" s="9">
        <f>SUM(E604:E618)</f>
      </c>
      <c r="F619" s="9">
        <f>SUM(F604:F618)</f>
      </c>
      <c r="G619" s="9">
        <f>SUM(G604:G618)</f>
      </c>
      <c r="H619" t="inlineStr" s="9">
        <is>
          <t/>
        </is>
      </c>
      <c r="I619" t="inlineStr" s="9">
        <is>
          <t/>
        </is>
      </c>
    </row>
    <row r="620" ht="18" customHeight="1">
      <c r="A620" t="inlineStr" s="10">
        <is>
          <t/>
        </is>
      </c>
      <c r="B620" t="inlineStr" s="10">
        <is>
          <t/>
        </is>
      </c>
      <c r="C620" t="inlineStr" s="10">
        <is>
          <t/>
        </is>
      </c>
      <c r="D620" t="inlineStr" s="10">
        <is>
          <t/>
        </is>
      </c>
      <c r="E620" t="inlineStr" s="10">
        <is>
          <t/>
        </is>
      </c>
      <c r="F620" t="inlineStr" s="10">
        <is>
          <t/>
        </is>
      </c>
      <c r="G620" t="inlineStr" s="10">
        <is>
          <t/>
        </is>
      </c>
      <c r="H620" t="inlineStr" s="10">
        <is>
          <t/>
        </is>
      </c>
      <c r="I620" t="inlineStr" s="10">
        <is>
          <t/>
        </is>
      </c>
    </row>
    <row r="621" ht="18" customHeight="1">
      <c r="A621" t="inlineStr" s="10">
        <is>
          <t/>
        </is>
      </c>
      <c r="B621" t="inlineStr" s="10">
        <is>
          <t/>
        </is>
      </c>
      <c r="C621" t="inlineStr" s="10">
        <is>
          <t/>
        </is>
      </c>
      <c r="D621" t="inlineStr" s="10">
        <is>
          <t/>
        </is>
      </c>
      <c r="E621" t="inlineStr" s="10">
        <is>
          <t/>
        </is>
      </c>
      <c r="F621" t="inlineStr" s="10">
        <is>
          <t/>
        </is>
      </c>
      <c r="G621" t="inlineStr" s="10">
        <is>
          <t/>
        </is>
      </c>
      <c r="H621" t="inlineStr" s="10">
        <is>
          <t/>
        </is>
      </c>
      <c r="I621" t="inlineStr" s="10">
        <is>
          <t/>
        </is>
      </c>
    </row>
    <row r="622" ht="28" customHeight="1">
      <c r="A622" t="inlineStr" s="3">
        <is>
          <t>2027年1月｜第一周（1月4日 - 1月10日）</t>
        </is>
      </c>
      <c r="B622" t="inlineStr" s="3">
        <is>
          <t/>
        </is>
      </c>
      <c r="C622" t="inlineStr" s="3">
        <is>
          <t/>
        </is>
      </c>
      <c r="D622" t="inlineStr" s="3">
        <is>
          <t/>
        </is>
      </c>
      <c r="E622" t="inlineStr" s="3">
        <is>
          <t/>
        </is>
      </c>
      <c r="F622" t="inlineStr" s="3">
        <is>
          <t/>
        </is>
      </c>
      <c r="G622" t="inlineStr" s="3">
        <is>
          <t/>
        </is>
      </c>
      <c r="H622" t="inlineStr" s="3">
        <is>
          <t/>
        </is>
      </c>
      <c r="I622" t="inlineStr" s="3">
        <is>
          <t/>
        </is>
      </c>
    </row>
    <row r="623" ht="23" customHeight="1">
      <c r="A623" t="inlineStr" s="4">
        <is>
          <t>日期</t>
        </is>
      </c>
      <c r="B623" t="inlineStr" s="4">
        <is>
          <t>星期</t>
        </is>
      </c>
      <c r="C623" t="inlineStr" s="4">
        <is>
          <t>分类</t>
        </is>
      </c>
      <c r="D623" t="inlineStr" s="4">
        <is>
          <t>事项</t>
        </is>
      </c>
      <c r="E623" t="inlineStr" s="4">
        <is>
          <t>支出金额</t>
        </is>
      </c>
      <c r="F623" t="inlineStr" s="4">
        <is>
          <t>收入金额</t>
        </is>
      </c>
      <c r="G623" t="inlineStr" s="4">
        <is>
          <t>当笔净额</t>
        </is>
      </c>
      <c r="H623" t="inlineStr" s="4">
        <is>
          <t>支付方式</t>
        </is>
      </c>
      <c r="I623" t="inlineStr" s="4">
        <is>
          <t>备注</t>
        </is>
      </c>
    </row>
    <row r="624" ht="22" customHeight="1">
      <c r="A624" t="inlineStr" s="6">
        <is>
          <t/>
        </is>
      </c>
      <c r="B624" s="5">
        <f>IF(A624="","",TEXT(A624,"aaa"))</f>
      </c>
      <c r="C624" t="inlineStr" s="5">
        <is>
          <t/>
        </is>
      </c>
      <c r="D624" t="inlineStr" s="5">
        <is>
          <t/>
        </is>
      </c>
      <c r="E624" t="inlineStr" s="7">
        <is>
          <t/>
        </is>
      </c>
      <c r="F624" t="inlineStr" s="7">
        <is>
          <t/>
        </is>
      </c>
      <c r="G624" s="8">
        <f>IF(AND(E624="",F624=""),"",F624-E624)</f>
      </c>
      <c r="H624" t="inlineStr" s="5">
        <is>
          <t/>
        </is>
      </c>
      <c r="I624" t="inlineStr" s="5">
        <is>
          <t/>
        </is>
      </c>
    </row>
    <row r="625" ht="22" customHeight="1">
      <c r="A625" t="inlineStr" s="6">
        <is>
          <t/>
        </is>
      </c>
      <c r="B625" s="5">
        <f>IF(A625="","",TEXT(A625,"aaa"))</f>
      </c>
      <c r="C625" t="inlineStr" s="5">
        <is>
          <t/>
        </is>
      </c>
      <c r="D625" t="inlineStr" s="5">
        <is>
          <t/>
        </is>
      </c>
      <c r="E625" t="inlineStr" s="7">
        <is>
          <t/>
        </is>
      </c>
      <c r="F625" t="inlineStr" s="7">
        <is>
          <t/>
        </is>
      </c>
      <c r="G625" s="8">
        <f>IF(AND(E625="",F625=""),"",F625-E625)</f>
      </c>
      <c r="H625" t="inlineStr" s="5">
        <is>
          <t/>
        </is>
      </c>
      <c r="I625" t="inlineStr" s="5">
        <is>
          <t/>
        </is>
      </c>
    </row>
    <row r="626" ht="22" customHeight="1">
      <c r="A626" t="inlineStr" s="6">
        <is>
          <t/>
        </is>
      </c>
      <c r="B626" s="5">
        <f>IF(A626="","",TEXT(A626,"aaa"))</f>
      </c>
      <c r="C626" t="inlineStr" s="5">
        <is>
          <t/>
        </is>
      </c>
      <c r="D626" t="inlineStr" s="5">
        <is>
          <t/>
        </is>
      </c>
      <c r="E626" t="inlineStr" s="7">
        <is>
          <t/>
        </is>
      </c>
      <c r="F626" t="inlineStr" s="7">
        <is>
          <t/>
        </is>
      </c>
      <c r="G626" s="8">
        <f>IF(AND(E626="",F626=""),"",F626-E626)</f>
      </c>
      <c r="H626" t="inlineStr" s="5">
        <is>
          <t/>
        </is>
      </c>
      <c r="I626" t="inlineStr" s="5">
        <is>
          <t/>
        </is>
      </c>
    </row>
    <row r="627" ht="22" customHeight="1">
      <c r="A627" t="inlineStr" s="6">
        <is>
          <t/>
        </is>
      </c>
      <c r="B627" s="5">
        <f>IF(A627="","",TEXT(A627,"aaa"))</f>
      </c>
      <c r="C627" t="inlineStr" s="5">
        <is>
          <t/>
        </is>
      </c>
      <c r="D627" t="inlineStr" s="5">
        <is>
          <t/>
        </is>
      </c>
      <c r="E627" t="inlineStr" s="7">
        <is>
          <t/>
        </is>
      </c>
      <c r="F627" t="inlineStr" s="7">
        <is>
          <t/>
        </is>
      </c>
      <c r="G627" s="8">
        <f>IF(AND(E627="",F627=""),"",F627-E627)</f>
      </c>
      <c r="H627" t="inlineStr" s="5">
        <is>
          <t/>
        </is>
      </c>
      <c r="I627" t="inlineStr" s="5">
        <is>
          <t/>
        </is>
      </c>
    </row>
    <row r="628" ht="22" customHeight="1">
      <c r="A628" t="inlineStr" s="6">
        <is>
          <t/>
        </is>
      </c>
      <c r="B628" s="5">
        <f>IF(A628="","",TEXT(A628,"aaa"))</f>
      </c>
      <c r="C628" t="inlineStr" s="5">
        <is>
          <t/>
        </is>
      </c>
      <c r="D628" t="inlineStr" s="5">
        <is>
          <t/>
        </is>
      </c>
      <c r="E628" t="inlineStr" s="7">
        <is>
          <t/>
        </is>
      </c>
      <c r="F628" t="inlineStr" s="7">
        <is>
          <t/>
        </is>
      </c>
      <c r="G628" s="8">
        <f>IF(AND(E628="",F628=""),"",F628-E628)</f>
      </c>
      <c r="H628" t="inlineStr" s="5">
        <is>
          <t/>
        </is>
      </c>
      <c r="I628" t="inlineStr" s="5">
        <is>
          <t/>
        </is>
      </c>
    </row>
    <row r="629" ht="22" customHeight="1">
      <c r="A629" t="inlineStr" s="6">
        <is>
          <t/>
        </is>
      </c>
      <c r="B629" s="5">
        <f>IF(A629="","",TEXT(A629,"aaa"))</f>
      </c>
      <c r="C629" t="inlineStr" s="5">
        <is>
          <t/>
        </is>
      </c>
      <c r="D629" t="inlineStr" s="5">
        <is>
          <t/>
        </is>
      </c>
      <c r="E629" t="inlineStr" s="7">
        <is>
          <t/>
        </is>
      </c>
      <c r="F629" t="inlineStr" s="7">
        <is>
          <t/>
        </is>
      </c>
      <c r="G629" s="8">
        <f>IF(AND(E629="",F629=""),"",F629-E629)</f>
      </c>
      <c r="H629" t="inlineStr" s="5">
        <is>
          <t/>
        </is>
      </c>
      <c r="I629" t="inlineStr" s="5">
        <is>
          <t/>
        </is>
      </c>
    </row>
    <row r="630" ht="22" customHeight="1">
      <c r="A630" t="inlineStr" s="6">
        <is>
          <t/>
        </is>
      </c>
      <c r="B630" s="5">
        <f>IF(A630="","",TEXT(A630,"aaa"))</f>
      </c>
      <c r="C630" t="inlineStr" s="5">
        <is>
          <t/>
        </is>
      </c>
      <c r="D630" t="inlineStr" s="5">
        <is>
          <t/>
        </is>
      </c>
      <c r="E630" t="inlineStr" s="7">
        <is>
          <t/>
        </is>
      </c>
      <c r="F630" t="inlineStr" s="7">
        <is>
          <t/>
        </is>
      </c>
      <c r="G630" s="8">
        <f>IF(AND(E630="",F630=""),"",F630-E630)</f>
      </c>
      <c r="H630" t="inlineStr" s="5">
        <is>
          <t/>
        </is>
      </c>
      <c r="I630" t="inlineStr" s="5">
        <is>
          <t/>
        </is>
      </c>
    </row>
    <row r="631" ht="22" customHeight="1">
      <c r="A631" t="inlineStr" s="6">
        <is>
          <t/>
        </is>
      </c>
      <c r="B631" s="5">
        <f>IF(A631="","",TEXT(A631,"aaa"))</f>
      </c>
      <c r="C631" t="inlineStr" s="5">
        <is>
          <t/>
        </is>
      </c>
      <c r="D631" t="inlineStr" s="5">
        <is>
          <t/>
        </is>
      </c>
      <c r="E631" t="inlineStr" s="7">
        <is>
          <t/>
        </is>
      </c>
      <c r="F631" t="inlineStr" s="7">
        <is>
          <t/>
        </is>
      </c>
      <c r="G631" s="8">
        <f>IF(AND(E631="",F631=""),"",F631-E631)</f>
      </c>
      <c r="H631" t="inlineStr" s="5">
        <is>
          <t/>
        </is>
      </c>
      <c r="I631" t="inlineStr" s="5">
        <is>
          <t/>
        </is>
      </c>
    </row>
    <row r="632" ht="22" customHeight="1">
      <c r="A632" t="inlineStr" s="6">
        <is>
          <t/>
        </is>
      </c>
      <c r="B632" s="5">
        <f>IF(A632="","",TEXT(A632,"aaa"))</f>
      </c>
      <c r="C632" t="inlineStr" s="5">
        <is>
          <t/>
        </is>
      </c>
      <c r="D632" t="inlineStr" s="5">
        <is>
          <t/>
        </is>
      </c>
      <c r="E632" t="inlineStr" s="7">
        <is>
          <t/>
        </is>
      </c>
      <c r="F632" t="inlineStr" s="7">
        <is>
          <t/>
        </is>
      </c>
      <c r="G632" s="8">
        <f>IF(AND(E632="",F632=""),"",F632-E632)</f>
      </c>
      <c r="H632" t="inlineStr" s="5">
        <is>
          <t/>
        </is>
      </c>
      <c r="I632" t="inlineStr" s="5">
        <is>
          <t/>
        </is>
      </c>
    </row>
    <row r="633" ht="22" customHeight="1">
      <c r="A633" t="inlineStr" s="6">
        <is>
          <t/>
        </is>
      </c>
      <c r="B633" s="5">
        <f>IF(A633="","",TEXT(A633,"aaa"))</f>
      </c>
      <c r="C633" t="inlineStr" s="5">
        <is>
          <t/>
        </is>
      </c>
      <c r="D633" t="inlineStr" s="5">
        <is>
          <t/>
        </is>
      </c>
      <c r="E633" t="inlineStr" s="7">
        <is>
          <t/>
        </is>
      </c>
      <c r="F633" t="inlineStr" s="7">
        <is>
          <t/>
        </is>
      </c>
      <c r="G633" s="8">
        <f>IF(AND(E633="",F633=""),"",F633-E633)</f>
      </c>
      <c r="H633" t="inlineStr" s="5">
        <is>
          <t/>
        </is>
      </c>
      <c r="I633" t="inlineStr" s="5">
        <is>
          <t/>
        </is>
      </c>
    </row>
    <row r="634" ht="22" customHeight="1">
      <c r="A634" t="inlineStr" s="6">
        <is>
          <t/>
        </is>
      </c>
      <c r="B634" s="5">
        <f>IF(A634="","",TEXT(A634,"aaa"))</f>
      </c>
      <c r="C634" t="inlineStr" s="5">
        <is>
          <t/>
        </is>
      </c>
      <c r="D634" t="inlineStr" s="5">
        <is>
          <t/>
        </is>
      </c>
      <c r="E634" t="inlineStr" s="7">
        <is>
          <t/>
        </is>
      </c>
      <c r="F634" t="inlineStr" s="7">
        <is>
          <t/>
        </is>
      </c>
      <c r="G634" s="8">
        <f>IF(AND(E634="",F634=""),"",F634-E634)</f>
      </c>
      <c r="H634" t="inlineStr" s="5">
        <is>
          <t/>
        </is>
      </c>
      <c r="I634" t="inlineStr" s="5">
        <is>
          <t/>
        </is>
      </c>
    </row>
    <row r="635" ht="22" customHeight="1">
      <c r="A635" t="inlineStr" s="6">
        <is>
          <t/>
        </is>
      </c>
      <c r="B635" s="5">
        <f>IF(A635="","",TEXT(A635,"aaa"))</f>
      </c>
      <c r="C635" t="inlineStr" s="5">
        <is>
          <t/>
        </is>
      </c>
      <c r="D635" t="inlineStr" s="5">
        <is>
          <t/>
        </is>
      </c>
      <c r="E635" t="inlineStr" s="7">
        <is>
          <t/>
        </is>
      </c>
      <c r="F635" t="inlineStr" s="7">
        <is>
          <t/>
        </is>
      </c>
      <c r="G635" s="8">
        <f>IF(AND(E635="",F635=""),"",F635-E635)</f>
      </c>
      <c r="H635" t="inlineStr" s="5">
        <is>
          <t/>
        </is>
      </c>
      <c r="I635" t="inlineStr" s="5">
        <is>
          <t/>
        </is>
      </c>
    </row>
    <row r="636" ht="22" customHeight="1">
      <c r="A636" t="inlineStr" s="6">
        <is>
          <t/>
        </is>
      </c>
      <c r="B636" s="5">
        <f>IF(A636="","",TEXT(A636,"aaa"))</f>
      </c>
      <c r="C636" t="inlineStr" s="5">
        <is>
          <t/>
        </is>
      </c>
      <c r="D636" t="inlineStr" s="5">
        <is>
          <t/>
        </is>
      </c>
      <c r="E636" t="inlineStr" s="7">
        <is>
          <t/>
        </is>
      </c>
      <c r="F636" t="inlineStr" s="7">
        <is>
          <t/>
        </is>
      </c>
      <c r="G636" s="8">
        <f>IF(AND(E636="",F636=""),"",F636-E636)</f>
      </c>
      <c r="H636" t="inlineStr" s="5">
        <is>
          <t/>
        </is>
      </c>
      <c r="I636" t="inlineStr" s="5">
        <is>
          <t/>
        </is>
      </c>
    </row>
    <row r="637" ht="22" customHeight="1">
      <c r="A637" t="inlineStr" s="6">
        <is>
          <t/>
        </is>
      </c>
      <c r="B637" s="5">
        <f>IF(A637="","",TEXT(A637,"aaa"))</f>
      </c>
      <c r="C637" t="inlineStr" s="5">
        <is>
          <t/>
        </is>
      </c>
      <c r="D637" t="inlineStr" s="5">
        <is>
          <t/>
        </is>
      </c>
      <c r="E637" t="inlineStr" s="7">
        <is>
          <t/>
        </is>
      </c>
      <c r="F637" t="inlineStr" s="7">
        <is>
          <t/>
        </is>
      </c>
      <c r="G637" s="8">
        <f>IF(AND(E637="",F637=""),"",F637-E637)</f>
      </c>
      <c r="H637" t="inlineStr" s="5">
        <is>
          <t/>
        </is>
      </c>
      <c r="I637" t="inlineStr" s="5">
        <is>
          <t/>
        </is>
      </c>
    </row>
    <row r="638" ht="22" customHeight="1">
      <c r="A638" t="inlineStr" s="6">
        <is>
          <t/>
        </is>
      </c>
      <c r="B638" s="5">
        <f>IF(A638="","",TEXT(A638,"aaa"))</f>
      </c>
      <c r="C638" t="inlineStr" s="5">
        <is>
          <t/>
        </is>
      </c>
      <c r="D638" t="inlineStr" s="5">
        <is>
          <t/>
        </is>
      </c>
      <c r="E638" t="inlineStr" s="7">
        <is>
          <t/>
        </is>
      </c>
      <c r="F638" t="inlineStr" s="7">
        <is>
          <t/>
        </is>
      </c>
      <c r="G638" s="8">
        <f>IF(AND(E638="",F638=""),"",F638-E638)</f>
      </c>
      <c r="H638" t="inlineStr" s="5">
        <is>
          <t/>
        </is>
      </c>
      <c r="I638" t="inlineStr" s="5">
        <is>
          <t/>
        </is>
      </c>
    </row>
    <row r="639" ht="24" customHeight="1">
      <c r="A639" t="inlineStr" s="9">
        <is>
          <t>本周小计</t>
        </is>
      </c>
      <c r="B639" t="inlineStr" s="9">
        <is>
          <t/>
        </is>
      </c>
      <c r="C639" t="inlineStr" s="9">
        <is>
          <t/>
        </is>
      </c>
      <c r="D639" t="inlineStr" s="9">
        <is>
          <t/>
        </is>
      </c>
      <c r="E639" s="9">
        <f>SUM(E624:E638)</f>
      </c>
      <c r="F639" s="9">
        <f>SUM(F624:F638)</f>
      </c>
      <c r="G639" s="9">
        <f>SUM(G624:G638)</f>
      </c>
      <c r="H639" t="inlineStr" s="9">
        <is>
          <t/>
        </is>
      </c>
      <c r="I639" t="inlineStr" s="9">
        <is>
          <t/>
        </is>
      </c>
    </row>
    <row r="640" ht="18" customHeight="1">
      <c r="A640" t="inlineStr" s="10">
        <is>
          <t/>
        </is>
      </c>
      <c r="B640" t="inlineStr" s="10">
        <is>
          <t/>
        </is>
      </c>
      <c r="C640" t="inlineStr" s="10">
        <is>
          <t/>
        </is>
      </c>
      <c r="D640" t="inlineStr" s="10">
        <is>
          <t/>
        </is>
      </c>
      <c r="E640" t="inlineStr" s="10">
        <is>
          <t/>
        </is>
      </c>
      <c r="F640" t="inlineStr" s="10">
        <is>
          <t/>
        </is>
      </c>
      <c r="G640" t="inlineStr" s="10">
        <is>
          <t/>
        </is>
      </c>
      <c r="H640" t="inlineStr" s="10">
        <is>
          <t/>
        </is>
      </c>
      <c r="I640" t="inlineStr" s="10">
        <is>
          <t/>
        </is>
      </c>
    </row>
    <row r="641" ht="18" customHeight="1">
      <c r="A641" t="inlineStr" s="10">
        <is>
          <t/>
        </is>
      </c>
      <c r="B641" t="inlineStr" s="10">
        <is>
          <t/>
        </is>
      </c>
      <c r="C641" t="inlineStr" s="10">
        <is>
          <t/>
        </is>
      </c>
      <c r="D641" t="inlineStr" s="10">
        <is>
          <t/>
        </is>
      </c>
      <c r="E641" t="inlineStr" s="10">
        <is>
          <t/>
        </is>
      </c>
      <c r="F641" t="inlineStr" s="10">
        <is>
          <t/>
        </is>
      </c>
      <c r="G641" t="inlineStr" s="10">
        <is>
          <t/>
        </is>
      </c>
      <c r="H641" t="inlineStr" s="10">
        <is>
          <t/>
        </is>
      </c>
      <c r="I641" t="inlineStr" s="10">
        <is>
          <t/>
        </is>
      </c>
    </row>
    <row r="642" ht="28" customHeight="1">
      <c r="A642" t="inlineStr" s="3">
        <is>
          <t>2027年1月｜第二周（1月11日 - 1月17日）</t>
        </is>
      </c>
      <c r="B642" t="inlineStr" s="3">
        <is>
          <t/>
        </is>
      </c>
      <c r="C642" t="inlineStr" s="3">
        <is>
          <t/>
        </is>
      </c>
      <c r="D642" t="inlineStr" s="3">
        <is>
          <t/>
        </is>
      </c>
      <c r="E642" t="inlineStr" s="3">
        <is>
          <t/>
        </is>
      </c>
      <c r="F642" t="inlineStr" s="3">
        <is>
          <t/>
        </is>
      </c>
      <c r="G642" t="inlineStr" s="3">
        <is>
          <t/>
        </is>
      </c>
      <c r="H642" t="inlineStr" s="3">
        <is>
          <t/>
        </is>
      </c>
      <c r="I642" t="inlineStr" s="3">
        <is>
          <t/>
        </is>
      </c>
    </row>
    <row r="643" ht="23" customHeight="1">
      <c r="A643" t="inlineStr" s="4">
        <is>
          <t>日期</t>
        </is>
      </c>
      <c r="B643" t="inlineStr" s="4">
        <is>
          <t>星期</t>
        </is>
      </c>
      <c r="C643" t="inlineStr" s="4">
        <is>
          <t>分类</t>
        </is>
      </c>
      <c r="D643" t="inlineStr" s="4">
        <is>
          <t>事项</t>
        </is>
      </c>
      <c r="E643" t="inlineStr" s="4">
        <is>
          <t>支出金额</t>
        </is>
      </c>
      <c r="F643" t="inlineStr" s="4">
        <is>
          <t>收入金额</t>
        </is>
      </c>
      <c r="G643" t="inlineStr" s="4">
        <is>
          <t>当笔净额</t>
        </is>
      </c>
      <c r="H643" t="inlineStr" s="4">
        <is>
          <t>支付方式</t>
        </is>
      </c>
      <c r="I643" t="inlineStr" s="4">
        <is>
          <t>备注</t>
        </is>
      </c>
    </row>
    <row r="644" ht="22" customHeight="1">
      <c r="A644" t="inlineStr" s="6">
        <is>
          <t/>
        </is>
      </c>
      <c r="B644" s="5">
        <f>IF(A644="","",TEXT(A644,"aaa"))</f>
      </c>
      <c r="C644" t="inlineStr" s="5">
        <is>
          <t/>
        </is>
      </c>
      <c r="D644" t="inlineStr" s="5">
        <is>
          <t/>
        </is>
      </c>
      <c r="E644" t="inlineStr" s="7">
        <is>
          <t/>
        </is>
      </c>
      <c r="F644" t="inlineStr" s="7">
        <is>
          <t/>
        </is>
      </c>
      <c r="G644" s="8">
        <f>IF(AND(E644="",F644=""),"",F644-E644)</f>
      </c>
      <c r="H644" t="inlineStr" s="5">
        <is>
          <t/>
        </is>
      </c>
      <c r="I644" t="inlineStr" s="5">
        <is>
          <t/>
        </is>
      </c>
    </row>
    <row r="645" ht="22" customHeight="1">
      <c r="A645" t="inlineStr" s="6">
        <is>
          <t/>
        </is>
      </c>
      <c r="B645" s="5">
        <f>IF(A645="","",TEXT(A645,"aaa"))</f>
      </c>
      <c r="C645" t="inlineStr" s="5">
        <is>
          <t/>
        </is>
      </c>
      <c r="D645" t="inlineStr" s="5">
        <is>
          <t/>
        </is>
      </c>
      <c r="E645" t="inlineStr" s="7">
        <is>
          <t/>
        </is>
      </c>
      <c r="F645" t="inlineStr" s="7">
        <is>
          <t/>
        </is>
      </c>
      <c r="G645" s="8">
        <f>IF(AND(E645="",F645=""),"",F645-E645)</f>
      </c>
      <c r="H645" t="inlineStr" s="5">
        <is>
          <t/>
        </is>
      </c>
      <c r="I645" t="inlineStr" s="5">
        <is>
          <t/>
        </is>
      </c>
    </row>
    <row r="646" ht="22" customHeight="1">
      <c r="A646" t="inlineStr" s="6">
        <is>
          <t/>
        </is>
      </c>
      <c r="B646" s="5">
        <f>IF(A646="","",TEXT(A646,"aaa"))</f>
      </c>
      <c r="C646" t="inlineStr" s="5">
        <is>
          <t/>
        </is>
      </c>
      <c r="D646" t="inlineStr" s="5">
        <is>
          <t/>
        </is>
      </c>
      <c r="E646" t="inlineStr" s="7">
        <is>
          <t/>
        </is>
      </c>
      <c r="F646" t="inlineStr" s="7">
        <is>
          <t/>
        </is>
      </c>
      <c r="G646" s="8">
        <f>IF(AND(E646="",F646=""),"",F646-E646)</f>
      </c>
      <c r="H646" t="inlineStr" s="5">
        <is>
          <t/>
        </is>
      </c>
      <c r="I646" t="inlineStr" s="5">
        <is>
          <t/>
        </is>
      </c>
    </row>
    <row r="647" ht="22" customHeight="1">
      <c r="A647" t="inlineStr" s="6">
        <is>
          <t/>
        </is>
      </c>
      <c r="B647" s="5">
        <f>IF(A647="","",TEXT(A647,"aaa"))</f>
      </c>
      <c r="C647" t="inlineStr" s="5">
        <is>
          <t/>
        </is>
      </c>
      <c r="D647" t="inlineStr" s="5">
        <is>
          <t/>
        </is>
      </c>
      <c r="E647" t="inlineStr" s="7">
        <is>
          <t/>
        </is>
      </c>
      <c r="F647" t="inlineStr" s="7">
        <is>
          <t/>
        </is>
      </c>
      <c r="G647" s="8">
        <f>IF(AND(E647="",F647=""),"",F647-E647)</f>
      </c>
      <c r="H647" t="inlineStr" s="5">
        <is>
          <t/>
        </is>
      </c>
      <c r="I647" t="inlineStr" s="5">
        <is>
          <t/>
        </is>
      </c>
    </row>
    <row r="648" ht="22" customHeight="1">
      <c r="A648" t="inlineStr" s="6">
        <is>
          <t/>
        </is>
      </c>
      <c r="B648" s="5">
        <f>IF(A648="","",TEXT(A648,"aaa"))</f>
      </c>
      <c r="C648" t="inlineStr" s="5">
        <is>
          <t/>
        </is>
      </c>
      <c r="D648" t="inlineStr" s="5">
        <is>
          <t/>
        </is>
      </c>
      <c r="E648" t="inlineStr" s="7">
        <is>
          <t/>
        </is>
      </c>
      <c r="F648" t="inlineStr" s="7">
        <is>
          <t/>
        </is>
      </c>
      <c r="G648" s="8">
        <f>IF(AND(E648="",F648=""),"",F648-E648)</f>
      </c>
      <c r="H648" t="inlineStr" s="5">
        <is>
          <t/>
        </is>
      </c>
      <c r="I648" t="inlineStr" s="5">
        <is>
          <t/>
        </is>
      </c>
    </row>
    <row r="649" ht="22" customHeight="1">
      <c r="A649" t="inlineStr" s="6">
        <is>
          <t/>
        </is>
      </c>
      <c r="B649" s="5">
        <f>IF(A649="","",TEXT(A649,"aaa"))</f>
      </c>
      <c r="C649" t="inlineStr" s="5">
        <is>
          <t/>
        </is>
      </c>
      <c r="D649" t="inlineStr" s="5">
        <is>
          <t/>
        </is>
      </c>
      <c r="E649" t="inlineStr" s="7">
        <is>
          <t/>
        </is>
      </c>
      <c r="F649" t="inlineStr" s="7">
        <is>
          <t/>
        </is>
      </c>
      <c r="G649" s="8">
        <f>IF(AND(E649="",F649=""),"",F649-E649)</f>
      </c>
      <c r="H649" t="inlineStr" s="5">
        <is>
          <t/>
        </is>
      </c>
      <c r="I649" t="inlineStr" s="5">
        <is>
          <t/>
        </is>
      </c>
    </row>
    <row r="650" ht="22" customHeight="1">
      <c r="A650" t="inlineStr" s="6">
        <is>
          <t/>
        </is>
      </c>
      <c r="B650" s="5">
        <f>IF(A650="","",TEXT(A650,"aaa"))</f>
      </c>
      <c r="C650" t="inlineStr" s="5">
        <is>
          <t/>
        </is>
      </c>
      <c r="D650" t="inlineStr" s="5">
        <is>
          <t/>
        </is>
      </c>
      <c r="E650" t="inlineStr" s="7">
        <is>
          <t/>
        </is>
      </c>
      <c r="F650" t="inlineStr" s="7">
        <is>
          <t/>
        </is>
      </c>
      <c r="G650" s="8">
        <f>IF(AND(E650="",F650=""),"",F650-E650)</f>
      </c>
      <c r="H650" t="inlineStr" s="5">
        <is>
          <t/>
        </is>
      </c>
      <c r="I650" t="inlineStr" s="5">
        <is>
          <t/>
        </is>
      </c>
    </row>
    <row r="651" ht="22" customHeight="1">
      <c r="A651" t="inlineStr" s="6">
        <is>
          <t/>
        </is>
      </c>
      <c r="B651" s="5">
        <f>IF(A651="","",TEXT(A651,"aaa"))</f>
      </c>
      <c r="C651" t="inlineStr" s="5">
        <is>
          <t/>
        </is>
      </c>
      <c r="D651" t="inlineStr" s="5">
        <is>
          <t/>
        </is>
      </c>
      <c r="E651" t="inlineStr" s="7">
        <is>
          <t/>
        </is>
      </c>
      <c r="F651" t="inlineStr" s="7">
        <is>
          <t/>
        </is>
      </c>
      <c r="G651" s="8">
        <f>IF(AND(E651="",F651=""),"",F651-E651)</f>
      </c>
      <c r="H651" t="inlineStr" s="5">
        <is>
          <t/>
        </is>
      </c>
      <c r="I651" t="inlineStr" s="5">
        <is>
          <t/>
        </is>
      </c>
    </row>
    <row r="652" ht="22" customHeight="1">
      <c r="A652" t="inlineStr" s="6">
        <is>
          <t/>
        </is>
      </c>
      <c r="B652" s="5">
        <f>IF(A652="","",TEXT(A652,"aaa"))</f>
      </c>
      <c r="C652" t="inlineStr" s="5">
        <is>
          <t/>
        </is>
      </c>
      <c r="D652" t="inlineStr" s="5">
        <is>
          <t/>
        </is>
      </c>
      <c r="E652" t="inlineStr" s="7">
        <is>
          <t/>
        </is>
      </c>
      <c r="F652" t="inlineStr" s="7">
        <is>
          <t/>
        </is>
      </c>
      <c r="G652" s="8">
        <f>IF(AND(E652="",F652=""),"",F652-E652)</f>
      </c>
      <c r="H652" t="inlineStr" s="5">
        <is>
          <t/>
        </is>
      </c>
      <c r="I652" t="inlineStr" s="5">
        <is>
          <t/>
        </is>
      </c>
    </row>
    <row r="653" ht="22" customHeight="1">
      <c r="A653" t="inlineStr" s="6">
        <is>
          <t/>
        </is>
      </c>
      <c r="B653" s="5">
        <f>IF(A653="","",TEXT(A653,"aaa"))</f>
      </c>
      <c r="C653" t="inlineStr" s="5">
        <is>
          <t/>
        </is>
      </c>
      <c r="D653" t="inlineStr" s="5">
        <is>
          <t/>
        </is>
      </c>
      <c r="E653" t="inlineStr" s="7">
        <is>
          <t/>
        </is>
      </c>
      <c r="F653" t="inlineStr" s="7">
        <is>
          <t/>
        </is>
      </c>
      <c r="G653" s="8">
        <f>IF(AND(E653="",F653=""),"",F653-E653)</f>
      </c>
      <c r="H653" t="inlineStr" s="5">
        <is>
          <t/>
        </is>
      </c>
      <c r="I653" t="inlineStr" s="5">
        <is>
          <t/>
        </is>
      </c>
    </row>
    <row r="654" ht="22" customHeight="1">
      <c r="A654" t="inlineStr" s="6">
        <is>
          <t/>
        </is>
      </c>
      <c r="B654" s="5">
        <f>IF(A654="","",TEXT(A654,"aaa"))</f>
      </c>
      <c r="C654" t="inlineStr" s="5">
        <is>
          <t/>
        </is>
      </c>
      <c r="D654" t="inlineStr" s="5">
        <is>
          <t/>
        </is>
      </c>
      <c r="E654" t="inlineStr" s="7">
        <is>
          <t/>
        </is>
      </c>
      <c r="F654" t="inlineStr" s="7">
        <is>
          <t/>
        </is>
      </c>
      <c r="G654" s="8">
        <f>IF(AND(E654="",F654=""),"",F654-E654)</f>
      </c>
      <c r="H654" t="inlineStr" s="5">
        <is>
          <t/>
        </is>
      </c>
      <c r="I654" t="inlineStr" s="5">
        <is>
          <t/>
        </is>
      </c>
    </row>
    <row r="655" ht="22" customHeight="1">
      <c r="A655" t="inlineStr" s="6">
        <is>
          <t/>
        </is>
      </c>
      <c r="B655" s="5">
        <f>IF(A655="","",TEXT(A655,"aaa"))</f>
      </c>
      <c r="C655" t="inlineStr" s="5">
        <is>
          <t/>
        </is>
      </c>
      <c r="D655" t="inlineStr" s="5">
        <is>
          <t/>
        </is>
      </c>
      <c r="E655" t="inlineStr" s="7">
        <is>
          <t/>
        </is>
      </c>
      <c r="F655" t="inlineStr" s="7">
        <is>
          <t/>
        </is>
      </c>
      <c r="G655" s="8">
        <f>IF(AND(E655="",F655=""),"",F655-E655)</f>
      </c>
      <c r="H655" t="inlineStr" s="5">
        <is>
          <t/>
        </is>
      </c>
      <c r="I655" t="inlineStr" s="5">
        <is>
          <t/>
        </is>
      </c>
    </row>
    <row r="656" ht="22" customHeight="1">
      <c r="A656" t="inlineStr" s="6">
        <is>
          <t/>
        </is>
      </c>
      <c r="B656" s="5">
        <f>IF(A656="","",TEXT(A656,"aaa"))</f>
      </c>
      <c r="C656" t="inlineStr" s="5">
        <is>
          <t/>
        </is>
      </c>
      <c r="D656" t="inlineStr" s="5">
        <is>
          <t/>
        </is>
      </c>
      <c r="E656" t="inlineStr" s="7">
        <is>
          <t/>
        </is>
      </c>
      <c r="F656" t="inlineStr" s="7">
        <is>
          <t/>
        </is>
      </c>
      <c r="G656" s="8">
        <f>IF(AND(E656="",F656=""),"",F656-E656)</f>
      </c>
      <c r="H656" t="inlineStr" s="5">
        <is>
          <t/>
        </is>
      </c>
      <c r="I656" t="inlineStr" s="5">
        <is>
          <t/>
        </is>
      </c>
    </row>
    <row r="657" ht="22" customHeight="1">
      <c r="A657" t="inlineStr" s="6">
        <is>
          <t/>
        </is>
      </c>
      <c r="B657" s="5">
        <f>IF(A657="","",TEXT(A657,"aaa"))</f>
      </c>
      <c r="C657" t="inlineStr" s="5">
        <is>
          <t/>
        </is>
      </c>
      <c r="D657" t="inlineStr" s="5">
        <is>
          <t/>
        </is>
      </c>
      <c r="E657" t="inlineStr" s="7">
        <is>
          <t/>
        </is>
      </c>
      <c r="F657" t="inlineStr" s="7">
        <is>
          <t/>
        </is>
      </c>
      <c r="G657" s="8">
        <f>IF(AND(E657="",F657=""),"",F657-E657)</f>
      </c>
      <c r="H657" t="inlineStr" s="5">
        <is>
          <t/>
        </is>
      </c>
      <c r="I657" t="inlineStr" s="5">
        <is>
          <t/>
        </is>
      </c>
    </row>
    <row r="658" ht="22" customHeight="1">
      <c r="A658" t="inlineStr" s="6">
        <is>
          <t/>
        </is>
      </c>
      <c r="B658" s="5">
        <f>IF(A658="","",TEXT(A658,"aaa"))</f>
      </c>
      <c r="C658" t="inlineStr" s="5">
        <is>
          <t/>
        </is>
      </c>
      <c r="D658" t="inlineStr" s="5">
        <is>
          <t/>
        </is>
      </c>
      <c r="E658" t="inlineStr" s="7">
        <is>
          <t/>
        </is>
      </c>
      <c r="F658" t="inlineStr" s="7">
        <is>
          <t/>
        </is>
      </c>
      <c r="G658" s="8">
        <f>IF(AND(E658="",F658=""),"",F658-E658)</f>
      </c>
      <c r="H658" t="inlineStr" s="5">
        <is>
          <t/>
        </is>
      </c>
      <c r="I658" t="inlineStr" s="5">
        <is>
          <t/>
        </is>
      </c>
    </row>
    <row r="659" ht="24" customHeight="1">
      <c r="A659" t="inlineStr" s="9">
        <is>
          <t>本周小计</t>
        </is>
      </c>
      <c r="B659" t="inlineStr" s="9">
        <is>
          <t/>
        </is>
      </c>
      <c r="C659" t="inlineStr" s="9">
        <is>
          <t/>
        </is>
      </c>
      <c r="D659" t="inlineStr" s="9">
        <is>
          <t/>
        </is>
      </c>
      <c r="E659" s="9">
        <f>SUM(E644:E658)</f>
      </c>
      <c r="F659" s="9">
        <f>SUM(F644:F658)</f>
      </c>
      <c r="G659" s="9">
        <f>SUM(G644:G658)</f>
      </c>
      <c r="H659" t="inlineStr" s="9">
        <is>
          <t/>
        </is>
      </c>
      <c r="I659" t="inlineStr" s="9">
        <is>
          <t/>
        </is>
      </c>
    </row>
    <row r="660" ht="18" customHeight="1">
      <c r="A660" t="inlineStr" s="10">
        <is>
          <t/>
        </is>
      </c>
      <c r="B660" t="inlineStr" s="10">
        <is>
          <t/>
        </is>
      </c>
      <c r="C660" t="inlineStr" s="10">
        <is>
          <t/>
        </is>
      </c>
      <c r="D660" t="inlineStr" s="10">
        <is>
          <t/>
        </is>
      </c>
      <c r="E660" t="inlineStr" s="10">
        <is>
          <t/>
        </is>
      </c>
      <c r="F660" t="inlineStr" s="10">
        <is>
          <t/>
        </is>
      </c>
      <c r="G660" t="inlineStr" s="10">
        <is>
          <t/>
        </is>
      </c>
      <c r="H660" t="inlineStr" s="10">
        <is>
          <t/>
        </is>
      </c>
      <c r="I660" t="inlineStr" s="10">
        <is>
          <t/>
        </is>
      </c>
    </row>
    <row r="661" ht="18" customHeight="1">
      <c r="A661" t="inlineStr" s="10">
        <is>
          <t/>
        </is>
      </c>
      <c r="B661" t="inlineStr" s="10">
        <is>
          <t/>
        </is>
      </c>
      <c r="C661" t="inlineStr" s="10">
        <is>
          <t/>
        </is>
      </c>
      <c r="D661" t="inlineStr" s="10">
        <is>
          <t/>
        </is>
      </c>
      <c r="E661" t="inlineStr" s="10">
        <is>
          <t/>
        </is>
      </c>
      <c r="F661" t="inlineStr" s="10">
        <is>
          <t/>
        </is>
      </c>
      <c r="G661" t="inlineStr" s="10">
        <is>
          <t/>
        </is>
      </c>
      <c r="H661" t="inlineStr" s="10">
        <is>
          <t/>
        </is>
      </c>
      <c r="I661" t="inlineStr" s="10">
        <is>
          <t/>
        </is>
      </c>
    </row>
    <row r="662" ht="28" customHeight="1">
      <c r="A662" t="inlineStr" s="3">
        <is>
          <t>2027年1月｜第三周（1月18日 - 1月24日）</t>
        </is>
      </c>
      <c r="B662" t="inlineStr" s="3">
        <is>
          <t/>
        </is>
      </c>
      <c r="C662" t="inlineStr" s="3">
        <is>
          <t/>
        </is>
      </c>
      <c r="D662" t="inlineStr" s="3">
        <is>
          <t/>
        </is>
      </c>
      <c r="E662" t="inlineStr" s="3">
        <is>
          <t/>
        </is>
      </c>
      <c r="F662" t="inlineStr" s="3">
        <is>
          <t/>
        </is>
      </c>
      <c r="G662" t="inlineStr" s="3">
        <is>
          <t/>
        </is>
      </c>
      <c r="H662" t="inlineStr" s="3">
        <is>
          <t/>
        </is>
      </c>
      <c r="I662" t="inlineStr" s="3">
        <is>
          <t/>
        </is>
      </c>
    </row>
    <row r="663" ht="23" customHeight="1">
      <c r="A663" t="inlineStr" s="4">
        <is>
          <t>日期</t>
        </is>
      </c>
      <c r="B663" t="inlineStr" s="4">
        <is>
          <t>星期</t>
        </is>
      </c>
      <c r="C663" t="inlineStr" s="4">
        <is>
          <t>分类</t>
        </is>
      </c>
      <c r="D663" t="inlineStr" s="4">
        <is>
          <t>事项</t>
        </is>
      </c>
      <c r="E663" t="inlineStr" s="4">
        <is>
          <t>支出金额</t>
        </is>
      </c>
      <c r="F663" t="inlineStr" s="4">
        <is>
          <t>收入金额</t>
        </is>
      </c>
      <c r="G663" t="inlineStr" s="4">
        <is>
          <t>当笔净额</t>
        </is>
      </c>
      <c r="H663" t="inlineStr" s="4">
        <is>
          <t>支付方式</t>
        </is>
      </c>
      <c r="I663" t="inlineStr" s="4">
        <is>
          <t>备注</t>
        </is>
      </c>
    </row>
    <row r="664" ht="22" customHeight="1">
      <c r="A664" t="inlineStr" s="6">
        <is>
          <t/>
        </is>
      </c>
      <c r="B664" s="5">
        <f>IF(A664="","",TEXT(A664,"aaa"))</f>
      </c>
      <c r="C664" t="inlineStr" s="5">
        <is>
          <t/>
        </is>
      </c>
      <c r="D664" t="inlineStr" s="5">
        <is>
          <t/>
        </is>
      </c>
      <c r="E664" t="inlineStr" s="7">
        <is>
          <t/>
        </is>
      </c>
      <c r="F664" t="inlineStr" s="7">
        <is>
          <t/>
        </is>
      </c>
      <c r="G664" s="8">
        <f>IF(AND(E664="",F664=""),"",F664-E664)</f>
      </c>
      <c r="H664" t="inlineStr" s="5">
        <is>
          <t/>
        </is>
      </c>
      <c r="I664" t="inlineStr" s="5">
        <is>
          <t/>
        </is>
      </c>
    </row>
    <row r="665" ht="22" customHeight="1">
      <c r="A665" t="inlineStr" s="6">
        <is>
          <t/>
        </is>
      </c>
      <c r="B665" s="5">
        <f>IF(A665="","",TEXT(A665,"aaa"))</f>
      </c>
      <c r="C665" t="inlineStr" s="5">
        <is>
          <t/>
        </is>
      </c>
      <c r="D665" t="inlineStr" s="5">
        <is>
          <t/>
        </is>
      </c>
      <c r="E665" t="inlineStr" s="7">
        <is>
          <t/>
        </is>
      </c>
      <c r="F665" t="inlineStr" s="7">
        <is>
          <t/>
        </is>
      </c>
      <c r="G665" s="8">
        <f>IF(AND(E665="",F665=""),"",F665-E665)</f>
      </c>
      <c r="H665" t="inlineStr" s="5">
        <is>
          <t/>
        </is>
      </c>
      <c r="I665" t="inlineStr" s="5">
        <is>
          <t/>
        </is>
      </c>
    </row>
    <row r="666" ht="22" customHeight="1">
      <c r="A666" t="inlineStr" s="6">
        <is>
          <t/>
        </is>
      </c>
      <c r="B666" s="5">
        <f>IF(A666="","",TEXT(A666,"aaa"))</f>
      </c>
      <c r="C666" t="inlineStr" s="5">
        <is>
          <t/>
        </is>
      </c>
      <c r="D666" t="inlineStr" s="5">
        <is>
          <t/>
        </is>
      </c>
      <c r="E666" t="inlineStr" s="7">
        <is>
          <t/>
        </is>
      </c>
      <c r="F666" t="inlineStr" s="7">
        <is>
          <t/>
        </is>
      </c>
      <c r="G666" s="8">
        <f>IF(AND(E666="",F666=""),"",F666-E666)</f>
      </c>
      <c r="H666" t="inlineStr" s="5">
        <is>
          <t/>
        </is>
      </c>
      <c r="I666" t="inlineStr" s="5">
        <is>
          <t/>
        </is>
      </c>
    </row>
    <row r="667" ht="22" customHeight="1">
      <c r="A667" t="inlineStr" s="6">
        <is>
          <t/>
        </is>
      </c>
      <c r="B667" s="5">
        <f>IF(A667="","",TEXT(A667,"aaa"))</f>
      </c>
      <c r="C667" t="inlineStr" s="5">
        <is>
          <t/>
        </is>
      </c>
      <c r="D667" t="inlineStr" s="5">
        <is>
          <t/>
        </is>
      </c>
      <c r="E667" t="inlineStr" s="7">
        <is>
          <t/>
        </is>
      </c>
      <c r="F667" t="inlineStr" s="7">
        <is>
          <t/>
        </is>
      </c>
      <c r="G667" s="8">
        <f>IF(AND(E667="",F667=""),"",F667-E667)</f>
      </c>
      <c r="H667" t="inlineStr" s="5">
        <is>
          <t/>
        </is>
      </c>
      <c r="I667" t="inlineStr" s="5">
        <is>
          <t/>
        </is>
      </c>
    </row>
    <row r="668" ht="22" customHeight="1">
      <c r="A668" t="inlineStr" s="6">
        <is>
          <t/>
        </is>
      </c>
      <c r="B668" s="5">
        <f>IF(A668="","",TEXT(A668,"aaa"))</f>
      </c>
      <c r="C668" t="inlineStr" s="5">
        <is>
          <t/>
        </is>
      </c>
      <c r="D668" t="inlineStr" s="5">
        <is>
          <t/>
        </is>
      </c>
      <c r="E668" t="inlineStr" s="7">
        <is>
          <t/>
        </is>
      </c>
      <c r="F668" t="inlineStr" s="7">
        <is>
          <t/>
        </is>
      </c>
      <c r="G668" s="8">
        <f>IF(AND(E668="",F668=""),"",F668-E668)</f>
      </c>
      <c r="H668" t="inlineStr" s="5">
        <is>
          <t/>
        </is>
      </c>
      <c r="I668" t="inlineStr" s="5">
        <is>
          <t/>
        </is>
      </c>
    </row>
    <row r="669" ht="22" customHeight="1">
      <c r="A669" t="inlineStr" s="6">
        <is>
          <t/>
        </is>
      </c>
      <c r="B669" s="5">
        <f>IF(A669="","",TEXT(A669,"aaa"))</f>
      </c>
      <c r="C669" t="inlineStr" s="5">
        <is>
          <t/>
        </is>
      </c>
      <c r="D669" t="inlineStr" s="5">
        <is>
          <t/>
        </is>
      </c>
      <c r="E669" t="inlineStr" s="7">
        <is>
          <t/>
        </is>
      </c>
      <c r="F669" t="inlineStr" s="7">
        <is>
          <t/>
        </is>
      </c>
      <c r="G669" s="8">
        <f>IF(AND(E669="",F669=""),"",F669-E669)</f>
      </c>
      <c r="H669" t="inlineStr" s="5">
        <is>
          <t/>
        </is>
      </c>
      <c r="I669" t="inlineStr" s="5">
        <is>
          <t/>
        </is>
      </c>
    </row>
    <row r="670" ht="22" customHeight="1">
      <c r="A670" t="inlineStr" s="6">
        <is>
          <t/>
        </is>
      </c>
      <c r="B670" s="5">
        <f>IF(A670="","",TEXT(A670,"aaa"))</f>
      </c>
      <c r="C670" t="inlineStr" s="5">
        <is>
          <t/>
        </is>
      </c>
      <c r="D670" t="inlineStr" s="5">
        <is>
          <t/>
        </is>
      </c>
      <c r="E670" t="inlineStr" s="7">
        <is>
          <t/>
        </is>
      </c>
      <c r="F670" t="inlineStr" s="7">
        <is>
          <t/>
        </is>
      </c>
      <c r="G670" s="8">
        <f>IF(AND(E670="",F670=""),"",F670-E670)</f>
      </c>
      <c r="H670" t="inlineStr" s="5">
        <is>
          <t/>
        </is>
      </c>
      <c r="I670" t="inlineStr" s="5">
        <is>
          <t/>
        </is>
      </c>
    </row>
    <row r="671" ht="22" customHeight="1">
      <c r="A671" t="inlineStr" s="6">
        <is>
          <t/>
        </is>
      </c>
      <c r="B671" s="5">
        <f>IF(A671="","",TEXT(A671,"aaa"))</f>
      </c>
      <c r="C671" t="inlineStr" s="5">
        <is>
          <t/>
        </is>
      </c>
      <c r="D671" t="inlineStr" s="5">
        <is>
          <t/>
        </is>
      </c>
      <c r="E671" t="inlineStr" s="7">
        <is>
          <t/>
        </is>
      </c>
      <c r="F671" t="inlineStr" s="7">
        <is>
          <t/>
        </is>
      </c>
      <c r="G671" s="8">
        <f>IF(AND(E671="",F671=""),"",F671-E671)</f>
      </c>
      <c r="H671" t="inlineStr" s="5">
        <is>
          <t/>
        </is>
      </c>
      <c r="I671" t="inlineStr" s="5">
        <is>
          <t/>
        </is>
      </c>
    </row>
    <row r="672" ht="22" customHeight="1">
      <c r="A672" t="inlineStr" s="6">
        <is>
          <t/>
        </is>
      </c>
      <c r="B672" s="5">
        <f>IF(A672="","",TEXT(A672,"aaa"))</f>
      </c>
      <c r="C672" t="inlineStr" s="5">
        <is>
          <t/>
        </is>
      </c>
      <c r="D672" t="inlineStr" s="5">
        <is>
          <t/>
        </is>
      </c>
      <c r="E672" t="inlineStr" s="7">
        <is>
          <t/>
        </is>
      </c>
      <c r="F672" t="inlineStr" s="7">
        <is>
          <t/>
        </is>
      </c>
      <c r="G672" s="8">
        <f>IF(AND(E672="",F672=""),"",F672-E672)</f>
      </c>
      <c r="H672" t="inlineStr" s="5">
        <is>
          <t/>
        </is>
      </c>
      <c r="I672" t="inlineStr" s="5">
        <is>
          <t/>
        </is>
      </c>
    </row>
    <row r="673" ht="22" customHeight="1">
      <c r="A673" t="inlineStr" s="6">
        <is>
          <t/>
        </is>
      </c>
      <c r="B673" s="5">
        <f>IF(A673="","",TEXT(A673,"aaa"))</f>
      </c>
      <c r="C673" t="inlineStr" s="5">
        <is>
          <t/>
        </is>
      </c>
      <c r="D673" t="inlineStr" s="5">
        <is>
          <t/>
        </is>
      </c>
      <c r="E673" t="inlineStr" s="7">
        <is>
          <t/>
        </is>
      </c>
      <c r="F673" t="inlineStr" s="7">
        <is>
          <t/>
        </is>
      </c>
      <c r="G673" s="8">
        <f>IF(AND(E673="",F673=""),"",F673-E673)</f>
      </c>
      <c r="H673" t="inlineStr" s="5">
        <is>
          <t/>
        </is>
      </c>
      <c r="I673" t="inlineStr" s="5">
        <is>
          <t/>
        </is>
      </c>
    </row>
    <row r="674" ht="22" customHeight="1">
      <c r="A674" t="inlineStr" s="6">
        <is>
          <t/>
        </is>
      </c>
      <c r="B674" s="5">
        <f>IF(A674="","",TEXT(A674,"aaa"))</f>
      </c>
      <c r="C674" t="inlineStr" s="5">
        <is>
          <t/>
        </is>
      </c>
      <c r="D674" t="inlineStr" s="5">
        <is>
          <t/>
        </is>
      </c>
      <c r="E674" t="inlineStr" s="7">
        <is>
          <t/>
        </is>
      </c>
      <c r="F674" t="inlineStr" s="7">
        <is>
          <t/>
        </is>
      </c>
      <c r="G674" s="8">
        <f>IF(AND(E674="",F674=""),"",F674-E674)</f>
      </c>
      <c r="H674" t="inlineStr" s="5">
        <is>
          <t/>
        </is>
      </c>
      <c r="I674" t="inlineStr" s="5">
        <is>
          <t/>
        </is>
      </c>
    </row>
    <row r="675" ht="22" customHeight="1">
      <c r="A675" t="inlineStr" s="6">
        <is>
          <t/>
        </is>
      </c>
      <c r="B675" s="5">
        <f>IF(A675="","",TEXT(A675,"aaa"))</f>
      </c>
      <c r="C675" t="inlineStr" s="5">
        <is>
          <t/>
        </is>
      </c>
      <c r="D675" t="inlineStr" s="5">
        <is>
          <t/>
        </is>
      </c>
      <c r="E675" t="inlineStr" s="7">
        <is>
          <t/>
        </is>
      </c>
      <c r="F675" t="inlineStr" s="7">
        <is>
          <t/>
        </is>
      </c>
      <c r="G675" s="8">
        <f>IF(AND(E675="",F675=""),"",F675-E675)</f>
      </c>
      <c r="H675" t="inlineStr" s="5">
        <is>
          <t/>
        </is>
      </c>
      <c r="I675" t="inlineStr" s="5">
        <is>
          <t/>
        </is>
      </c>
    </row>
    <row r="676" ht="22" customHeight="1">
      <c r="A676" t="inlineStr" s="6">
        <is>
          <t/>
        </is>
      </c>
      <c r="B676" s="5">
        <f>IF(A676="","",TEXT(A676,"aaa"))</f>
      </c>
      <c r="C676" t="inlineStr" s="5">
        <is>
          <t/>
        </is>
      </c>
      <c r="D676" t="inlineStr" s="5">
        <is>
          <t/>
        </is>
      </c>
      <c r="E676" t="inlineStr" s="7">
        <is>
          <t/>
        </is>
      </c>
      <c r="F676" t="inlineStr" s="7">
        <is>
          <t/>
        </is>
      </c>
      <c r="G676" s="8">
        <f>IF(AND(E676="",F676=""),"",F676-E676)</f>
      </c>
      <c r="H676" t="inlineStr" s="5">
        <is>
          <t/>
        </is>
      </c>
      <c r="I676" t="inlineStr" s="5">
        <is>
          <t/>
        </is>
      </c>
    </row>
    <row r="677" ht="22" customHeight="1">
      <c r="A677" t="inlineStr" s="6">
        <is>
          <t/>
        </is>
      </c>
      <c r="B677" s="5">
        <f>IF(A677="","",TEXT(A677,"aaa"))</f>
      </c>
      <c r="C677" t="inlineStr" s="5">
        <is>
          <t/>
        </is>
      </c>
      <c r="D677" t="inlineStr" s="5">
        <is>
          <t/>
        </is>
      </c>
      <c r="E677" t="inlineStr" s="7">
        <is>
          <t/>
        </is>
      </c>
      <c r="F677" t="inlineStr" s="7">
        <is>
          <t/>
        </is>
      </c>
      <c r="G677" s="8">
        <f>IF(AND(E677="",F677=""),"",F677-E677)</f>
      </c>
      <c r="H677" t="inlineStr" s="5">
        <is>
          <t/>
        </is>
      </c>
      <c r="I677" t="inlineStr" s="5">
        <is>
          <t/>
        </is>
      </c>
    </row>
    <row r="678" ht="22" customHeight="1">
      <c r="A678" t="inlineStr" s="6">
        <is>
          <t/>
        </is>
      </c>
      <c r="B678" s="5">
        <f>IF(A678="","",TEXT(A678,"aaa"))</f>
      </c>
      <c r="C678" t="inlineStr" s="5">
        <is>
          <t/>
        </is>
      </c>
      <c r="D678" t="inlineStr" s="5">
        <is>
          <t/>
        </is>
      </c>
      <c r="E678" t="inlineStr" s="7">
        <is>
          <t/>
        </is>
      </c>
      <c r="F678" t="inlineStr" s="7">
        <is>
          <t/>
        </is>
      </c>
      <c r="G678" s="8">
        <f>IF(AND(E678="",F678=""),"",F678-E678)</f>
      </c>
      <c r="H678" t="inlineStr" s="5">
        <is>
          <t/>
        </is>
      </c>
      <c r="I678" t="inlineStr" s="5">
        <is>
          <t/>
        </is>
      </c>
    </row>
    <row r="679" ht="24" customHeight="1">
      <c r="A679" t="inlineStr" s="9">
        <is>
          <t>本周小计</t>
        </is>
      </c>
      <c r="B679" t="inlineStr" s="9">
        <is>
          <t/>
        </is>
      </c>
      <c r="C679" t="inlineStr" s="9">
        <is>
          <t/>
        </is>
      </c>
      <c r="D679" t="inlineStr" s="9">
        <is>
          <t/>
        </is>
      </c>
      <c r="E679" s="9">
        <f>SUM(E664:E678)</f>
      </c>
      <c r="F679" s="9">
        <f>SUM(F664:F678)</f>
      </c>
      <c r="G679" s="9">
        <f>SUM(G664:G678)</f>
      </c>
      <c r="H679" t="inlineStr" s="9">
        <is>
          <t/>
        </is>
      </c>
      <c r="I679" t="inlineStr" s="9">
        <is>
          <t/>
        </is>
      </c>
    </row>
    <row r="680" ht="18" customHeight="1">
      <c r="A680" t="inlineStr" s="10">
        <is>
          <t/>
        </is>
      </c>
      <c r="B680" t="inlineStr" s="10">
        <is>
          <t/>
        </is>
      </c>
      <c r="C680" t="inlineStr" s="10">
        <is>
          <t/>
        </is>
      </c>
      <c r="D680" t="inlineStr" s="10">
        <is>
          <t/>
        </is>
      </c>
      <c r="E680" t="inlineStr" s="10">
        <is>
          <t/>
        </is>
      </c>
      <c r="F680" t="inlineStr" s="10">
        <is>
          <t/>
        </is>
      </c>
      <c r="G680" t="inlineStr" s="10">
        <is>
          <t/>
        </is>
      </c>
      <c r="H680" t="inlineStr" s="10">
        <is>
          <t/>
        </is>
      </c>
      <c r="I680" t="inlineStr" s="10">
        <is>
          <t/>
        </is>
      </c>
    </row>
    <row r="681" ht="18" customHeight="1">
      <c r="A681" t="inlineStr" s="10">
        <is>
          <t/>
        </is>
      </c>
      <c r="B681" t="inlineStr" s="10">
        <is>
          <t/>
        </is>
      </c>
      <c r="C681" t="inlineStr" s="10">
        <is>
          <t/>
        </is>
      </c>
      <c r="D681" t="inlineStr" s="10">
        <is>
          <t/>
        </is>
      </c>
      <c r="E681" t="inlineStr" s="10">
        <is>
          <t/>
        </is>
      </c>
      <c r="F681" t="inlineStr" s="10">
        <is>
          <t/>
        </is>
      </c>
      <c r="G681" t="inlineStr" s="10">
        <is>
          <t/>
        </is>
      </c>
      <c r="H681" t="inlineStr" s="10">
        <is>
          <t/>
        </is>
      </c>
      <c r="I681" t="inlineStr" s="10">
        <is>
          <t/>
        </is>
      </c>
    </row>
    <row r="682" ht="28" customHeight="1">
      <c r="A682" t="inlineStr" s="3">
        <is>
          <t>2027年1月｜第四周（1月25日 - 1月31日）</t>
        </is>
      </c>
      <c r="B682" t="inlineStr" s="3">
        <is>
          <t/>
        </is>
      </c>
      <c r="C682" t="inlineStr" s="3">
        <is>
          <t/>
        </is>
      </c>
      <c r="D682" t="inlineStr" s="3">
        <is>
          <t/>
        </is>
      </c>
      <c r="E682" t="inlineStr" s="3">
        <is>
          <t/>
        </is>
      </c>
      <c r="F682" t="inlineStr" s="3">
        <is>
          <t/>
        </is>
      </c>
      <c r="G682" t="inlineStr" s="3">
        <is>
          <t/>
        </is>
      </c>
      <c r="H682" t="inlineStr" s="3">
        <is>
          <t/>
        </is>
      </c>
      <c r="I682" t="inlineStr" s="3">
        <is>
          <t/>
        </is>
      </c>
    </row>
    <row r="683" ht="23" customHeight="1">
      <c r="A683" t="inlineStr" s="4">
        <is>
          <t>日期</t>
        </is>
      </c>
      <c r="B683" t="inlineStr" s="4">
        <is>
          <t>星期</t>
        </is>
      </c>
      <c r="C683" t="inlineStr" s="4">
        <is>
          <t>分类</t>
        </is>
      </c>
      <c r="D683" t="inlineStr" s="4">
        <is>
          <t>事项</t>
        </is>
      </c>
      <c r="E683" t="inlineStr" s="4">
        <is>
          <t>支出金额</t>
        </is>
      </c>
      <c r="F683" t="inlineStr" s="4">
        <is>
          <t>收入金额</t>
        </is>
      </c>
      <c r="G683" t="inlineStr" s="4">
        <is>
          <t>当笔净额</t>
        </is>
      </c>
      <c r="H683" t="inlineStr" s="4">
        <is>
          <t>支付方式</t>
        </is>
      </c>
      <c r="I683" t="inlineStr" s="4">
        <is>
          <t>备注</t>
        </is>
      </c>
    </row>
    <row r="684" ht="22" customHeight="1">
      <c r="A684" t="inlineStr" s="6">
        <is>
          <t/>
        </is>
      </c>
      <c r="B684" s="5">
        <f>IF(A684="","",TEXT(A684,"aaa"))</f>
      </c>
      <c r="C684" t="inlineStr" s="5">
        <is>
          <t/>
        </is>
      </c>
      <c r="D684" t="inlineStr" s="5">
        <is>
          <t/>
        </is>
      </c>
      <c r="E684" t="inlineStr" s="7">
        <is>
          <t/>
        </is>
      </c>
      <c r="F684" t="inlineStr" s="7">
        <is>
          <t/>
        </is>
      </c>
      <c r="G684" s="8">
        <f>IF(AND(E684="",F684=""),"",F684-E684)</f>
      </c>
      <c r="H684" t="inlineStr" s="5">
        <is>
          <t/>
        </is>
      </c>
      <c r="I684" t="inlineStr" s="5">
        <is>
          <t/>
        </is>
      </c>
    </row>
    <row r="685" ht="22" customHeight="1">
      <c r="A685" t="inlineStr" s="6">
        <is>
          <t/>
        </is>
      </c>
      <c r="B685" s="5">
        <f>IF(A685="","",TEXT(A685,"aaa"))</f>
      </c>
      <c r="C685" t="inlineStr" s="5">
        <is>
          <t/>
        </is>
      </c>
      <c r="D685" t="inlineStr" s="5">
        <is>
          <t/>
        </is>
      </c>
      <c r="E685" t="inlineStr" s="7">
        <is>
          <t/>
        </is>
      </c>
      <c r="F685" t="inlineStr" s="7">
        <is>
          <t/>
        </is>
      </c>
      <c r="G685" s="8">
        <f>IF(AND(E685="",F685=""),"",F685-E685)</f>
      </c>
      <c r="H685" t="inlineStr" s="5">
        <is>
          <t/>
        </is>
      </c>
      <c r="I685" t="inlineStr" s="5">
        <is>
          <t/>
        </is>
      </c>
    </row>
    <row r="686" ht="22" customHeight="1">
      <c r="A686" t="inlineStr" s="6">
        <is>
          <t/>
        </is>
      </c>
      <c r="B686" s="5">
        <f>IF(A686="","",TEXT(A686,"aaa"))</f>
      </c>
      <c r="C686" t="inlineStr" s="5">
        <is>
          <t/>
        </is>
      </c>
      <c r="D686" t="inlineStr" s="5">
        <is>
          <t/>
        </is>
      </c>
      <c r="E686" t="inlineStr" s="7">
        <is>
          <t/>
        </is>
      </c>
      <c r="F686" t="inlineStr" s="7">
        <is>
          <t/>
        </is>
      </c>
      <c r="G686" s="8">
        <f>IF(AND(E686="",F686=""),"",F686-E686)</f>
      </c>
      <c r="H686" t="inlineStr" s="5">
        <is>
          <t/>
        </is>
      </c>
      <c r="I686" t="inlineStr" s="5">
        <is>
          <t/>
        </is>
      </c>
    </row>
    <row r="687" ht="22" customHeight="1">
      <c r="A687" t="inlineStr" s="6">
        <is>
          <t/>
        </is>
      </c>
      <c r="B687" s="5">
        <f>IF(A687="","",TEXT(A687,"aaa"))</f>
      </c>
      <c r="C687" t="inlineStr" s="5">
        <is>
          <t/>
        </is>
      </c>
      <c r="D687" t="inlineStr" s="5">
        <is>
          <t/>
        </is>
      </c>
      <c r="E687" t="inlineStr" s="7">
        <is>
          <t/>
        </is>
      </c>
      <c r="F687" t="inlineStr" s="7">
        <is>
          <t/>
        </is>
      </c>
      <c r="G687" s="8">
        <f>IF(AND(E687="",F687=""),"",F687-E687)</f>
      </c>
      <c r="H687" t="inlineStr" s="5">
        <is>
          <t/>
        </is>
      </c>
      <c r="I687" t="inlineStr" s="5">
        <is>
          <t/>
        </is>
      </c>
    </row>
    <row r="688" ht="22" customHeight="1">
      <c r="A688" t="inlineStr" s="6">
        <is>
          <t/>
        </is>
      </c>
      <c r="B688" s="5">
        <f>IF(A688="","",TEXT(A688,"aaa"))</f>
      </c>
      <c r="C688" t="inlineStr" s="5">
        <is>
          <t/>
        </is>
      </c>
      <c r="D688" t="inlineStr" s="5">
        <is>
          <t/>
        </is>
      </c>
      <c r="E688" t="inlineStr" s="7">
        <is>
          <t/>
        </is>
      </c>
      <c r="F688" t="inlineStr" s="7">
        <is>
          <t/>
        </is>
      </c>
      <c r="G688" s="8">
        <f>IF(AND(E688="",F688=""),"",F688-E688)</f>
      </c>
      <c r="H688" t="inlineStr" s="5">
        <is>
          <t/>
        </is>
      </c>
      <c r="I688" t="inlineStr" s="5">
        <is>
          <t/>
        </is>
      </c>
    </row>
    <row r="689" ht="22" customHeight="1">
      <c r="A689" t="inlineStr" s="6">
        <is>
          <t/>
        </is>
      </c>
      <c r="B689" s="5">
        <f>IF(A689="","",TEXT(A689,"aaa"))</f>
      </c>
      <c r="C689" t="inlineStr" s="5">
        <is>
          <t/>
        </is>
      </c>
      <c r="D689" t="inlineStr" s="5">
        <is>
          <t/>
        </is>
      </c>
      <c r="E689" t="inlineStr" s="7">
        <is>
          <t/>
        </is>
      </c>
      <c r="F689" t="inlineStr" s="7">
        <is>
          <t/>
        </is>
      </c>
      <c r="G689" s="8">
        <f>IF(AND(E689="",F689=""),"",F689-E689)</f>
      </c>
      <c r="H689" t="inlineStr" s="5">
        <is>
          <t/>
        </is>
      </c>
      <c r="I689" t="inlineStr" s="5">
        <is>
          <t/>
        </is>
      </c>
    </row>
    <row r="690" ht="22" customHeight="1">
      <c r="A690" t="inlineStr" s="6">
        <is>
          <t/>
        </is>
      </c>
      <c r="B690" s="5">
        <f>IF(A690="","",TEXT(A690,"aaa"))</f>
      </c>
      <c r="C690" t="inlineStr" s="5">
        <is>
          <t/>
        </is>
      </c>
      <c r="D690" t="inlineStr" s="5">
        <is>
          <t/>
        </is>
      </c>
      <c r="E690" t="inlineStr" s="7">
        <is>
          <t/>
        </is>
      </c>
      <c r="F690" t="inlineStr" s="7">
        <is>
          <t/>
        </is>
      </c>
      <c r="G690" s="8">
        <f>IF(AND(E690="",F690=""),"",F690-E690)</f>
      </c>
      <c r="H690" t="inlineStr" s="5">
        <is>
          <t/>
        </is>
      </c>
      <c r="I690" t="inlineStr" s="5">
        <is>
          <t/>
        </is>
      </c>
    </row>
    <row r="691" ht="22" customHeight="1">
      <c r="A691" t="inlineStr" s="6">
        <is>
          <t/>
        </is>
      </c>
      <c r="B691" s="5">
        <f>IF(A691="","",TEXT(A691,"aaa"))</f>
      </c>
      <c r="C691" t="inlineStr" s="5">
        <is>
          <t/>
        </is>
      </c>
      <c r="D691" t="inlineStr" s="5">
        <is>
          <t/>
        </is>
      </c>
      <c r="E691" t="inlineStr" s="7">
        <is>
          <t/>
        </is>
      </c>
      <c r="F691" t="inlineStr" s="7">
        <is>
          <t/>
        </is>
      </c>
      <c r="G691" s="8">
        <f>IF(AND(E691="",F691=""),"",F691-E691)</f>
      </c>
      <c r="H691" t="inlineStr" s="5">
        <is>
          <t/>
        </is>
      </c>
      <c r="I691" t="inlineStr" s="5">
        <is>
          <t/>
        </is>
      </c>
    </row>
    <row r="692" ht="22" customHeight="1">
      <c r="A692" t="inlineStr" s="6">
        <is>
          <t/>
        </is>
      </c>
      <c r="B692" s="5">
        <f>IF(A692="","",TEXT(A692,"aaa"))</f>
      </c>
      <c r="C692" t="inlineStr" s="5">
        <is>
          <t/>
        </is>
      </c>
      <c r="D692" t="inlineStr" s="5">
        <is>
          <t/>
        </is>
      </c>
      <c r="E692" t="inlineStr" s="7">
        <is>
          <t/>
        </is>
      </c>
      <c r="F692" t="inlineStr" s="7">
        <is>
          <t/>
        </is>
      </c>
      <c r="G692" s="8">
        <f>IF(AND(E692="",F692=""),"",F692-E692)</f>
      </c>
      <c r="H692" t="inlineStr" s="5">
        <is>
          <t/>
        </is>
      </c>
      <c r="I692" t="inlineStr" s="5">
        <is>
          <t/>
        </is>
      </c>
    </row>
    <row r="693" ht="22" customHeight="1">
      <c r="A693" t="inlineStr" s="6">
        <is>
          <t/>
        </is>
      </c>
      <c r="B693" s="5">
        <f>IF(A693="","",TEXT(A693,"aaa"))</f>
      </c>
      <c r="C693" t="inlineStr" s="5">
        <is>
          <t/>
        </is>
      </c>
      <c r="D693" t="inlineStr" s="5">
        <is>
          <t/>
        </is>
      </c>
      <c r="E693" t="inlineStr" s="7">
        <is>
          <t/>
        </is>
      </c>
      <c r="F693" t="inlineStr" s="7">
        <is>
          <t/>
        </is>
      </c>
      <c r="G693" s="8">
        <f>IF(AND(E693="",F693=""),"",F693-E693)</f>
      </c>
      <c r="H693" t="inlineStr" s="5">
        <is>
          <t/>
        </is>
      </c>
      <c r="I693" t="inlineStr" s="5">
        <is>
          <t/>
        </is>
      </c>
    </row>
    <row r="694" ht="22" customHeight="1">
      <c r="A694" t="inlineStr" s="6">
        <is>
          <t/>
        </is>
      </c>
      <c r="B694" s="5">
        <f>IF(A694="","",TEXT(A694,"aaa"))</f>
      </c>
      <c r="C694" t="inlineStr" s="5">
        <is>
          <t/>
        </is>
      </c>
      <c r="D694" t="inlineStr" s="5">
        <is>
          <t/>
        </is>
      </c>
      <c r="E694" t="inlineStr" s="7">
        <is>
          <t/>
        </is>
      </c>
      <c r="F694" t="inlineStr" s="7">
        <is>
          <t/>
        </is>
      </c>
      <c r="G694" s="8">
        <f>IF(AND(E694="",F694=""),"",F694-E694)</f>
      </c>
      <c r="H694" t="inlineStr" s="5">
        <is>
          <t/>
        </is>
      </c>
      <c r="I694" t="inlineStr" s="5">
        <is>
          <t/>
        </is>
      </c>
    </row>
    <row r="695" ht="22" customHeight="1">
      <c r="A695" t="inlineStr" s="6">
        <is>
          <t/>
        </is>
      </c>
      <c r="B695" s="5">
        <f>IF(A695="","",TEXT(A695,"aaa"))</f>
      </c>
      <c r="C695" t="inlineStr" s="5">
        <is>
          <t/>
        </is>
      </c>
      <c r="D695" t="inlineStr" s="5">
        <is>
          <t/>
        </is>
      </c>
      <c r="E695" t="inlineStr" s="7">
        <is>
          <t/>
        </is>
      </c>
      <c r="F695" t="inlineStr" s="7">
        <is>
          <t/>
        </is>
      </c>
      <c r="G695" s="8">
        <f>IF(AND(E695="",F695=""),"",F695-E695)</f>
      </c>
      <c r="H695" t="inlineStr" s="5">
        <is>
          <t/>
        </is>
      </c>
      <c r="I695" t="inlineStr" s="5">
        <is>
          <t/>
        </is>
      </c>
    </row>
    <row r="696" ht="22" customHeight="1">
      <c r="A696" t="inlineStr" s="6">
        <is>
          <t/>
        </is>
      </c>
      <c r="B696" s="5">
        <f>IF(A696="","",TEXT(A696,"aaa"))</f>
      </c>
      <c r="C696" t="inlineStr" s="5">
        <is>
          <t/>
        </is>
      </c>
      <c r="D696" t="inlineStr" s="5">
        <is>
          <t/>
        </is>
      </c>
      <c r="E696" t="inlineStr" s="7">
        <is>
          <t/>
        </is>
      </c>
      <c r="F696" t="inlineStr" s="7">
        <is>
          <t/>
        </is>
      </c>
      <c r="G696" s="8">
        <f>IF(AND(E696="",F696=""),"",F696-E696)</f>
      </c>
      <c r="H696" t="inlineStr" s="5">
        <is>
          <t/>
        </is>
      </c>
      <c r="I696" t="inlineStr" s="5">
        <is>
          <t/>
        </is>
      </c>
    </row>
    <row r="697" ht="22" customHeight="1">
      <c r="A697" t="inlineStr" s="6">
        <is>
          <t/>
        </is>
      </c>
      <c r="B697" s="5">
        <f>IF(A697="","",TEXT(A697,"aaa"))</f>
      </c>
      <c r="C697" t="inlineStr" s="5">
        <is>
          <t/>
        </is>
      </c>
      <c r="D697" t="inlineStr" s="5">
        <is>
          <t/>
        </is>
      </c>
      <c r="E697" t="inlineStr" s="7">
        <is>
          <t/>
        </is>
      </c>
      <c r="F697" t="inlineStr" s="7">
        <is>
          <t/>
        </is>
      </c>
      <c r="G697" s="8">
        <f>IF(AND(E697="",F697=""),"",F697-E697)</f>
      </c>
      <c r="H697" t="inlineStr" s="5">
        <is>
          <t/>
        </is>
      </c>
      <c r="I697" t="inlineStr" s="5">
        <is>
          <t/>
        </is>
      </c>
    </row>
    <row r="698" ht="22" customHeight="1">
      <c r="A698" t="inlineStr" s="6">
        <is>
          <t/>
        </is>
      </c>
      <c r="B698" s="5">
        <f>IF(A698="","",TEXT(A698,"aaa"))</f>
      </c>
      <c r="C698" t="inlineStr" s="5">
        <is>
          <t/>
        </is>
      </c>
      <c r="D698" t="inlineStr" s="5">
        <is>
          <t/>
        </is>
      </c>
      <c r="E698" t="inlineStr" s="7">
        <is>
          <t/>
        </is>
      </c>
      <c r="F698" t="inlineStr" s="7">
        <is>
          <t/>
        </is>
      </c>
      <c r="G698" s="8">
        <f>IF(AND(E698="",F698=""),"",F698-E698)</f>
      </c>
      <c r="H698" t="inlineStr" s="5">
        <is>
          <t/>
        </is>
      </c>
      <c r="I698" t="inlineStr" s="5">
        <is>
          <t/>
        </is>
      </c>
    </row>
    <row r="699" ht="24" customHeight="1">
      <c r="A699" t="inlineStr" s="9">
        <is>
          <t>本周小计</t>
        </is>
      </c>
      <c r="B699" t="inlineStr" s="9">
        <is>
          <t/>
        </is>
      </c>
      <c r="C699" t="inlineStr" s="9">
        <is>
          <t/>
        </is>
      </c>
      <c r="D699" t="inlineStr" s="9">
        <is>
          <t/>
        </is>
      </c>
      <c r="E699" s="9">
        <f>SUM(E684:E698)</f>
      </c>
      <c r="F699" s="9">
        <f>SUM(F684:F698)</f>
      </c>
      <c r="G699" s="9">
        <f>SUM(G684:G698)</f>
      </c>
      <c r="H699" t="inlineStr" s="9">
        <is>
          <t/>
        </is>
      </c>
      <c r="I699" t="inlineStr" s="9">
        <is>
          <t/>
        </is>
      </c>
    </row>
    <row r="700" ht="18" customHeight="1">
      <c r="A700" t="inlineStr" s="10">
        <is>
          <t/>
        </is>
      </c>
      <c r="B700" t="inlineStr" s="10">
        <is>
          <t/>
        </is>
      </c>
      <c r="C700" t="inlineStr" s="10">
        <is>
          <t/>
        </is>
      </c>
      <c r="D700" t="inlineStr" s="10">
        <is>
          <t/>
        </is>
      </c>
      <c r="E700" t="inlineStr" s="10">
        <is>
          <t/>
        </is>
      </c>
      <c r="F700" t="inlineStr" s="10">
        <is>
          <t/>
        </is>
      </c>
      <c r="G700" t="inlineStr" s="10">
        <is>
          <t/>
        </is>
      </c>
      <c r="H700" t="inlineStr" s="10">
        <is>
          <t/>
        </is>
      </c>
      <c r="I700" t="inlineStr" s="10">
        <is>
          <t/>
        </is>
      </c>
    </row>
    <row r="701" ht="18" customHeight="1">
      <c r="A701" t="inlineStr" s="10">
        <is>
          <t/>
        </is>
      </c>
      <c r="B701" t="inlineStr" s="10">
        <is>
          <t/>
        </is>
      </c>
      <c r="C701" t="inlineStr" s="10">
        <is>
          <t/>
        </is>
      </c>
      <c r="D701" t="inlineStr" s="10">
        <is>
          <t/>
        </is>
      </c>
      <c r="E701" t="inlineStr" s="10">
        <is>
          <t/>
        </is>
      </c>
      <c r="F701" t="inlineStr" s="10">
        <is>
          <t/>
        </is>
      </c>
      <c r="G701" t="inlineStr" s="10">
        <is>
          <t/>
        </is>
      </c>
      <c r="H701" t="inlineStr" s="10">
        <is>
          <t/>
        </is>
      </c>
      <c r="I701" t="inlineStr" s="10">
        <is>
          <t/>
        </is>
      </c>
    </row>
    <row r="702" ht="28" customHeight="1">
      <c r="A702" t="inlineStr" s="3">
        <is>
          <t>2027年2月｜第一周（2月1日 - 2月7日）</t>
        </is>
      </c>
      <c r="B702" t="inlineStr" s="3">
        <is>
          <t/>
        </is>
      </c>
      <c r="C702" t="inlineStr" s="3">
        <is>
          <t/>
        </is>
      </c>
      <c r="D702" t="inlineStr" s="3">
        <is>
          <t/>
        </is>
      </c>
      <c r="E702" t="inlineStr" s="3">
        <is>
          <t/>
        </is>
      </c>
      <c r="F702" t="inlineStr" s="3">
        <is>
          <t/>
        </is>
      </c>
      <c r="G702" t="inlineStr" s="3">
        <is>
          <t/>
        </is>
      </c>
      <c r="H702" t="inlineStr" s="3">
        <is>
          <t/>
        </is>
      </c>
      <c r="I702" t="inlineStr" s="3">
        <is>
          <t/>
        </is>
      </c>
    </row>
    <row r="703" ht="23" customHeight="1">
      <c r="A703" t="inlineStr" s="4">
        <is>
          <t>日期</t>
        </is>
      </c>
      <c r="B703" t="inlineStr" s="4">
        <is>
          <t>星期</t>
        </is>
      </c>
      <c r="C703" t="inlineStr" s="4">
        <is>
          <t>分类</t>
        </is>
      </c>
      <c r="D703" t="inlineStr" s="4">
        <is>
          <t>事项</t>
        </is>
      </c>
      <c r="E703" t="inlineStr" s="4">
        <is>
          <t>支出金额</t>
        </is>
      </c>
      <c r="F703" t="inlineStr" s="4">
        <is>
          <t>收入金额</t>
        </is>
      </c>
      <c r="G703" t="inlineStr" s="4">
        <is>
          <t>当笔净额</t>
        </is>
      </c>
      <c r="H703" t="inlineStr" s="4">
        <is>
          <t>支付方式</t>
        </is>
      </c>
      <c r="I703" t="inlineStr" s="4">
        <is>
          <t>备注</t>
        </is>
      </c>
    </row>
    <row r="704" ht="22" customHeight="1">
      <c r="A704" t="inlineStr" s="6">
        <is>
          <t/>
        </is>
      </c>
      <c r="B704" s="5">
        <f>IF(A704="","",TEXT(A704,"aaa"))</f>
      </c>
      <c r="C704" t="inlineStr" s="5">
        <is>
          <t/>
        </is>
      </c>
      <c r="D704" t="inlineStr" s="5">
        <is>
          <t/>
        </is>
      </c>
      <c r="E704" t="inlineStr" s="7">
        <is>
          <t/>
        </is>
      </c>
      <c r="F704" t="inlineStr" s="7">
        <is>
          <t/>
        </is>
      </c>
      <c r="G704" s="8">
        <f>IF(AND(E704="",F704=""),"",F704-E704)</f>
      </c>
      <c r="H704" t="inlineStr" s="5">
        <is>
          <t/>
        </is>
      </c>
      <c r="I704" t="inlineStr" s="5">
        <is>
          <t/>
        </is>
      </c>
    </row>
    <row r="705" ht="22" customHeight="1">
      <c r="A705" t="inlineStr" s="6">
        <is>
          <t/>
        </is>
      </c>
      <c r="B705" s="5">
        <f>IF(A705="","",TEXT(A705,"aaa"))</f>
      </c>
      <c r="C705" t="inlineStr" s="5">
        <is>
          <t/>
        </is>
      </c>
      <c r="D705" t="inlineStr" s="5">
        <is>
          <t/>
        </is>
      </c>
      <c r="E705" t="inlineStr" s="7">
        <is>
          <t/>
        </is>
      </c>
      <c r="F705" t="inlineStr" s="7">
        <is>
          <t/>
        </is>
      </c>
      <c r="G705" s="8">
        <f>IF(AND(E705="",F705=""),"",F705-E705)</f>
      </c>
      <c r="H705" t="inlineStr" s="5">
        <is>
          <t/>
        </is>
      </c>
      <c r="I705" t="inlineStr" s="5">
        <is>
          <t/>
        </is>
      </c>
    </row>
    <row r="706" ht="22" customHeight="1">
      <c r="A706" t="inlineStr" s="6">
        <is>
          <t/>
        </is>
      </c>
      <c r="B706" s="5">
        <f>IF(A706="","",TEXT(A706,"aaa"))</f>
      </c>
      <c r="C706" t="inlineStr" s="5">
        <is>
          <t/>
        </is>
      </c>
      <c r="D706" t="inlineStr" s="5">
        <is>
          <t/>
        </is>
      </c>
      <c r="E706" t="inlineStr" s="7">
        <is>
          <t/>
        </is>
      </c>
      <c r="F706" t="inlineStr" s="7">
        <is>
          <t/>
        </is>
      </c>
      <c r="G706" s="8">
        <f>IF(AND(E706="",F706=""),"",F706-E706)</f>
      </c>
      <c r="H706" t="inlineStr" s="5">
        <is>
          <t/>
        </is>
      </c>
      <c r="I706" t="inlineStr" s="5">
        <is>
          <t/>
        </is>
      </c>
    </row>
    <row r="707" ht="22" customHeight="1">
      <c r="A707" t="inlineStr" s="6">
        <is>
          <t/>
        </is>
      </c>
      <c r="B707" s="5">
        <f>IF(A707="","",TEXT(A707,"aaa"))</f>
      </c>
      <c r="C707" t="inlineStr" s="5">
        <is>
          <t/>
        </is>
      </c>
      <c r="D707" t="inlineStr" s="5">
        <is>
          <t/>
        </is>
      </c>
      <c r="E707" t="inlineStr" s="7">
        <is>
          <t/>
        </is>
      </c>
      <c r="F707" t="inlineStr" s="7">
        <is>
          <t/>
        </is>
      </c>
      <c r="G707" s="8">
        <f>IF(AND(E707="",F707=""),"",F707-E707)</f>
      </c>
      <c r="H707" t="inlineStr" s="5">
        <is>
          <t/>
        </is>
      </c>
      <c r="I707" t="inlineStr" s="5">
        <is>
          <t/>
        </is>
      </c>
    </row>
    <row r="708" ht="22" customHeight="1">
      <c r="A708" t="inlineStr" s="6">
        <is>
          <t/>
        </is>
      </c>
      <c r="B708" s="5">
        <f>IF(A708="","",TEXT(A708,"aaa"))</f>
      </c>
      <c r="C708" t="inlineStr" s="5">
        <is>
          <t/>
        </is>
      </c>
      <c r="D708" t="inlineStr" s="5">
        <is>
          <t/>
        </is>
      </c>
      <c r="E708" t="inlineStr" s="7">
        <is>
          <t/>
        </is>
      </c>
      <c r="F708" t="inlineStr" s="7">
        <is>
          <t/>
        </is>
      </c>
      <c r="G708" s="8">
        <f>IF(AND(E708="",F708=""),"",F708-E708)</f>
      </c>
      <c r="H708" t="inlineStr" s="5">
        <is>
          <t/>
        </is>
      </c>
      <c r="I708" t="inlineStr" s="5">
        <is>
          <t/>
        </is>
      </c>
    </row>
    <row r="709" ht="22" customHeight="1">
      <c r="A709" t="inlineStr" s="6">
        <is>
          <t/>
        </is>
      </c>
      <c r="B709" s="5">
        <f>IF(A709="","",TEXT(A709,"aaa"))</f>
      </c>
      <c r="C709" t="inlineStr" s="5">
        <is>
          <t/>
        </is>
      </c>
      <c r="D709" t="inlineStr" s="5">
        <is>
          <t/>
        </is>
      </c>
      <c r="E709" t="inlineStr" s="7">
        <is>
          <t/>
        </is>
      </c>
      <c r="F709" t="inlineStr" s="7">
        <is>
          <t/>
        </is>
      </c>
      <c r="G709" s="8">
        <f>IF(AND(E709="",F709=""),"",F709-E709)</f>
      </c>
      <c r="H709" t="inlineStr" s="5">
        <is>
          <t/>
        </is>
      </c>
      <c r="I709" t="inlineStr" s="5">
        <is>
          <t/>
        </is>
      </c>
    </row>
    <row r="710" ht="22" customHeight="1">
      <c r="A710" t="inlineStr" s="6">
        <is>
          <t/>
        </is>
      </c>
      <c r="B710" s="5">
        <f>IF(A710="","",TEXT(A710,"aaa"))</f>
      </c>
      <c r="C710" t="inlineStr" s="5">
        <is>
          <t/>
        </is>
      </c>
      <c r="D710" t="inlineStr" s="5">
        <is>
          <t/>
        </is>
      </c>
      <c r="E710" t="inlineStr" s="7">
        <is>
          <t/>
        </is>
      </c>
      <c r="F710" t="inlineStr" s="7">
        <is>
          <t/>
        </is>
      </c>
      <c r="G710" s="8">
        <f>IF(AND(E710="",F710=""),"",F710-E710)</f>
      </c>
      <c r="H710" t="inlineStr" s="5">
        <is>
          <t/>
        </is>
      </c>
      <c r="I710" t="inlineStr" s="5">
        <is>
          <t/>
        </is>
      </c>
    </row>
    <row r="711" ht="22" customHeight="1">
      <c r="A711" t="inlineStr" s="6">
        <is>
          <t/>
        </is>
      </c>
      <c r="B711" s="5">
        <f>IF(A711="","",TEXT(A711,"aaa"))</f>
      </c>
      <c r="C711" t="inlineStr" s="5">
        <is>
          <t/>
        </is>
      </c>
      <c r="D711" t="inlineStr" s="5">
        <is>
          <t/>
        </is>
      </c>
      <c r="E711" t="inlineStr" s="7">
        <is>
          <t/>
        </is>
      </c>
      <c r="F711" t="inlineStr" s="7">
        <is>
          <t/>
        </is>
      </c>
      <c r="G711" s="8">
        <f>IF(AND(E711="",F711=""),"",F711-E711)</f>
      </c>
      <c r="H711" t="inlineStr" s="5">
        <is>
          <t/>
        </is>
      </c>
      <c r="I711" t="inlineStr" s="5">
        <is>
          <t/>
        </is>
      </c>
    </row>
    <row r="712" ht="22" customHeight="1">
      <c r="A712" t="inlineStr" s="6">
        <is>
          <t/>
        </is>
      </c>
      <c r="B712" s="5">
        <f>IF(A712="","",TEXT(A712,"aaa"))</f>
      </c>
      <c r="C712" t="inlineStr" s="5">
        <is>
          <t/>
        </is>
      </c>
      <c r="D712" t="inlineStr" s="5">
        <is>
          <t/>
        </is>
      </c>
      <c r="E712" t="inlineStr" s="7">
        <is>
          <t/>
        </is>
      </c>
      <c r="F712" t="inlineStr" s="7">
        <is>
          <t/>
        </is>
      </c>
      <c r="G712" s="8">
        <f>IF(AND(E712="",F712=""),"",F712-E712)</f>
      </c>
      <c r="H712" t="inlineStr" s="5">
        <is>
          <t/>
        </is>
      </c>
      <c r="I712" t="inlineStr" s="5">
        <is>
          <t/>
        </is>
      </c>
    </row>
    <row r="713" ht="22" customHeight="1">
      <c r="A713" t="inlineStr" s="6">
        <is>
          <t/>
        </is>
      </c>
      <c r="B713" s="5">
        <f>IF(A713="","",TEXT(A713,"aaa"))</f>
      </c>
      <c r="C713" t="inlineStr" s="5">
        <is>
          <t/>
        </is>
      </c>
      <c r="D713" t="inlineStr" s="5">
        <is>
          <t/>
        </is>
      </c>
      <c r="E713" t="inlineStr" s="7">
        <is>
          <t/>
        </is>
      </c>
      <c r="F713" t="inlineStr" s="7">
        <is>
          <t/>
        </is>
      </c>
      <c r="G713" s="8">
        <f>IF(AND(E713="",F713=""),"",F713-E713)</f>
      </c>
      <c r="H713" t="inlineStr" s="5">
        <is>
          <t/>
        </is>
      </c>
      <c r="I713" t="inlineStr" s="5">
        <is>
          <t/>
        </is>
      </c>
    </row>
    <row r="714" ht="22" customHeight="1">
      <c r="A714" t="inlineStr" s="6">
        <is>
          <t/>
        </is>
      </c>
      <c r="B714" s="5">
        <f>IF(A714="","",TEXT(A714,"aaa"))</f>
      </c>
      <c r="C714" t="inlineStr" s="5">
        <is>
          <t/>
        </is>
      </c>
      <c r="D714" t="inlineStr" s="5">
        <is>
          <t/>
        </is>
      </c>
      <c r="E714" t="inlineStr" s="7">
        <is>
          <t/>
        </is>
      </c>
      <c r="F714" t="inlineStr" s="7">
        <is>
          <t/>
        </is>
      </c>
      <c r="G714" s="8">
        <f>IF(AND(E714="",F714=""),"",F714-E714)</f>
      </c>
      <c r="H714" t="inlineStr" s="5">
        <is>
          <t/>
        </is>
      </c>
      <c r="I714" t="inlineStr" s="5">
        <is>
          <t/>
        </is>
      </c>
    </row>
    <row r="715" ht="22" customHeight="1">
      <c r="A715" t="inlineStr" s="6">
        <is>
          <t/>
        </is>
      </c>
      <c r="B715" s="5">
        <f>IF(A715="","",TEXT(A715,"aaa"))</f>
      </c>
      <c r="C715" t="inlineStr" s="5">
        <is>
          <t/>
        </is>
      </c>
      <c r="D715" t="inlineStr" s="5">
        <is>
          <t/>
        </is>
      </c>
      <c r="E715" t="inlineStr" s="7">
        <is>
          <t/>
        </is>
      </c>
      <c r="F715" t="inlineStr" s="7">
        <is>
          <t/>
        </is>
      </c>
      <c r="G715" s="8">
        <f>IF(AND(E715="",F715=""),"",F715-E715)</f>
      </c>
      <c r="H715" t="inlineStr" s="5">
        <is>
          <t/>
        </is>
      </c>
      <c r="I715" t="inlineStr" s="5">
        <is>
          <t/>
        </is>
      </c>
    </row>
    <row r="716" ht="22" customHeight="1">
      <c r="A716" t="inlineStr" s="6">
        <is>
          <t/>
        </is>
      </c>
      <c r="B716" s="5">
        <f>IF(A716="","",TEXT(A716,"aaa"))</f>
      </c>
      <c r="C716" t="inlineStr" s="5">
        <is>
          <t/>
        </is>
      </c>
      <c r="D716" t="inlineStr" s="5">
        <is>
          <t/>
        </is>
      </c>
      <c r="E716" t="inlineStr" s="7">
        <is>
          <t/>
        </is>
      </c>
      <c r="F716" t="inlineStr" s="7">
        <is>
          <t/>
        </is>
      </c>
      <c r="G716" s="8">
        <f>IF(AND(E716="",F716=""),"",F716-E716)</f>
      </c>
      <c r="H716" t="inlineStr" s="5">
        <is>
          <t/>
        </is>
      </c>
      <c r="I716" t="inlineStr" s="5">
        <is>
          <t/>
        </is>
      </c>
    </row>
    <row r="717" ht="22" customHeight="1">
      <c r="A717" t="inlineStr" s="6">
        <is>
          <t/>
        </is>
      </c>
      <c r="B717" s="5">
        <f>IF(A717="","",TEXT(A717,"aaa"))</f>
      </c>
      <c r="C717" t="inlineStr" s="5">
        <is>
          <t/>
        </is>
      </c>
      <c r="D717" t="inlineStr" s="5">
        <is>
          <t/>
        </is>
      </c>
      <c r="E717" t="inlineStr" s="7">
        <is>
          <t/>
        </is>
      </c>
      <c r="F717" t="inlineStr" s="7">
        <is>
          <t/>
        </is>
      </c>
      <c r="G717" s="8">
        <f>IF(AND(E717="",F717=""),"",F717-E717)</f>
      </c>
      <c r="H717" t="inlineStr" s="5">
        <is>
          <t/>
        </is>
      </c>
      <c r="I717" t="inlineStr" s="5">
        <is>
          <t/>
        </is>
      </c>
    </row>
    <row r="718" ht="22" customHeight="1">
      <c r="A718" t="inlineStr" s="6">
        <is>
          <t/>
        </is>
      </c>
      <c r="B718" s="5">
        <f>IF(A718="","",TEXT(A718,"aaa"))</f>
      </c>
      <c r="C718" t="inlineStr" s="5">
        <is>
          <t/>
        </is>
      </c>
      <c r="D718" t="inlineStr" s="5">
        <is>
          <t/>
        </is>
      </c>
      <c r="E718" t="inlineStr" s="7">
        <is>
          <t/>
        </is>
      </c>
      <c r="F718" t="inlineStr" s="7">
        <is>
          <t/>
        </is>
      </c>
      <c r="G718" s="8">
        <f>IF(AND(E718="",F718=""),"",F718-E718)</f>
      </c>
      <c r="H718" t="inlineStr" s="5">
        <is>
          <t/>
        </is>
      </c>
      <c r="I718" t="inlineStr" s="5">
        <is>
          <t/>
        </is>
      </c>
    </row>
    <row r="719" ht="24" customHeight="1">
      <c r="A719" t="inlineStr" s="9">
        <is>
          <t>本周小计</t>
        </is>
      </c>
      <c r="B719" t="inlineStr" s="9">
        <is>
          <t/>
        </is>
      </c>
      <c r="C719" t="inlineStr" s="9">
        <is>
          <t/>
        </is>
      </c>
      <c r="D719" t="inlineStr" s="9">
        <is>
          <t/>
        </is>
      </c>
      <c r="E719" s="9">
        <f>SUM(E704:E718)</f>
      </c>
      <c r="F719" s="9">
        <f>SUM(F704:F718)</f>
      </c>
      <c r="G719" s="9">
        <f>SUM(G704:G718)</f>
      </c>
      <c r="H719" t="inlineStr" s="9">
        <is>
          <t/>
        </is>
      </c>
      <c r="I719" t="inlineStr" s="9">
        <is>
          <t/>
        </is>
      </c>
    </row>
    <row r="720" ht="18" customHeight="1">
      <c r="A720" t="inlineStr" s="10">
        <is>
          <t/>
        </is>
      </c>
      <c r="B720" t="inlineStr" s="10">
        <is>
          <t/>
        </is>
      </c>
      <c r="C720" t="inlineStr" s="10">
        <is>
          <t/>
        </is>
      </c>
      <c r="D720" t="inlineStr" s="10">
        <is>
          <t/>
        </is>
      </c>
      <c r="E720" t="inlineStr" s="10">
        <is>
          <t/>
        </is>
      </c>
      <c r="F720" t="inlineStr" s="10">
        <is>
          <t/>
        </is>
      </c>
      <c r="G720" t="inlineStr" s="10">
        <is>
          <t/>
        </is>
      </c>
      <c r="H720" t="inlineStr" s="10">
        <is>
          <t/>
        </is>
      </c>
      <c r="I720" t="inlineStr" s="10">
        <is>
          <t/>
        </is>
      </c>
    </row>
    <row r="721" ht="18" customHeight="1">
      <c r="A721" t="inlineStr" s="10">
        <is>
          <t/>
        </is>
      </c>
      <c r="B721" t="inlineStr" s="10">
        <is>
          <t/>
        </is>
      </c>
      <c r="C721" t="inlineStr" s="10">
        <is>
          <t/>
        </is>
      </c>
      <c r="D721" t="inlineStr" s="10">
        <is>
          <t/>
        </is>
      </c>
      <c r="E721" t="inlineStr" s="10">
        <is>
          <t/>
        </is>
      </c>
      <c r="F721" t="inlineStr" s="10">
        <is>
          <t/>
        </is>
      </c>
      <c r="G721" t="inlineStr" s="10">
        <is>
          <t/>
        </is>
      </c>
      <c r="H721" t="inlineStr" s="10">
        <is>
          <t/>
        </is>
      </c>
      <c r="I721" t="inlineStr" s="10">
        <is>
          <t/>
        </is>
      </c>
    </row>
    <row r="722" ht="28" customHeight="1">
      <c r="A722" t="inlineStr" s="3">
        <is>
          <t>2027年2月｜第二周（2月8日 - 2月14日）</t>
        </is>
      </c>
      <c r="B722" t="inlineStr" s="3">
        <is>
          <t/>
        </is>
      </c>
      <c r="C722" t="inlineStr" s="3">
        <is>
          <t/>
        </is>
      </c>
      <c r="D722" t="inlineStr" s="3">
        <is>
          <t/>
        </is>
      </c>
      <c r="E722" t="inlineStr" s="3">
        <is>
          <t/>
        </is>
      </c>
      <c r="F722" t="inlineStr" s="3">
        <is>
          <t/>
        </is>
      </c>
      <c r="G722" t="inlineStr" s="3">
        <is>
          <t/>
        </is>
      </c>
      <c r="H722" t="inlineStr" s="3">
        <is>
          <t/>
        </is>
      </c>
      <c r="I722" t="inlineStr" s="3">
        <is>
          <t/>
        </is>
      </c>
    </row>
    <row r="723" ht="23" customHeight="1">
      <c r="A723" t="inlineStr" s="4">
        <is>
          <t>日期</t>
        </is>
      </c>
      <c r="B723" t="inlineStr" s="4">
        <is>
          <t>星期</t>
        </is>
      </c>
      <c r="C723" t="inlineStr" s="4">
        <is>
          <t>分类</t>
        </is>
      </c>
      <c r="D723" t="inlineStr" s="4">
        <is>
          <t>事项</t>
        </is>
      </c>
      <c r="E723" t="inlineStr" s="4">
        <is>
          <t>支出金额</t>
        </is>
      </c>
      <c r="F723" t="inlineStr" s="4">
        <is>
          <t>收入金额</t>
        </is>
      </c>
      <c r="G723" t="inlineStr" s="4">
        <is>
          <t>当笔净额</t>
        </is>
      </c>
      <c r="H723" t="inlineStr" s="4">
        <is>
          <t>支付方式</t>
        </is>
      </c>
      <c r="I723" t="inlineStr" s="4">
        <is>
          <t>备注</t>
        </is>
      </c>
    </row>
    <row r="724" ht="22" customHeight="1">
      <c r="A724" t="inlineStr" s="6">
        <is>
          <t/>
        </is>
      </c>
      <c r="B724" s="5">
        <f>IF(A724="","",TEXT(A724,"aaa"))</f>
      </c>
      <c r="C724" t="inlineStr" s="5">
        <is>
          <t/>
        </is>
      </c>
      <c r="D724" t="inlineStr" s="5">
        <is>
          <t/>
        </is>
      </c>
      <c r="E724" t="inlineStr" s="7">
        <is>
          <t/>
        </is>
      </c>
      <c r="F724" t="inlineStr" s="7">
        <is>
          <t/>
        </is>
      </c>
      <c r="G724" s="8">
        <f>IF(AND(E724="",F724=""),"",F724-E724)</f>
      </c>
      <c r="H724" t="inlineStr" s="5">
        <is>
          <t/>
        </is>
      </c>
      <c r="I724" t="inlineStr" s="5">
        <is>
          <t/>
        </is>
      </c>
    </row>
    <row r="725" ht="22" customHeight="1">
      <c r="A725" t="inlineStr" s="6">
        <is>
          <t/>
        </is>
      </c>
      <c r="B725" s="5">
        <f>IF(A725="","",TEXT(A725,"aaa"))</f>
      </c>
      <c r="C725" t="inlineStr" s="5">
        <is>
          <t/>
        </is>
      </c>
      <c r="D725" t="inlineStr" s="5">
        <is>
          <t/>
        </is>
      </c>
      <c r="E725" t="inlineStr" s="7">
        <is>
          <t/>
        </is>
      </c>
      <c r="F725" t="inlineStr" s="7">
        <is>
          <t/>
        </is>
      </c>
      <c r="G725" s="8">
        <f>IF(AND(E725="",F725=""),"",F725-E725)</f>
      </c>
      <c r="H725" t="inlineStr" s="5">
        <is>
          <t/>
        </is>
      </c>
      <c r="I725" t="inlineStr" s="5">
        <is>
          <t/>
        </is>
      </c>
    </row>
    <row r="726" ht="22" customHeight="1">
      <c r="A726" t="inlineStr" s="6">
        <is>
          <t/>
        </is>
      </c>
      <c r="B726" s="5">
        <f>IF(A726="","",TEXT(A726,"aaa"))</f>
      </c>
      <c r="C726" t="inlineStr" s="5">
        <is>
          <t/>
        </is>
      </c>
      <c r="D726" t="inlineStr" s="5">
        <is>
          <t/>
        </is>
      </c>
      <c r="E726" t="inlineStr" s="7">
        <is>
          <t/>
        </is>
      </c>
      <c r="F726" t="inlineStr" s="7">
        <is>
          <t/>
        </is>
      </c>
      <c r="G726" s="8">
        <f>IF(AND(E726="",F726=""),"",F726-E726)</f>
      </c>
      <c r="H726" t="inlineStr" s="5">
        <is>
          <t/>
        </is>
      </c>
      <c r="I726" t="inlineStr" s="5">
        <is>
          <t/>
        </is>
      </c>
    </row>
    <row r="727" ht="22" customHeight="1">
      <c r="A727" t="inlineStr" s="6">
        <is>
          <t/>
        </is>
      </c>
      <c r="B727" s="5">
        <f>IF(A727="","",TEXT(A727,"aaa"))</f>
      </c>
      <c r="C727" t="inlineStr" s="5">
        <is>
          <t/>
        </is>
      </c>
      <c r="D727" t="inlineStr" s="5">
        <is>
          <t/>
        </is>
      </c>
      <c r="E727" t="inlineStr" s="7">
        <is>
          <t/>
        </is>
      </c>
      <c r="F727" t="inlineStr" s="7">
        <is>
          <t/>
        </is>
      </c>
      <c r="G727" s="8">
        <f>IF(AND(E727="",F727=""),"",F727-E727)</f>
      </c>
      <c r="H727" t="inlineStr" s="5">
        <is>
          <t/>
        </is>
      </c>
      <c r="I727" t="inlineStr" s="5">
        <is>
          <t/>
        </is>
      </c>
    </row>
    <row r="728" ht="22" customHeight="1">
      <c r="A728" t="inlineStr" s="6">
        <is>
          <t/>
        </is>
      </c>
      <c r="B728" s="5">
        <f>IF(A728="","",TEXT(A728,"aaa"))</f>
      </c>
      <c r="C728" t="inlineStr" s="5">
        <is>
          <t/>
        </is>
      </c>
      <c r="D728" t="inlineStr" s="5">
        <is>
          <t/>
        </is>
      </c>
      <c r="E728" t="inlineStr" s="7">
        <is>
          <t/>
        </is>
      </c>
      <c r="F728" t="inlineStr" s="7">
        <is>
          <t/>
        </is>
      </c>
      <c r="G728" s="8">
        <f>IF(AND(E728="",F728=""),"",F728-E728)</f>
      </c>
      <c r="H728" t="inlineStr" s="5">
        <is>
          <t/>
        </is>
      </c>
      <c r="I728" t="inlineStr" s="5">
        <is>
          <t/>
        </is>
      </c>
    </row>
    <row r="729" ht="22" customHeight="1">
      <c r="A729" t="inlineStr" s="6">
        <is>
          <t/>
        </is>
      </c>
      <c r="B729" s="5">
        <f>IF(A729="","",TEXT(A729,"aaa"))</f>
      </c>
      <c r="C729" t="inlineStr" s="5">
        <is>
          <t/>
        </is>
      </c>
      <c r="D729" t="inlineStr" s="5">
        <is>
          <t/>
        </is>
      </c>
      <c r="E729" t="inlineStr" s="7">
        <is>
          <t/>
        </is>
      </c>
      <c r="F729" t="inlineStr" s="7">
        <is>
          <t/>
        </is>
      </c>
      <c r="G729" s="8">
        <f>IF(AND(E729="",F729=""),"",F729-E729)</f>
      </c>
      <c r="H729" t="inlineStr" s="5">
        <is>
          <t/>
        </is>
      </c>
      <c r="I729" t="inlineStr" s="5">
        <is>
          <t/>
        </is>
      </c>
    </row>
    <row r="730" ht="22" customHeight="1">
      <c r="A730" t="inlineStr" s="6">
        <is>
          <t/>
        </is>
      </c>
      <c r="B730" s="5">
        <f>IF(A730="","",TEXT(A730,"aaa"))</f>
      </c>
      <c r="C730" t="inlineStr" s="5">
        <is>
          <t/>
        </is>
      </c>
      <c r="D730" t="inlineStr" s="5">
        <is>
          <t/>
        </is>
      </c>
      <c r="E730" t="inlineStr" s="7">
        <is>
          <t/>
        </is>
      </c>
      <c r="F730" t="inlineStr" s="7">
        <is>
          <t/>
        </is>
      </c>
      <c r="G730" s="8">
        <f>IF(AND(E730="",F730=""),"",F730-E730)</f>
      </c>
      <c r="H730" t="inlineStr" s="5">
        <is>
          <t/>
        </is>
      </c>
      <c r="I730" t="inlineStr" s="5">
        <is>
          <t/>
        </is>
      </c>
    </row>
    <row r="731" ht="22" customHeight="1">
      <c r="A731" t="inlineStr" s="6">
        <is>
          <t/>
        </is>
      </c>
      <c r="B731" s="5">
        <f>IF(A731="","",TEXT(A731,"aaa"))</f>
      </c>
      <c r="C731" t="inlineStr" s="5">
        <is>
          <t/>
        </is>
      </c>
      <c r="D731" t="inlineStr" s="5">
        <is>
          <t/>
        </is>
      </c>
      <c r="E731" t="inlineStr" s="7">
        <is>
          <t/>
        </is>
      </c>
      <c r="F731" t="inlineStr" s="7">
        <is>
          <t/>
        </is>
      </c>
      <c r="G731" s="8">
        <f>IF(AND(E731="",F731=""),"",F731-E731)</f>
      </c>
      <c r="H731" t="inlineStr" s="5">
        <is>
          <t/>
        </is>
      </c>
      <c r="I731" t="inlineStr" s="5">
        <is>
          <t/>
        </is>
      </c>
    </row>
    <row r="732" ht="22" customHeight="1">
      <c r="A732" t="inlineStr" s="6">
        <is>
          <t/>
        </is>
      </c>
      <c r="B732" s="5">
        <f>IF(A732="","",TEXT(A732,"aaa"))</f>
      </c>
      <c r="C732" t="inlineStr" s="5">
        <is>
          <t/>
        </is>
      </c>
      <c r="D732" t="inlineStr" s="5">
        <is>
          <t/>
        </is>
      </c>
      <c r="E732" t="inlineStr" s="7">
        <is>
          <t/>
        </is>
      </c>
      <c r="F732" t="inlineStr" s="7">
        <is>
          <t/>
        </is>
      </c>
      <c r="G732" s="8">
        <f>IF(AND(E732="",F732=""),"",F732-E732)</f>
      </c>
      <c r="H732" t="inlineStr" s="5">
        <is>
          <t/>
        </is>
      </c>
      <c r="I732" t="inlineStr" s="5">
        <is>
          <t/>
        </is>
      </c>
    </row>
    <row r="733" ht="22" customHeight="1">
      <c r="A733" t="inlineStr" s="6">
        <is>
          <t/>
        </is>
      </c>
      <c r="B733" s="5">
        <f>IF(A733="","",TEXT(A733,"aaa"))</f>
      </c>
      <c r="C733" t="inlineStr" s="5">
        <is>
          <t/>
        </is>
      </c>
      <c r="D733" t="inlineStr" s="5">
        <is>
          <t/>
        </is>
      </c>
      <c r="E733" t="inlineStr" s="7">
        <is>
          <t/>
        </is>
      </c>
      <c r="F733" t="inlineStr" s="7">
        <is>
          <t/>
        </is>
      </c>
      <c r="G733" s="8">
        <f>IF(AND(E733="",F733=""),"",F733-E733)</f>
      </c>
      <c r="H733" t="inlineStr" s="5">
        <is>
          <t/>
        </is>
      </c>
      <c r="I733" t="inlineStr" s="5">
        <is>
          <t/>
        </is>
      </c>
    </row>
    <row r="734" ht="22" customHeight="1">
      <c r="A734" t="inlineStr" s="6">
        <is>
          <t/>
        </is>
      </c>
      <c r="B734" s="5">
        <f>IF(A734="","",TEXT(A734,"aaa"))</f>
      </c>
      <c r="C734" t="inlineStr" s="5">
        <is>
          <t/>
        </is>
      </c>
      <c r="D734" t="inlineStr" s="5">
        <is>
          <t/>
        </is>
      </c>
      <c r="E734" t="inlineStr" s="7">
        <is>
          <t/>
        </is>
      </c>
      <c r="F734" t="inlineStr" s="7">
        <is>
          <t/>
        </is>
      </c>
      <c r="G734" s="8">
        <f>IF(AND(E734="",F734=""),"",F734-E734)</f>
      </c>
      <c r="H734" t="inlineStr" s="5">
        <is>
          <t/>
        </is>
      </c>
      <c r="I734" t="inlineStr" s="5">
        <is>
          <t/>
        </is>
      </c>
    </row>
    <row r="735" ht="22" customHeight="1">
      <c r="A735" t="inlineStr" s="6">
        <is>
          <t/>
        </is>
      </c>
      <c r="B735" s="5">
        <f>IF(A735="","",TEXT(A735,"aaa"))</f>
      </c>
      <c r="C735" t="inlineStr" s="5">
        <is>
          <t/>
        </is>
      </c>
      <c r="D735" t="inlineStr" s="5">
        <is>
          <t/>
        </is>
      </c>
      <c r="E735" t="inlineStr" s="7">
        <is>
          <t/>
        </is>
      </c>
      <c r="F735" t="inlineStr" s="7">
        <is>
          <t/>
        </is>
      </c>
      <c r="G735" s="8">
        <f>IF(AND(E735="",F735=""),"",F735-E735)</f>
      </c>
      <c r="H735" t="inlineStr" s="5">
        <is>
          <t/>
        </is>
      </c>
      <c r="I735" t="inlineStr" s="5">
        <is>
          <t/>
        </is>
      </c>
    </row>
    <row r="736" ht="22" customHeight="1">
      <c r="A736" t="inlineStr" s="6">
        <is>
          <t/>
        </is>
      </c>
      <c r="B736" s="5">
        <f>IF(A736="","",TEXT(A736,"aaa"))</f>
      </c>
      <c r="C736" t="inlineStr" s="5">
        <is>
          <t/>
        </is>
      </c>
      <c r="D736" t="inlineStr" s="5">
        <is>
          <t/>
        </is>
      </c>
      <c r="E736" t="inlineStr" s="7">
        <is>
          <t/>
        </is>
      </c>
      <c r="F736" t="inlineStr" s="7">
        <is>
          <t/>
        </is>
      </c>
      <c r="G736" s="8">
        <f>IF(AND(E736="",F736=""),"",F736-E736)</f>
      </c>
      <c r="H736" t="inlineStr" s="5">
        <is>
          <t/>
        </is>
      </c>
      <c r="I736" t="inlineStr" s="5">
        <is>
          <t/>
        </is>
      </c>
    </row>
    <row r="737" ht="22" customHeight="1">
      <c r="A737" t="inlineStr" s="6">
        <is>
          <t/>
        </is>
      </c>
      <c r="B737" s="5">
        <f>IF(A737="","",TEXT(A737,"aaa"))</f>
      </c>
      <c r="C737" t="inlineStr" s="5">
        <is>
          <t/>
        </is>
      </c>
      <c r="D737" t="inlineStr" s="5">
        <is>
          <t/>
        </is>
      </c>
      <c r="E737" t="inlineStr" s="7">
        <is>
          <t/>
        </is>
      </c>
      <c r="F737" t="inlineStr" s="7">
        <is>
          <t/>
        </is>
      </c>
      <c r="G737" s="8">
        <f>IF(AND(E737="",F737=""),"",F737-E737)</f>
      </c>
      <c r="H737" t="inlineStr" s="5">
        <is>
          <t/>
        </is>
      </c>
      <c r="I737" t="inlineStr" s="5">
        <is>
          <t/>
        </is>
      </c>
    </row>
    <row r="738" ht="22" customHeight="1">
      <c r="A738" t="inlineStr" s="6">
        <is>
          <t/>
        </is>
      </c>
      <c r="B738" s="5">
        <f>IF(A738="","",TEXT(A738,"aaa"))</f>
      </c>
      <c r="C738" t="inlineStr" s="5">
        <is>
          <t/>
        </is>
      </c>
      <c r="D738" t="inlineStr" s="5">
        <is>
          <t/>
        </is>
      </c>
      <c r="E738" t="inlineStr" s="7">
        <is>
          <t/>
        </is>
      </c>
      <c r="F738" t="inlineStr" s="7">
        <is>
          <t/>
        </is>
      </c>
      <c r="G738" s="8">
        <f>IF(AND(E738="",F738=""),"",F738-E738)</f>
      </c>
      <c r="H738" t="inlineStr" s="5">
        <is>
          <t/>
        </is>
      </c>
      <c r="I738" t="inlineStr" s="5">
        <is>
          <t/>
        </is>
      </c>
    </row>
    <row r="739" ht="24" customHeight="1">
      <c r="A739" t="inlineStr" s="9">
        <is>
          <t>本周小计</t>
        </is>
      </c>
      <c r="B739" t="inlineStr" s="9">
        <is>
          <t/>
        </is>
      </c>
      <c r="C739" t="inlineStr" s="9">
        <is>
          <t/>
        </is>
      </c>
      <c r="D739" t="inlineStr" s="9">
        <is>
          <t/>
        </is>
      </c>
      <c r="E739" s="9">
        <f>SUM(E724:E738)</f>
      </c>
      <c r="F739" s="9">
        <f>SUM(F724:F738)</f>
      </c>
      <c r="G739" s="9">
        <f>SUM(G724:G738)</f>
      </c>
      <c r="H739" t="inlineStr" s="9">
        <is>
          <t/>
        </is>
      </c>
      <c r="I739" t="inlineStr" s="9">
        <is>
          <t/>
        </is>
      </c>
    </row>
    <row r="740" ht="18" customHeight="1">
      <c r="A740" t="inlineStr" s="10">
        <is>
          <t/>
        </is>
      </c>
      <c r="B740" t="inlineStr" s="10">
        <is>
          <t/>
        </is>
      </c>
      <c r="C740" t="inlineStr" s="10">
        <is>
          <t/>
        </is>
      </c>
      <c r="D740" t="inlineStr" s="10">
        <is>
          <t/>
        </is>
      </c>
      <c r="E740" t="inlineStr" s="10">
        <is>
          <t/>
        </is>
      </c>
      <c r="F740" t="inlineStr" s="10">
        <is>
          <t/>
        </is>
      </c>
      <c r="G740" t="inlineStr" s="10">
        <is>
          <t/>
        </is>
      </c>
      <c r="H740" t="inlineStr" s="10">
        <is>
          <t/>
        </is>
      </c>
      <c r="I740" t="inlineStr" s="10">
        <is>
          <t/>
        </is>
      </c>
    </row>
    <row r="741" ht="18" customHeight="1">
      <c r="A741" t="inlineStr" s="10">
        <is>
          <t/>
        </is>
      </c>
      <c r="B741" t="inlineStr" s="10">
        <is>
          <t/>
        </is>
      </c>
      <c r="C741" t="inlineStr" s="10">
        <is>
          <t/>
        </is>
      </c>
      <c r="D741" t="inlineStr" s="10">
        <is>
          <t/>
        </is>
      </c>
      <c r="E741" t="inlineStr" s="10">
        <is>
          <t/>
        </is>
      </c>
      <c r="F741" t="inlineStr" s="10">
        <is>
          <t/>
        </is>
      </c>
      <c r="G741" t="inlineStr" s="10">
        <is>
          <t/>
        </is>
      </c>
      <c r="H741" t="inlineStr" s="10">
        <is>
          <t/>
        </is>
      </c>
      <c r="I741" t="inlineStr" s="10">
        <is>
          <t/>
        </is>
      </c>
    </row>
    <row r="742" ht="28" customHeight="1">
      <c r="A742" t="inlineStr" s="3">
        <is>
          <t>2027年2月｜第三周（2月15日 - 2月21日）</t>
        </is>
      </c>
      <c r="B742" t="inlineStr" s="3">
        <is>
          <t/>
        </is>
      </c>
      <c r="C742" t="inlineStr" s="3">
        <is>
          <t/>
        </is>
      </c>
      <c r="D742" t="inlineStr" s="3">
        <is>
          <t/>
        </is>
      </c>
      <c r="E742" t="inlineStr" s="3">
        <is>
          <t/>
        </is>
      </c>
      <c r="F742" t="inlineStr" s="3">
        <is>
          <t/>
        </is>
      </c>
      <c r="G742" t="inlineStr" s="3">
        <is>
          <t/>
        </is>
      </c>
      <c r="H742" t="inlineStr" s="3">
        <is>
          <t/>
        </is>
      </c>
      <c r="I742" t="inlineStr" s="3">
        <is>
          <t/>
        </is>
      </c>
    </row>
    <row r="743" ht="23" customHeight="1">
      <c r="A743" t="inlineStr" s="4">
        <is>
          <t>日期</t>
        </is>
      </c>
      <c r="B743" t="inlineStr" s="4">
        <is>
          <t>星期</t>
        </is>
      </c>
      <c r="C743" t="inlineStr" s="4">
        <is>
          <t>分类</t>
        </is>
      </c>
      <c r="D743" t="inlineStr" s="4">
        <is>
          <t>事项</t>
        </is>
      </c>
      <c r="E743" t="inlineStr" s="4">
        <is>
          <t>支出金额</t>
        </is>
      </c>
      <c r="F743" t="inlineStr" s="4">
        <is>
          <t>收入金额</t>
        </is>
      </c>
      <c r="G743" t="inlineStr" s="4">
        <is>
          <t>当笔净额</t>
        </is>
      </c>
      <c r="H743" t="inlineStr" s="4">
        <is>
          <t>支付方式</t>
        </is>
      </c>
      <c r="I743" t="inlineStr" s="4">
        <is>
          <t>备注</t>
        </is>
      </c>
    </row>
    <row r="744" ht="22" customHeight="1">
      <c r="A744" t="inlineStr" s="6">
        <is>
          <t/>
        </is>
      </c>
      <c r="B744" s="5">
        <f>IF(A744="","",TEXT(A744,"aaa"))</f>
      </c>
      <c r="C744" t="inlineStr" s="5">
        <is>
          <t/>
        </is>
      </c>
      <c r="D744" t="inlineStr" s="5">
        <is>
          <t/>
        </is>
      </c>
      <c r="E744" t="inlineStr" s="7">
        <is>
          <t/>
        </is>
      </c>
      <c r="F744" t="inlineStr" s="7">
        <is>
          <t/>
        </is>
      </c>
      <c r="G744" s="8">
        <f>IF(AND(E744="",F744=""),"",F744-E744)</f>
      </c>
      <c r="H744" t="inlineStr" s="5">
        <is>
          <t/>
        </is>
      </c>
      <c r="I744" t="inlineStr" s="5">
        <is>
          <t/>
        </is>
      </c>
    </row>
    <row r="745" ht="22" customHeight="1">
      <c r="A745" t="inlineStr" s="6">
        <is>
          <t/>
        </is>
      </c>
      <c r="B745" s="5">
        <f>IF(A745="","",TEXT(A745,"aaa"))</f>
      </c>
      <c r="C745" t="inlineStr" s="5">
        <is>
          <t/>
        </is>
      </c>
      <c r="D745" t="inlineStr" s="5">
        <is>
          <t/>
        </is>
      </c>
      <c r="E745" t="inlineStr" s="7">
        <is>
          <t/>
        </is>
      </c>
      <c r="F745" t="inlineStr" s="7">
        <is>
          <t/>
        </is>
      </c>
      <c r="G745" s="8">
        <f>IF(AND(E745="",F745=""),"",F745-E745)</f>
      </c>
      <c r="H745" t="inlineStr" s="5">
        <is>
          <t/>
        </is>
      </c>
      <c r="I745" t="inlineStr" s="5">
        <is>
          <t/>
        </is>
      </c>
    </row>
    <row r="746" ht="22" customHeight="1">
      <c r="A746" t="inlineStr" s="6">
        <is>
          <t/>
        </is>
      </c>
      <c r="B746" s="5">
        <f>IF(A746="","",TEXT(A746,"aaa"))</f>
      </c>
      <c r="C746" t="inlineStr" s="5">
        <is>
          <t/>
        </is>
      </c>
      <c r="D746" t="inlineStr" s="5">
        <is>
          <t/>
        </is>
      </c>
      <c r="E746" t="inlineStr" s="7">
        <is>
          <t/>
        </is>
      </c>
      <c r="F746" t="inlineStr" s="7">
        <is>
          <t/>
        </is>
      </c>
      <c r="G746" s="8">
        <f>IF(AND(E746="",F746=""),"",F746-E746)</f>
      </c>
      <c r="H746" t="inlineStr" s="5">
        <is>
          <t/>
        </is>
      </c>
      <c r="I746" t="inlineStr" s="5">
        <is>
          <t/>
        </is>
      </c>
    </row>
    <row r="747" ht="22" customHeight="1">
      <c r="A747" t="inlineStr" s="6">
        <is>
          <t/>
        </is>
      </c>
      <c r="B747" s="5">
        <f>IF(A747="","",TEXT(A747,"aaa"))</f>
      </c>
      <c r="C747" t="inlineStr" s="5">
        <is>
          <t/>
        </is>
      </c>
      <c r="D747" t="inlineStr" s="5">
        <is>
          <t/>
        </is>
      </c>
      <c r="E747" t="inlineStr" s="7">
        <is>
          <t/>
        </is>
      </c>
      <c r="F747" t="inlineStr" s="7">
        <is>
          <t/>
        </is>
      </c>
      <c r="G747" s="8">
        <f>IF(AND(E747="",F747=""),"",F747-E747)</f>
      </c>
      <c r="H747" t="inlineStr" s="5">
        <is>
          <t/>
        </is>
      </c>
      <c r="I747" t="inlineStr" s="5">
        <is>
          <t/>
        </is>
      </c>
    </row>
    <row r="748" ht="22" customHeight="1">
      <c r="A748" t="inlineStr" s="6">
        <is>
          <t/>
        </is>
      </c>
      <c r="B748" s="5">
        <f>IF(A748="","",TEXT(A748,"aaa"))</f>
      </c>
      <c r="C748" t="inlineStr" s="5">
        <is>
          <t/>
        </is>
      </c>
      <c r="D748" t="inlineStr" s="5">
        <is>
          <t/>
        </is>
      </c>
      <c r="E748" t="inlineStr" s="7">
        <is>
          <t/>
        </is>
      </c>
      <c r="F748" t="inlineStr" s="7">
        <is>
          <t/>
        </is>
      </c>
      <c r="G748" s="8">
        <f>IF(AND(E748="",F748=""),"",F748-E748)</f>
      </c>
      <c r="H748" t="inlineStr" s="5">
        <is>
          <t/>
        </is>
      </c>
      <c r="I748" t="inlineStr" s="5">
        <is>
          <t/>
        </is>
      </c>
    </row>
    <row r="749" ht="22" customHeight="1">
      <c r="A749" t="inlineStr" s="6">
        <is>
          <t/>
        </is>
      </c>
      <c r="B749" s="5">
        <f>IF(A749="","",TEXT(A749,"aaa"))</f>
      </c>
      <c r="C749" t="inlineStr" s="5">
        <is>
          <t/>
        </is>
      </c>
      <c r="D749" t="inlineStr" s="5">
        <is>
          <t/>
        </is>
      </c>
      <c r="E749" t="inlineStr" s="7">
        <is>
          <t/>
        </is>
      </c>
      <c r="F749" t="inlineStr" s="7">
        <is>
          <t/>
        </is>
      </c>
      <c r="G749" s="8">
        <f>IF(AND(E749="",F749=""),"",F749-E749)</f>
      </c>
      <c r="H749" t="inlineStr" s="5">
        <is>
          <t/>
        </is>
      </c>
      <c r="I749" t="inlineStr" s="5">
        <is>
          <t/>
        </is>
      </c>
    </row>
    <row r="750" ht="22" customHeight="1">
      <c r="A750" t="inlineStr" s="6">
        <is>
          <t/>
        </is>
      </c>
      <c r="B750" s="5">
        <f>IF(A750="","",TEXT(A750,"aaa"))</f>
      </c>
      <c r="C750" t="inlineStr" s="5">
        <is>
          <t/>
        </is>
      </c>
      <c r="D750" t="inlineStr" s="5">
        <is>
          <t/>
        </is>
      </c>
      <c r="E750" t="inlineStr" s="7">
        <is>
          <t/>
        </is>
      </c>
      <c r="F750" t="inlineStr" s="7">
        <is>
          <t/>
        </is>
      </c>
      <c r="G750" s="8">
        <f>IF(AND(E750="",F750=""),"",F750-E750)</f>
      </c>
      <c r="H750" t="inlineStr" s="5">
        <is>
          <t/>
        </is>
      </c>
      <c r="I750" t="inlineStr" s="5">
        <is>
          <t/>
        </is>
      </c>
    </row>
    <row r="751" ht="22" customHeight="1">
      <c r="A751" t="inlineStr" s="6">
        <is>
          <t/>
        </is>
      </c>
      <c r="B751" s="5">
        <f>IF(A751="","",TEXT(A751,"aaa"))</f>
      </c>
      <c r="C751" t="inlineStr" s="5">
        <is>
          <t/>
        </is>
      </c>
      <c r="D751" t="inlineStr" s="5">
        <is>
          <t/>
        </is>
      </c>
      <c r="E751" t="inlineStr" s="7">
        <is>
          <t/>
        </is>
      </c>
      <c r="F751" t="inlineStr" s="7">
        <is>
          <t/>
        </is>
      </c>
      <c r="G751" s="8">
        <f>IF(AND(E751="",F751=""),"",F751-E751)</f>
      </c>
      <c r="H751" t="inlineStr" s="5">
        <is>
          <t/>
        </is>
      </c>
      <c r="I751" t="inlineStr" s="5">
        <is>
          <t/>
        </is>
      </c>
    </row>
    <row r="752" ht="22" customHeight="1">
      <c r="A752" t="inlineStr" s="6">
        <is>
          <t/>
        </is>
      </c>
      <c r="B752" s="5">
        <f>IF(A752="","",TEXT(A752,"aaa"))</f>
      </c>
      <c r="C752" t="inlineStr" s="5">
        <is>
          <t/>
        </is>
      </c>
      <c r="D752" t="inlineStr" s="5">
        <is>
          <t/>
        </is>
      </c>
      <c r="E752" t="inlineStr" s="7">
        <is>
          <t/>
        </is>
      </c>
      <c r="F752" t="inlineStr" s="7">
        <is>
          <t/>
        </is>
      </c>
      <c r="G752" s="8">
        <f>IF(AND(E752="",F752=""),"",F752-E752)</f>
      </c>
      <c r="H752" t="inlineStr" s="5">
        <is>
          <t/>
        </is>
      </c>
      <c r="I752" t="inlineStr" s="5">
        <is>
          <t/>
        </is>
      </c>
    </row>
    <row r="753" ht="22" customHeight="1">
      <c r="A753" t="inlineStr" s="6">
        <is>
          <t/>
        </is>
      </c>
      <c r="B753" s="5">
        <f>IF(A753="","",TEXT(A753,"aaa"))</f>
      </c>
      <c r="C753" t="inlineStr" s="5">
        <is>
          <t/>
        </is>
      </c>
      <c r="D753" t="inlineStr" s="5">
        <is>
          <t/>
        </is>
      </c>
      <c r="E753" t="inlineStr" s="7">
        <is>
          <t/>
        </is>
      </c>
      <c r="F753" t="inlineStr" s="7">
        <is>
          <t/>
        </is>
      </c>
      <c r="G753" s="8">
        <f>IF(AND(E753="",F753=""),"",F753-E753)</f>
      </c>
      <c r="H753" t="inlineStr" s="5">
        <is>
          <t/>
        </is>
      </c>
      <c r="I753" t="inlineStr" s="5">
        <is>
          <t/>
        </is>
      </c>
    </row>
    <row r="754" ht="22" customHeight="1">
      <c r="A754" t="inlineStr" s="6">
        <is>
          <t/>
        </is>
      </c>
      <c r="B754" s="5">
        <f>IF(A754="","",TEXT(A754,"aaa"))</f>
      </c>
      <c r="C754" t="inlineStr" s="5">
        <is>
          <t/>
        </is>
      </c>
      <c r="D754" t="inlineStr" s="5">
        <is>
          <t/>
        </is>
      </c>
      <c r="E754" t="inlineStr" s="7">
        <is>
          <t/>
        </is>
      </c>
      <c r="F754" t="inlineStr" s="7">
        <is>
          <t/>
        </is>
      </c>
      <c r="G754" s="8">
        <f>IF(AND(E754="",F754=""),"",F754-E754)</f>
      </c>
      <c r="H754" t="inlineStr" s="5">
        <is>
          <t/>
        </is>
      </c>
      <c r="I754" t="inlineStr" s="5">
        <is>
          <t/>
        </is>
      </c>
    </row>
    <row r="755" ht="22" customHeight="1">
      <c r="A755" t="inlineStr" s="6">
        <is>
          <t/>
        </is>
      </c>
      <c r="B755" s="5">
        <f>IF(A755="","",TEXT(A755,"aaa"))</f>
      </c>
      <c r="C755" t="inlineStr" s="5">
        <is>
          <t/>
        </is>
      </c>
      <c r="D755" t="inlineStr" s="5">
        <is>
          <t/>
        </is>
      </c>
      <c r="E755" t="inlineStr" s="7">
        <is>
          <t/>
        </is>
      </c>
      <c r="F755" t="inlineStr" s="7">
        <is>
          <t/>
        </is>
      </c>
      <c r="G755" s="8">
        <f>IF(AND(E755="",F755=""),"",F755-E755)</f>
      </c>
      <c r="H755" t="inlineStr" s="5">
        <is>
          <t/>
        </is>
      </c>
      <c r="I755" t="inlineStr" s="5">
        <is>
          <t/>
        </is>
      </c>
    </row>
    <row r="756" ht="22" customHeight="1">
      <c r="A756" t="inlineStr" s="6">
        <is>
          <t/>
        </is>
      </c>
      <c r="B756" s="5">
        <f>IF(A756="","",TEXT(A756,"aaa"))</f>
      </c>
      <c r="C756" t="inlineStr" s="5">
        <is>
          <t/>
        </is>
      </c>
      <c r="D756" t="inlineStr" s="5">
        <is>
          <t/>
        </is>
      </c>
      <c r="E756" t="inlineStr" s="7">
        <is>
          <t/>
        </is>
      </c>
      <c r="F756" t="inlineStr" s="7">
        <is>
          <t/>
        </is>
      </c>
      <c r="G756" s="8">
        <f>IF(AND(E756="",F756=""),"",F756-E756)</f>
      </c>
      <c r="H756" t="inlineStr" s="5">
        <is>
          <t/>
        </is>
      </c>
      <c r="I756" t="inlineStr" s="5">
        <is>
          <t/>
        </is>
      </c>
    </row>
    <row r="757" ht="22" customHeight="1">
      <c r="A757" t="inlineStr" s="6">
        <is>
          <t/>
        </is>
      </c>
      <c r="B757" s="5">
        <f>IF(A757="","",TEXT(A757,"aaa"))</f>
      </c>
      <c r="C757" t="inlineStr" s="5">
        <is>
          <t/>
        </is>
      </c>
      <c r="D757" t="inlineStr" s="5">
        <is>
          <t/>
        </is>
      </c>
      <c r="E757" t="inlineStr" s="7">
        <is>
          <t/>
        </is>
      </c>
      <c r="F757" t="inlineStr" s="7">
        <is>
          <t/>
        </is>
      </c>
      <c r="G757" s="8">
        <f>IF(AND(E757="",F757=""),"",F757-E757)</f>
      </c>
      <c r="H757" t="inlineStr" s="5">
        <is>
          <t/>
        </is>
      </c>
      <c r="I757" t="inlineStr" s="5">
        <is>
          <t/>
        </is>
      </c>
    </row>
    <row r="758" ht="22" customHeight="1">
      <c r="A758" t="inlineStr" s="6">
        <is>
          <t/>
        </is>
      </c>
      <c r="B758" s="5">
        <f>IF(A758="","",TEXT(A758,"aaa"))</f>
      </c>
      <c r="C758" t="inlineStr" s="5">
        <is>
          <t/>
        </is>
      </c>
      <c r="D758" t="inlineStr" s="5">
        <is>
          <t/>
        </is>
      </c>
      <c r="E758" t="inlineStr" s="7">
        <is>
          <t/>
        </is>
      </c>
      <c r="F758" t="inlineStr" s="7">
        <is>
          <t/>
        </is>
      </c>
      <c r="G758" s="8">
        <f>IF(AND(E758="",F758=""),"",F758-E758)</f>
      </c>
      <c r="H758" t="inlineStr" s="5">
        <is>
          <t/>
        </is>
      </c>
      <c r="I758" t="inlineStr" s="5">
        <is>
          <t/>
        </is>
      </c>
    </row>
    <row r="759" ht="24" customHeight="1">
      <c r="A759" t="inlineStr" s="9">
        <is>
          <t>本周小计</t>
        </is>
      </c>
      <c r="B759" t="inlineStr" s="9">
        <is>
          <t/>
        </is>
      </c>
      <c r="C759" t="inlineStr" s="9">
        <is>
          <t/>
        </is>
      </c>
      <c r="D759" t="inlineStr" s="9">
        <is>
          <t/>
        </is>
      </c>
      <c r="E759" s="9">
        <f>SUM(E744:E758)</f>
      </c>
      <c r="F759" s="9">
        <f>SUM(F744:F758)</f>
      </c>
      <c r="G759" s="9">
        <f>SUM(G744:G758)</f>
      </c>
      <c r="H759" t="inlineStr" s="9">
        <is>
          <t/>
        </is>
      </c>
      <c r="I759" t="inlineStr" s="9">
        <is>
          <t/>
        </is>
      </c>
    </row>
    <row r="760" ht="18" customHeight="1">
      <c r="A760" t="inlineStr" s="10">
        <is>
          <t/>
        </is>
      </c>
      <c r="B760" t="inlineStr" s="10">
        <is>
          <t/>
        </is>
      </c>
      <c r="C760" t="inlineStr" s="10">
        <is>
          <t/>
        </is>
      </c>
      <c r="D760" t="inlineStr" s="10">
        <is>
          <t/>
        </is>
      </c>
      <c r="E760" t="inlineStr" s="10">
        <is>
          <t/>
        </is>
      </c>
      <c r="F760" t="inlineStr" s="10">
        <is>
          <t/>
        </is>
      </c>
      <c r="G760" t="inlineStr" s="10">
        <is>
          <t/>
        </is>
      </c>
      <c r="H760" t="inlineStr" s="10">
        <is>
          <t/>
        </is>
      </c>
      <c r="I760" t="inlineStr" s="10">
        <is>
          <t/>
        </is>
      </c>
    </row>
    <row r="761" ht="18" customHeight="1">
      <c r="A761" t="inlineStr" s="10">
        <is>
          <t/>
        </is>
      </c>
      <c r="B761" t="inlineStr" s="10">
        <is>
          <t/>
        </is>
      </c>
      <c r="C761" t="inlineStr" s="10">
        <is>
          <t/>
        </is>
      </c>
      <c r="D761" t="inlineStr" s="10">
        <is>
          <t/>
        </is>
      </c>
      <c r="E761" t="inlineStr" s="10">
        <is>
          <t/>
        </is>
      </c>
      <c r="F761" t="inlineStr" s="10">
        <is>
          <t/>
        </is>
      </c>
      <c r="G761" t="inlineStr" s="10">
        <is>
          <t/>
        </is>
      </c>
      <c r="H761" t="inlineStr" s="10">
        <is>
          <t/>
        </is>
      </c>
      <c r="I761" t="inlineStr" s="10">
        <is>
          <t/>
        </is>
      </c>
    </row>
    <row r="762" ht="28" customHeight="1">
      <c r="A762" t="inlineStr" s="3">
        <is>
          <t>2027年2月｜第四周（2月22日 - 2月28日）</t>
        </is>
      </c>
      <c r="B762" t="inlineStr" s="3">
        <is>
          <t/>
        </is>
      </c>
      <c r="C762" t="inlineStr" s="3">
        <is>
          <t/>
        </is>
      </c>
      <c r="D762" t="inlineStr" s="3">
        <is>
          <t/>
        </is>
      </c>
      <c r="E762" t="inlineStr" s="3">
        <is>
          <t/>
        </is>
      </c>
      <c r="F762" t="inlineStr" s="3">
        <is>
          <t/>
        </is>
      </c>
      <c r="G762" t="inlineStr" s="3">
        <is>
          <t/>
        </is>
      </c>
      <c r="H762" t="inlineStr" s="3">
        <is>
          <t/>
        </is>
      </c>
      <c r="I762" t="inlineStr" s="3">
        <is>
          <t/>
        </is>
      </c>
    </row>
    <row r="763" ht="23" customHeight="1">
      <c r="A763" t="inlineStr" s="4">
        <is>
          <t>日期</t>
        </is>
      </c>
      <c r="B763" t="inlineStr" s="4">
        <is>
          <t>星期</t>
        </is>
      </c>
      <c r="C763" t="inlineStr" s="4">
        <is>
          <t>分类</t>
        </is>
      </c>
      <c r="D763" t="inlineStr" s="4">
        <is>
          <t>事项</t>
        </is>
      </c>
      <c r="E763" t="inlineStr" s="4">
        <is>
          <t>支出金额</t>
        </is>
      </c>
      <c r="F763" t="inlineStr" s="4">
        <is>
          <t>收入金额</t>
        </is>
      </c>
      <c r="G763" t="inlineStr" s="4">
        <is>
          <t>当笔净额</t>
        </is>
      </c>
      <c r="H763" t="inlineStr" s="4">
        <is>
          <t>支付方式</t>
        </is>
      </c>
      <c r="I763" t="inlineStr" s="4">
        <is>
          <t>备注</t>
        </is>
      </c>
    </row>
    <row r="764" ht="22" customHeight="1">
      <c r="A764" t="inlineStr" s="6">
        <is>
          <t/>
        </is>
      </c>
      <c r="B764" s="5">
        <f>IF(A764="","",TEXT(A764,"aaa"))</f>
      </c>
      <c r="C764" t="inlineStr" s="5">
        <is>
          <t/>
        </is>
      </c>
      <c r="D764" t="inlineStr" s="5">
        <is>
          <t/>
        </is>
      </c>
      <c r="E764" t="inlineStr" s="7">
        <is>
          <t/>
        </is>
      </c>
      <c r="F764" t="inlineStr" s="7">
        <is>
          <t/>
        </is>
      </c>
      <c r="G764" s="8">
        <f>IF(AND(E764="",F764=""),"",F764-E764)</f>
      </c>
      <c r="H764" t="inlineStr" s="5">
        <is>
          <t/>
        </is>
      </c>
      <c r="I764" t="inlineStr" s="5">
        <is>
          <t/>
        </is>
      </c>
    </row>
    <row r="765" ht="22" customHeight="1">
      <c r="A765" t="inlineStr" s="6">
        <is>
          <t/>
        </is>
      </c>
      <c r="B765" s="5">
        <f>IF(A765="","",TEXT(A765,"aaa"))</f>
      </c>
      <c r="C765" t="inlineStr" s="5">
        <is>
          <t/>
        </is>
      </c>
      <c r="D765" t="inlineStr" s="5">
        <is>
          <t/>
        </is>
      </c>
      <c r="E765" t="inlineStr" s="7">
        <is>
          <t/>
        </is>
      </c>
      <c r="F765" t="inlineStr" s="7">
        <is>
          <t/>
        </is>
      </c>
      <c r="G765" s="8">
        <f>IF(AND(E765="",F765=""),"",F765-E765)</f>
      </c>
      <c r="H765" t="inlineStr" s="5">
        <is>
          <t/>
        </is>
      </c>
      <c r="I765" t="inlineStr" s="5">
        <is>
          <t/>
        </is>
      </c>
    </row>
    <row r="766" ht="22" customHeight="1">
      <c r="A766" t="inlineStr" s="6">
        <is>
          <t/>
        </is>
      </c>
      <c r="B766" s="5">
        <f>IF(A766="","",TEXT(A766,"aaa"))</f>
      </c>
      <c r="C766" t="inlineStr" s="5">
        <is>
          <t/>
        </is>
      </c>
      <c r="D766" t="inlineStr" s="5">
        <is>
          <t/>
        </is>
      </c>
      <c r="E766" t="inlineStr" s="7">
        <is>
          <t/>
        </is>
      </c>
      <c r="F766" t="inlineStr" s="7">
        <is>
          <t/>
        </is>
      </c>
      <c r="G766" s="8">
        <f>IF(AND(E766="",F766=""),"",F766-E766)</f>
      </c>
      <c r="H766" t="inlineStr" s="5">
        <is>
          <t/>
        </is>
      </c>
      <c r="I766" t="inlineStr" s="5">
        <is>
          <t/>
        </is>
      </c>
    </row>
    <row r="767" ht="22" customHeight="1">
      <c r="A767" t="inlineStr" s="6">
        <is>
          <t/>
        </is>
      </c>
      <c r="B767" s="5">
        <f>IF(A767="","",TEXT(A767,"aaa"))</f>
      </c>
      <c r="C767" t="inlineStr" s="5">
        <is>
          <t/>
        </is>
      </c>
      <c r="D767" t="inlineStr" s="5">
        <is>
          <t/>
        </is>
      </c>
      <c r="E767" t="inlineStr" s="7">
        <is>
          <t/>
        </is>
      </c>
      <c r="F767" t="inlineStr" s="7">
        <is>
          <t/>
        </is>
      </c>
      <c r="G767" s="8">
        <f>IF(AND(E767="",F767=""),"",F767-E767)</f>
      </c>
      <c r="H767" t="inlineStr" s="5">
        <is>
          <t/>
        </is>
      </c>
      <c r="I767" t="inlineStr" s="5">
        <is>
          <t/>
        </is>
      </c>
    </row>
    <row r="768" ht="22" customHeight="1">
      <c r="A768" t="inlineStr" s="6">
        <is>
          <t/>
        </is>
      </c>
      <c r="B768" s="5">
        <f>IF(A768="","",TEXT(A768,"aaa"))</f>
      </c>
      <c r="C768" t="inlineStr" s="5">
        <is>
          <t/>
        </is>
      </c>
      <c r="D768" t="inlineStr" s="5">
        <is>
          <t/>
        </is>
      </c>
      <c r="E768" t="inlineStr" s="7">
        <is>
          <t/>
        </is>
      </c>
      <c r="F768" t="inlineStr" s="7">
        <is>
          <t/>
        </is>
      </c>
      <c r="G768" s="8">
        <f>IF(AND(E768="",F768=""),"",F768-E768)</f>
      </c>
      <c r="H768" t="inlineStr" s="5">
        <is>
          <t/>
        </is>
      </c>
      <c r="I768" t="inlineStr" s="5">
        <is>
          <t/>
        </is>
      </c>
    </row>
    <row r="769" ht="22" customHeight="1">
      <c r="A769" t="inlineStr" s="6">
        <is>
          <t/>
        </is>
      </c>
      <c r="B769" s="5">
        <f>IF(A769="","",TEXT(A769,"aaa"))</f>
      </c>
      <c r="C769" t="inlineStr" s="5">
        <is>
          <t/>
        </is>
      </c>
      <c r="D769" t="inlineStr" s="5">
        <is>
          <t/>
        </is>
      </c>
      <c r="E769" t="inlineStr" s="7">
        <is>
          <t/>
        </is>
      </c>
      <c r="F769" t="inlineStr" s="7">
        <is>
          <t/>
        </is>
      </c>
      <c r="G769" s="8">
        <f>IF(AND(E769="",F769=""),"",F769-E769)</f>
      </c>
      <c r="H769" t="inlineStr" s="5">
        <is>
          <t/>
        </is>
      </c>
      <c r="I769" t="inlineStr" s="5">
        <is>
          <t/>
        </is>
      </c>
    </row>
    <row r="770" ht="22" customHeight="1">
      <c r="A770" t="inlineStr" s="6">
        <is>
          <t/>
        </is>
      </c>
      <c r="B770" s="5">
        <f>IF(A770="","",TEXT(A770,"aaa"))</f>
      </c>
      <c r="C770" t="inlineStr" s="5">
        <is>
          <t/>
        </is>
      </c>
      <c r="D770" t="inlineStr" s="5">
        <is>
          <t/>
        </is>
      </c>
      <c r="E770" t="inlineStr" s="7">
        <is>
          <t/>
        </is>
      </c>
      <c r="F770" t="inlineStr" s="7">
        <is>
          <t/>
        </is>
      </c>
      <c r="G770" s="8">
        <f>IF(AND(E770="",F770=""),"",F770-E770)</f>
      </c>
      <c r="H770" t="inlineStr" s="5">
        <is>
          <t/>
        </is>
      </c>
      <c r="I770" t="inlineStr" s="5">
        <is>
          <t/>
        </is>
      </c>
    </row>
    <row r="771" ht="22" customHeight="1">
      <c r="A771" t="inlineStr" s="6">
        <is>
          <t/>
        </is>
      </c>
      <c r="B771" s="5">
        <f>IF(A771="","",TEXT(A771,"aaa"))</f>
      </c>
      <c r="C771" t="inlineStr" s="5">
        <is>
          <t/>
        </is>
      </c>
      <c r="D771" t="inlineStr" s="5">
        <is>
          <t/>
        </is>
      </c>
      <c r="E771" t="inlineStr" s="7">
        <is>
          <t/>
        </is>
      </c>
      <c r="F771" t="inlineStr" s="7">
        <is>
          <t/>
        </is>
      </c>
      <c r="G771" s="8">
        <f>IF(AND(E771="",F771=""),"",F771-E771)</f>
      </c>
      <c r="H771" t="inlineStr" s="5">
        <is>
          <t/>
        </is>
      </c>
      <c r="I771" t="inlineStr" s="5">
        <is>
          <t/>
        </is>
      </c>
    </row>
    <row r="772" ht="22" customHeight="1">
      <c r="A772" t="inlineStr" s="6">
        <is>
          <t/>
        </is>
      </c>
      <c r="B772" s="5">
        <f>IF(A772="","",TEXT(A772,"aaa"))</f>
      </c>
      <c r="C772" t="inlineStr" s="5">
        <is>
          <t/>
        </is>
      </c>
      <c r="D772" t="inlineStr" s="5">
        <is>
          <t/>
        </is>
      </c>
      <c r="E772" t="inlineStr" s="7">
        <is>
          <t/>
        </is>
      </c>
      <c r="F772" t="inlineStr" s="7">
        <is>
          <t/>
        </is>
      </c>
      <c r="G772" s="8">
        <f>IF(AND(E772="",F772=""),"",F772-E772)</f>
      </c>
      <c r="H772" t="inlineStr" s="5">
        <is>
          <t/>
        </is>
      </c>
      <c r="I772" t="inlineStr" s="5">
        <is>
          <t/>
        </is>
      </c>
    </row>
    <row r="773" ht="22" customHeight="1">
      <c r="A773" t="inlineStr" s="6">
        <is>
          <t/>
        </is>
      </c>
      <c r="B773" s="5">
        <f>IF(A773="","",TEXT(A773,"aaa"))</f>
      </c>
      <c r="C773" t="inlineStr" s="5">
        <is>
          <t/>
        </is>
      </c>
      <c r="D773" t="inlineStr" s="5">
        <is>
          <t/>
        </is>
      </c>
      <c r="E773" t="inlineStr" s="7">
        <is>
          <t/>
        </is>
      </c>
      <c r="F773" t="inlineStr" s="7">
        <is>
          <t/>
        </is>
      </c>
      <c r="G773" s="8">
        <f>IF(AND(E773="",F773=""),"",F773-E773)</f>
      </c>
      <c r="H773" t="inlineStr" s="5">
        <is>
          <t/>
        </is>
      </c>
      <c r="I773" t="inlineStr" s="5">
        <is>
          <t/>
        </is>
      </c>
    </row>
    <row r="774" ht="22" customHeight="1">
      <c r="A774" t="inlineStr" s="6">
        <is>
          <t/>
        </is>
      </c>
      <c r="B774" s="5">
        <f>IF(A774="","",TEXT(A774,"aaa"))</f>
      </c>
      <c r="C774" t="inlineStr" s="5">
        <is>
          <t/>
        </is>
      </c>
      <c r="D774" t="inlineStr" s="5">
        <is>
          <t/>
        </is>
      </c>
      <c r="E774" t="inlineStr" s="7">
        <is>
          <t/>
        </is>
      </c>
      <c r="F774" t="inlineStr" s="7">
        <is>
          <t/>
        </is>
      </c>
      <c r="G774" s="8">
        <f>IF(AND(E774="",F774=""),"",F774-E774)</f>
      </c>
      <c r="H774" t="inlineStr" s="5">
        <is>
          <t/>
        </is>
      </c>
      <c r="I774" t="inlineStr" s="5">
        <is>
          <t/>
        </is>
      </c>
    </row>
    <row r="775" ht="22" customHeight="1">
      <c r="A775" t="inlineStr" s="6">
        <is>
          <t/>
        </is>
      </c>
      <c r="B775" s="5">
        <f>IF(A775="","",TEXT(A775,"aaa"))</f>
      </c>
      <c r="C775" t="inlineStr" s="5">
        <is>
          <t/>
        </is>
      </c>
      <c r="D775" t="inlineStr" s="5">
        <is>
          <t/>
        </is>
      </c>
      <c r="E775" t="inlineStr" s="7">
        <is>
          <t/>
        </is>
      </c>
      <c r="F775" t="inlineStr" s="7">
        <is>
          <t/>
        </is>
      </c>
      <c r="G775" s="8">
        <f>IF(AND(E775="",F775=""),"",F775-E775)</f>
      </c>
      <c r="H775" t="inlineStr" s="5">
        <is>
          <t/>
        </is>
      </c>
      <c r="I775" t="inlineStr" s="5">
        <is>
          <t/>
        </is>
      </c>
    </row>
    <row r="776" ht="22" customHeight="1">
      <c r="A776" t="inlineStr" s="6">
        <is>
          <t/>
        </is>
      </c>
      <c r="B776" s="5">
        <f>IF(A776="","",TEXT(A776,"aaa"))</f>
      </c>
      <c r="C776" t="inlineStr" s="5">
        <is>
          <t/>
        </is>
      </c>
      <c r="D776" t="inlineStr" s="5">
        <is>
          <t/>
        </is>
      </c>
      <c r="E776" t="inlineStr" s="7">
        <is>
          <t/>
        </is>
      </c>
      <c r="F776" t="inlineStr" s="7">
        <is>
          <t/>
        </is>
      </c>
      <c r="G776" s="8">
        <f>IF(AND(E776="",F776=""),"",F776-E776)</f>
      </c>
      <c r="H776" t="inlineStr" s="5">
        <is>
          <t/>
        </is>
      </c>
      <c r="I776" t="inlineStr" s="5">
        <is>
          <t/>
        </is>
      </c>
    </row>
    <row r="777" ht="22" customHeight="1">
      <c r="A777" t="inlineStr" s="6">
        <is>
          <t/>
        </is>
      </c>
      <c r="B777" s="5">
        <f>IF(A777="","",TEXT(A777,"aaa"))</f>
      </c>
      <c r="C777" t="inlineStr" s="5">
        <is>
          <t/>
        </is>
      </c>
      <c r="D777" t="inlineStr" s="5">
        <is>
          <t/>
        </is>
      </c>
      <c r="E777" t="inlineStr" s="7">
        <is>
          <t/>
        </is>
      </c>
      <c r="F777" t="inlineStr" s="7">
        <is>
          <t/>
        </is>
      </c>
      <c r="G777" s="8">
        <f>IF(AND(E777="",F777=""),"",F777-E777)</f>
      </c>
      <c r="H777" t="inlineStr" s="5">
        <is>
          <t/>
        </is>
      </c>
      <c r="I777" t="inlineStr" s="5">
        <is>
          <t/>
        </is>
      </c>
    </row>
    <row r="778" ht="22" customHeight="1">
      <c r="A778" t="inlineStr" s="6">
        <is>
          <t/>
        </is>
      </c>
      <c r="B778" s="5">
        <f>IF(A778="","",TEXT(A778,"aaa"))</f>
      </c>
      <c r="C778" t="inlineStr" s="5">
        <is>
          <t/>
        </is>
      </c>
      <c r="D778" t="inlineStr" s="5">
        <is>
          <t/>
        </is>
      </c>
      <c r="E778" t="inlineStr" s="7">
        <is>
          <t/>
        </is>
      </c>
      <c r="F778" t="inlineStr" s="7">
        <is>
          <t/>
        </is>
      </c>
      <c r="G778" s="8">
        <f>IF(AND(E778="",F778=""),"",F778-E778)</f>
      </c>
      <c r="H778" t="inlineStr" s="5">
        <is>
          <t/>
        </is>
      </c>
      <c r="I778" t="inlineStr" s="5">
        <is>
          <t/>
        </is>
      </c>
    </row>
    <row r="779" ht="24" customHeight="1">
      <c r="A779" t="inlineStr" s="9">
        <is>
          <t>本周小计</t>
        </is>
      </c>
      <c r="B779" t="inlineStr" s="9">
        <is>
          <t/>
        </is>
      </c>
      <c r="C779" t="inlineStr" s="9">
        <is>
          <t/>
        </is>
      </c>
      <c r="D779" t="inlineStr" s="9">
        <is>
          <t/>
        </is>
      </c>
      <c r="E779" s="9">
        <f>SUM(E764:E778)</f>
      </c>
      <c r="F779" s="9">
        <f>SUM(F764:F778)</f>
      </c>
      <c r="G779" s="9">
        <f>SUM(G764:G778)</f>
      </c>
      <c r="H779" t="inlineStr" s="9">
        <is>
          <t/>
        </is>
      </c>
      <c r="I779" t="inlineStr" s="9">
        <is>
          <t/>
        </is>
      </c>
    </row>
    <row r="780" ht="18" customHeight="1">
      <c r="A780" t="inlineStr" s="10">
        <is>
          <t/>
        </is>
      </c>
      <c r="B780" t="inlineStr" s="10">
        <is>
          <t/>
        </is>
      </c>
      <c r="C780" t="inlineStr" s="10">
        <is>
          <t/>
        </is>
      </c>
      <c r="D780" t="inlineStr" s="10">
        <is>
          <t/>
        </is>
      </c>
      <c r="E780" t="inlineStr" s="10">
        <is>
          <t/>
        </is>
      </c>
      <c r="F780" t="inlineStr" s="10">
        <is>
          <t/>
        </is>
      </c>
      <c r="G780" t="inlineStr" s="10">
        <is>
          <t/>
        </is>
      </c>
      <c r="H780" t="inlineStr" s="10">
        <is>
          <t/>
        </is>
      </c>
      <c r="I780" t="inlineStr" s="10">
        <is>
          <t/>
        </is>
      </c>
    </row>
    <row r="781" ht="18" customHeight="1">
      <c r="A781" t="inlineStr" s="10">
        <is>
          <t/>
        </is>
      </c>
      <c r="B781" t="inlineStr" s="10">
        <is>
          <t/>
        </is>
      </c>
      <c r="C781" t="inlineStr" s="10">
        <is>
          <t/>
        </is>
      </c>
      <c r="D781" t="inlineStr" s="10">
        <is>
          <t/>
        </is>
      </c>
      <c r="E781" t="inlineStr" s="10">
        <is>
          <t/>
        </is>
      </c>
      <c r="F781" t="inlineStr" s="10">
        <is>
          <t/>
        </is>
      </c>
      <c r="G781" t="inlineStr" s="10">
        <is>
          <t/>
        </is>
      </c>
      <c r="H781" t="inlineStr" s="10">
        <is>
          <t/>
        </is>
      </c>
      <c r="I781" t="inlineStr" s="10">
        <is>
          <t/>
        </is>
      </c>
    </row>
    <row r="782" ht="28" customHeight="1">
      <c r="A782" t="inlineStr" s="3">
        <is>
          <t>2027年3月｜第一周（3月1日 - 3月7日）</t>
        </is>
      </c>
      <c r="B782" t="inlineStr" s="3">
        <is>
          <t/>
        </is>
      </c>
      <c r="C782" t="inlineStr" s="3">
        <is>
          <t/>
        </is>
      </c>
      <c r="D782" t="inlineStr" s="3">
        <is>
          <t/>
        </is>
      </c>
      <c r="E782" t="inlineStr" s="3">
        <is>
          <t/>
        </is>
      </c>
      <c r="F782" t="inlineStr" s="3">
        <is>
          <t/>
        </is>
      </c>
      <c r="G782" t="inlineStr" s="3">
        <is>
          <t/>
        </is>
      </c>
      <c r="H782" t="inlineStr" s="3">
        <is>
          <t/>
        </is>
      </c>
      <c r="I782" t="inlineStr" s="3">
        <is>
          <t/>
        </is>
      </c>
    </row>
    <row r="783" ht="23" customHeight="1">
      <c r="A783" t="inlineStr" s="4">
        <is>
          <t>日期</t>
        </is>
      </c>
      <c r="B783" t="inlineStr" s="4">
        <is>
          <t>星期</t>
        </is>
      </c>
      <c r="C783" t="inlineStr" s="4">
        <is>
          <t>分类</t>
        </is>
      </c>
      <c r="D783" t="inlineStr" s="4">
        <is>
          <t>事项</t>
        </is>
      </c>
      <c r="E783" t="inlineStr" s="4">
        <is>
          <t>支出金额</t>
        </is>
      </c>
      <c r="F783" t="inlineStr" s="4">
        <is>
          <t>收入金额</t>
        </is>
      </c>
      <c r="G783" t="inlineStr" s="4">
        <is>
          <t>当笔净额</t>
        </is>
      </c>
      <c r="H783" t="inlineStr" s="4">
        <is>
          <t>支付方式</t>
        </is>
      </c>
      <c r="I783" t="inlineStr" s="4">
        <is>
          <t>备注</t>
        </is>
      </c>
    </row>
    <row r="784" ht="22" customHeight="1">
      <c r="A784" t="inlineStr" s="6">
        <is>
          <t/>
        </is>
      </c>
      <c r="B784" s="5">
        <f>IF(A784="","",TEXT(A784,"aaa"))</f>
      </c>
      <c r="C784" t="inlineStr" s="5">
        <is>
          <t/>
        </is>
      </c>
      <c r="D784" t="inlineStr" s="5">
        <is>
          <t/>
        </is>
      </c>
      <c r="E784" t="inlineStr" s="7">
        <is>
          <t/>
        </is>
      </c>
      <c r="F784" t="inlineStr" s="7">
        <is>
          <t/>
        </is>
      </c>
      <c r="G784" s="8">
        <f>IF(AND(E784="",F784=""),"",F784-E784)</f>
      </c>
      <c r="H784" t="inlineStr" s="5">
        <is>
          <t/>
        </is>
      </c>
      <c r="I784" t="inlineStr" s="5">
        <is>
          <t/>
        </is>
      </c>
    </row>
    <row r="785" ht="22" customHeight="1">
      <c r="A785" t="inlineStr" s="6">
        <is>
          <t/>
        </is>
      </c>
      <c r="B785" s="5">
        <f>IF(A785="","",TEXT(A785,"aaa"))</f>
      </c>
      <c r="C785" t="inlineStr" s="5">
        <is>
          <t/>
        </is>
      </c>
      <c r="D785" t="inlineStr" s="5">
        <is>
          <t/>
        </is>
      </c>
      <c r="E785" t="inlineStr" s="7">
        <is>
          <t/>
        </is>
      </c>
      <c r="F785" t="inlineStr" s="7">
        <is>
          <t/>
        </is>
      </c>
      <c r="G785" s="8">
        <f>IF(AND(E785="",F785=""),"",F785-E785)</f>
      </c>
      <c r="H785" t="inlineStr" s="5">
        <is>
          <t/>
        </is>
      </c>
      <c r="I785" t="inlineStr" s="5">
        <is>
          <t/>
        </is>
      </c>
    </row>
    <row r="786" ht="22" customHeight="1">
      <c r="A786" t="inlineStr" s="6">
        <is>
          <t/>
        </is>
      </c>
      <c r="B786" s="5">
        <f>IF(A786="","",TEXT(A786,"aaa"))</f>
      </c>
      <c r="C786" t="inlineStr" s="5">
        <is>
          <t/>
        </is>
      </c>
      <c r="D786" t="inlineStr" s="5">
        <is>
          <t/>
        </is>
      </c>
      <c r="E786" t="inlineStr" s="7">
        <is>
          <t/>
        </is>
      </c>
      <c r="F786" t="inlineStr" s="7">
        <is>
          <t/>
        </is>
      </c>
      <c r="G786" s="8">
        <f>IF(AND(E786="",F786=""),"",F786-E786)</f>
      </c>
      <c r="H786" t="inlineStr" s="5">
        <is>
          <t/>
        </is>
      </c>
      <c r="I786" t="inlineStr" s="5">
        <is>
          <t/>
        </is>
      </c>
    </row>
    <row r="787" ht="22" customHeight="1">
      <c r="A787" t="inlineStr" s="6">
        <is>
          <t/>
        </is>
      </c>
      <c r="B787" s="5">
        <f>IF(A787="","",TEXT(A787,"aaa"))</f>
      </c>
      <c r="C787" t="inlineStr" s="5">
        <is>
          <t/>
        </is>
      </c>
      <c r="D787" t="inlineStr" s="5">
        <is>
          <t/>
        </is>
      </c>
      <c r="E787" t="inlineStr" s="7">
        <is>
          <t/>
        </is>
      </c>
      <c r="F787" t="inlineStr" s="7">
        <is>
          <t/>
        </is>
      </c>
      <c r="G787" s="8">
        <f>IF(AND(E787="",F787=""),"",F787-E787)</f>
      </c>
      <c r="H787" t="inlineStr" s="5">
        <is>
          <t/>
        </is>
      </c>
      <c r="I787" t="inlineStr" s="5">
        <is>
          <t/>
        </is>
      </c>
    </row>
    <row r="788" ht="22" customHeight="1">
      <c r="A788" t="inlineStr" s="6">
        <is>
          <t/>
        </is>
      </c>
      <c r="B788" s="5">
        <f>IF(A788="","",TEXT(A788,"aaa"))</f>
      </c>
      <c r="C788" t="inlineStr" s="5">
        <is>
          <t/>
        </is>
      </c>
      <c r="D788" t="inlineStr" s="5">
        <is>
          <t/>
        </is>
      </c>
      <c r="E788" t="inlineStr" s="7">
        <is>
          <t/>
        </is>
      </c>
      <c r="F788" t="inlineStr" s="7">
        <is>
          <t/>
        </is>
      </c>
      <c r="G788" s="8">
        <f>IF(AND(E788="",F788=""),"",F788-E788)</f>
      </c>
      <c r="H788" t="inlineStr" s="5">
        <is>
          <t/>
        </is>
      </c>
      <c r="I788" t="inlineStr" s="5">
        <is>
          <t/>
        </is>
      </c>
    </row>
    <row r="789" ht="22" customHeight="1">
      <c r="A789" t="inlineStr" s="6">
        <is>
          <t/>
        </is>
      </c>
      <c r="B789" s="5">
        <f>IF(A789="","",TEXT(A789,"aaa"))</f>
      </c>
      <c r="C789" t="inlineStr" s="5">
        <is>
          <t/>
        </is>
      </c>
      <c r="D789" t="inlineStr" s="5">
        <is>
          <t/>
        </is>
      </c>
      <c r="E789" t="inlineStr" s="7">
        <is>
          <t/>
        </is>
      </c>
      <c r="F789" t="inlineStr" s="7">
        <is>
          <t/>
        </is>
      </c>
      <c r="G789" s="8">
        <f>IF(AND(E789="",F789=""),"",F789-E789)</f>
      </c>
      <c r="H789" t="inlineStr" s="5">
        <is>
          <t/>
        </is>
      </c>
      <c r="I789" t="inlineStr" s="5">
        <is>
          <t/>
        </is>
      </c>
    </row>
    <row r="790" ht="22" customHeight="1">
      <c r="A790" t="inlineStr" s="6">
        <is>
          <t/>
        </is>
      </c>
      <c r="B790" s="5">
        <f>IF(A790="","",TEXT(A790,"aaa"))</f>
      </c>
      <c r="C790" t="inlineStr" s="5">
        <is>
          <t/>
        </is>
      </c>
      <c r="D790" t="inlineStr" s="5">
        <is>
          <t/>
        </is>
      </c>
      <c r="E790" t="inlineStr" s="7">
        <is>
          <t/>
        </is>
      </c>
      <c r="F790" t="inlineStr" s="7">
        <is>
          <t/>
        </is>
      </c>
      <c r="G790" s="8">
        <f>IF(AND(E790="",F790=""),"",F790-E790)</f>
      </c>
      <c r="H790" t="inlineStr" s="5">
        <is>
          <t/>
        </is>
      </c>
      <c r="I790" t="inlineStr" s="5">
        <is>
          <t/>
        </is>
      </c>
    </row>
    <row r="791" ht="22" customHeight="1">
      <c r="A791" t="inlineStr" s="6">
        <is>
          <t/>
        </is>
      </c>
      <c r="B791" s="5">
        <f>IF(A791="","",TEXT(A791,"aaa"))</f>
      </c>
      <c r="C791" t="inlineStr" s="5">
        <is>
          <t/>
        </is>
      </c>
      <c r="D791" t="inlineStr" s="5">
        <is>
          <t/>
        </is>
      </c>
      <c r="E791" t="inlineStr" s="7">
        <is>
          <t/>
        </is>
      </c>
      <c r="F791" t="inlineStr" s="7">
        <is>
          <t/>
        </is>
      </c>
      <c r="G791" s="8">
        <f>IF(AND(E791="",F791=""),"",F791-E791)</f>
      </c>
      <c r="H791" t="inlineStr" s="5">
        <is>
          <t/>
        </is>
      </c>
      <c r="I791" t="inlineStr" s="5">
        <is>
          <t/>
        </is>
      </c>
    </row>
    <row r="792" ht="22" customHeight="1">
      <c r="A792" t="inlineStr" s="6">
        <is>
          <t/>
        </is>
      </c>
      <c r="B792" s="5">
        <f>IF(A792="","",TEXT(A792,"aaa"))</f>
      </c>
      <c r="C792" t="inlineStr" s="5">
        <is>
          <t/>
        </is>
      </c>
      <c r="D792" t="inlineStr" s="5">
        <is>
          <t/>
        </is>
      </c>
      <c r="E792" t="inlineStr" s="7">
        <is>
          <t/>
        </is>
      </c>
      <c r="F792" t="inlineStr" s="7">
        <is>
          <t/>
        </is>
      </c>
      <c r="G792" s="8">
        <f>IF(AND(E792="",F792=""),"",F792-E792)</f>
      </c>
      <c r="H792" t="inlineStr" s="5">
        <is>
          <t/>
        </is>
      </c>
      <c r="I792" t="inlineStr" s="5">
        <is>
          <t/>
        </is>
      </c>
    </row>
    <row r="793" ht="22" customHeight="1">
      <c r="A793" t="inlineStr" s="6">
        <is>
          <t/>
        </is>
      </c>
      <c r="B793" s="5">
        <f>IF(A793="","",TEXT(A793,"aaa"))</f>
      </c>
      <c r="C793" t="inlineStr" s="5">
        <is>
          <t/>
        </is>
      </c>
      <c r="D793" t="inlineStr" s="5">
        <is>
          <t/>
        </is>
      </c>
      <c r="E793" t="inlineStr" s="7">
        <is>
          <t/>
        </is>
      </c>
      <c r="F793" t="inlineStr" s="7">
        <is>
          <t/>
        </is>
      </c>
      <c r="G793" s="8">
        <f>IF(AND(E793="",F793=""),"",F793-E793)</f>
      </c>
      <c r="H793" t="inlineStr" s="5">
        <is>
          <t/>
        </is>
      </c>
      <c r="I793" t="inlineStr" s="5">
        <is>
          <t/>
        </is>
      </c>
    </row>
    <row r="794" ht="22" customHeight="1">
      <c r="A794" t="inlineStr" s="6">
        <is>
          <t/>
        </is>
      </c>
      <c r="B794" s="5">
        <f>IF(A794="","",TEXT(A794,"aaa"))</f>
      </c>
      <c r="C794" t="inlineStr" s="5">
        <is>
          <t/>
        </is>
      </c>
      <c r="D794" t="inlineStr" s="5">
        <is>
          <t/>
        </is>
      </c>
      <c r="E794" t="inlineStr" s="7">
        <is>
          <t/>
        </is>
      </c>
      <c r="F794" t="inlineStr" s="7">
        <is>
          <t/>
        </is>
      </c>
      <c r="G794" s="8">
        <f>IF(AND(E794="",F794=""),"",F794-E794)</f>
      </c>
      <c r="H794" t="inlineStr" s="5">
        <is>
          <t/>
        </is>
      </c>
      <c r="I794" t="inlineStr" s="5">
        <is>
          <t/>
        </is>
      </c>
    </row>
    <row r="795" ht="22" customHeight="1">
      <c r="A795" t="inlineStr" s="6">
        <is>
          <t/>
        </is>
      </c>
      <c r="B795" s="5">
        <f>IF(A795="","",TEXT(A795,"aaa"))</f>
      </c>
      <c r="C795" t="inlineStr" s="5">
        <is>
          <t/>
        </is>
      </c>
      <c r="D795" t="inlineStr" s="5">
        <is>
          <t/>
        </is>
      </c>
      <c r="E795" t="inlineStr" s="7">
        <is>
          <t/>
        </is>
      </c>
      <c r="F795" t="inlineStr" s="7">
        <is>
          <t/>
        </is>
      </c>
      <c r="G795" s="8">
        <f>IF(AND(E795="",F795=""),"",F795-E795)</f>
      </c>
      <c r="H795" t="inlineStr" s="5">
        <is>
          <t/>
        </is>
      </c>
      <c r="I795" t="inlineStr" s="5">
        <is>
          <t/>
        </is>
      </c>
    </row>
    <row r="796" ht="22" customHeight="1">
      <c r="A796" t="inlineStr" s="6">
        <is>
          <t/>
        </is>
      </c>
      <c r="B796" s="5">
        <f>IF(A796="","",TEXT(A796,"aaa"))</f>
      </c>
      <c r="C796" t="inlineStr" s="5">
        <is>
          <t/>
        </is>
      </c>
      <c r="D796" t="inlineStr" s="5">
        <is>
          <t/>
        </is>
      </c>
      <c r="E796" t="inlineStr" s="7">
        <is>
          <t/>
        </is>
      </c>
      <c r="F796" t="inlineStr" s="7">
        <is>
          <t/>
        </is>
      </c>
      <c r="G796" s="8">
        <f>IF(AND(E796="",F796=""),"",F796-E796)</f>
      </c>
      <c r="H796" t="inlineStr" s="5">
        <is>
          <t/>
        </is>
      </c>
      <c r="I796" t="inlineStr" s="5">
        <is>
          <t/>
        </is>
      </c>
    </row>
    <row r="797" ht="22" customHeight="1">
      <c r="A797" t="inlineStr" s="6">
        <is>
          <t/>
        </is>
      </c>
      <c r="B797" s="5">
        <f>IF(A797="","",TEXT(A797,"aaa"))</f>
      </c>
      <c r="C797" t="inlineStr" s="5">
        <is>
          <t/>
        </is>
      </c>
      <c r="D797" t="inlineStr" s="5">
        <is>
          <t/>
        </is>
      </c>
      <c r="E797" t="inlineStr" s="7">
        <is>
          <t/>
        </is>
      </c>
      <c r="F797" t="inlineStr" s="7">
        <is>
          <t/>
        </is>
      </c>
      <c r="G797" s="8">
        <f>IF(AND(E797="",F797=""),"",F797-E797)</f>
      </c>
      <c r="H797" t="inlineStr" s="5">
        <is>
          <t/>
        </is>
      </c>
      <c r="I797" t="inlineStr" s="5">
        <is>
          <t/>
        </is>
      </c>
    </row>
    <row r="798" ht="22" customHeight="1">
      <c r="A798" t="inlineStr" s="6">
        <is>
          <t/>
        </is>
      </c>
      <c r="B798" s="5">
        <f>IF(A798="","",TEXT(A798,"aaa"))</f>
      </c>
      <c r="C798" t="inlineStr" s="5">
        <is>
          <t/>
        </is>
      </c>
      <c r="D798" t="inlineStr" s="5">
        <is>
          <t/>
        </is>
      </c>
      <c r="E798" t="inlineStr" s="7">
        <is>
          <t/>
        </is>
      </c>
      <c r="F798" t="inlineStr" s="7">
        <is>
          <t/>
        </is>
      </c>
      <c r="G798" s="8">
        <f>IF(AND(E798="",F798=""),"",F798-E798)</f>
      </c>
      <c r="H798" t="inlineStr" s="5">
        <is>
          <t/>
        </is>
      </c>
      <c r="I798" t="inlineStr" s="5">
        <is>
          <t/>
        </is>
      </c>
    </row>
    <row r="799" ht="24" customHeight="1">
      <c r="A799" t="inlineStr" s="9">
        <is>
          <t>本周小计</t>
        </is>
      </c>
      <c r="B799" t="inlineStr" s="9">
        <is>
          <t/>
        </is>
      </c>
      <c r="C799" t="inlineStr" s="9">
        <is>
          <t/>
        </is>
      </c>
      <c r="D799" t="inlineStr" s="9">
        <is>
          <t/>
        </is>
      </c>
      <c r="E799" s="9">
        <f>SUM(E784:E798)</f>
      </c>
      <c r="F799" s="9">
        <f>SUM(F784:F798)</f>
      </c>
      <c r="G799" s="9">
        <f>SUM(G784:G798)</f>
      </c>
      <c r="H799" t="inlineStr" s="9">
        <is>
          <t/>
        </is>
      </c>
      <c r="I799" t="inlineStr" s="9">
        <is>
          <t/>
        </is>
      </c>
    </row>
    <row r="800" ht="18" customHeight="1">
      <c r="A800" t="inlineStr" s="10">
        <is>
          <t/>
        </is>
      </c>
      <c r="B800" t="inlineStr" s="10">
        <is>
          <t/>
        </is>
      </c>
      <c r="C800" t="inlineStr" s="10">
        <is>
          <t/>
        </is>
      </c>
      <c r="D800" t="inlineStr" s="10">
        <is>
          <t/>
        </is>
      </c>
      <c r="E800" t="inlineStr" s="10">
        <is>
          <t/>
        </is>
      </c>
      <c r="F800" t="inlineStr" s="10">
        <is>
          <t/>
        </is>
      </c>
      <c r="G800" t="inlineStr" s="10">
        <is>
          <t/>
        </is>
      </c>
      <c r="H800" t="inlineStr" s="10">
        <is>
          <t/>
        </is>
      </c>
      <c r="I800" t="inlineStr" s="10">
        <is>
          <t/>
        </is>
      </c>
    </row>
    <row r="801" ht="18" customHeight="1">
      <c r="A801" t="inlineStr" s="10">
        <is>
          <t/>
        </is>
      </c>
      <c r="B801" t="inlineStr" s="10">
        <is>
          <t/>
        </is>
      </c>
      <c r="C801" t="inlineStr" s="10">
        <is>
          <t/>
        </is>
      </c>
      <c r="D801" t="inlineStr" s="10">
        <is>
          <t/>
        </is>
      </c>
      <c r="E801" t="inlineStr" s="10">
        <is>
          <t/>
        </is>
      </c>
      <c r="F801" t="inlineStr" s="10">
        <is>
          <t/>
        </is>
      </c>
      <c r="G801" t="inlineStr" s="10">
        <is>
          <t/>
        </is>
      </c>
      <c r="H801" t="inlineStr" s="10">
        <is>
          <t/>
        </is>
      </c>
      <c r="I801" t="inlineStr" s="10">
        <is>
          <t/>
        </is>
      </c>
    </row>
    <row r="802" ht="28" customHeight="1">
      <c r="A802" t="inlineStr" s="3">
        <is>
          <t>2027年3月｜第二周（3月8日 - 3月14日）</t>
        </is>
      </c>
      <c r="B802" t="inlineStr" s="3">
        <is>
          <t/>
        </is>
      </c>
      <c r="C802" t="inlineStr" s="3">
        <is>
          <t/>
        </is>
      </c>
      <c r="D802" t="inlineStr" s="3">
        <is>
          <t/>
        </is>
      </c>
      <c r="E802" t="inlineStr" s="3">
        <is>
          <t/>
        </is>
      </c>
      <c r="F802" t="inlineStr" s="3">
        <is>
          <t/>
        </is>
      </c>
      <c r="G802" t="inlineStr" s="3">
        <is>
          <t/>
        </is>
      </c>
      <c r="H802" t="inlineStr" s="3">
        <is>
          <t/>
        </is>
      </c>
      <c r="I802" t="inlineStr" s="3">
        <is>
          <t/>
        </is>
      </c>
    </row>
    <row r="803" ht="23" customHeight="1">
      <c r="A803" t="inlineStr" s="4">
        <is>
          <t>日期</t>
        </is>
      </c>
      <c r="B803" t="inlineStr" s="4">
        <is>
          <t>星期</t>
        </is>
      </c>
      <c r="C803" t="inlineStr" s="4">
        <is>
          <t>分类</t>
        </is>
      </c>
      <c r="D803" t="inlineStr" s="4">
        <is>
          <t>事项</t>
        </is>
      </c>
      <c r="E803" t="inlineStr" s="4">
        <is>
          <t>支出金额</t>
        </is>
      </c>
      <c r="F803" t="inlineStr" s="4">
        <is>
          <t>收入金额</t>
        </is>
      </c>
      <c r="G803" t="inlineStr" s="4">
        <is>
          <t>当笔净额</t>
        </is>
      </c>
      <c r="H803" t="inlineStr" s="4">
        <is>
          <t>支付方式</t>
        </is>
      </c>
      <c r="I803" t="inlineStr" s="4">
        <is>
          <t>备注</t>
        </is>
      </c>
    </row>
    <row r="804" ht="22" customHeight="1">
      <c r="A804" t="inlineStr" s="6">
        <is>
          <t/>
        </is>
      </c>
      <c r="B804" s="5">
        <f>IF(A804="","",TEXT(A804,"aaa"))</f>
      </c>
      <c r="C804" t="inlineStr" s="5">
        <is>
          <t/>
        </is>
      </c>
      <c r="D804" t="inlineStr" s="5">
        <is>
          <t/>
        </is>
      </c>
      <c r="E804" t="inlineStr" s="7">
        <is>
          <t/>
        </is>
      </c>
      <c r="F804" t="inlineStr" s="7">
        <is>
          <t/>
        </is>
      </c>
      <c r="G804" s="8">
        <f>IF(AND(E804="",F804=""),"",F804-E804)</f>
      </c>
      <c r="H804" t="inlineStr" s="5">
        <is>
          <t/>
        </is>
      </c>
      <c r="I804" t="inlineStr" s="5">
        <is>
          <t/>
        </is>
      </c>
    </row>
    <row r="805" ht="22" customHeight="1">
      <c r="A805" t="inlineStr" s="6">
        <is>
          <t/>
        </is>
      </c>
      <c r="B805" s="5">
        <f>IF(A805="","",TEXT(A805,"aaa"))</f>
      </c>
      <c r="C805" t="inlineStr" s="5">
        <is>
          <t/>
        </is>
      </c>
      <c r="D805" t="inlineStr" s="5">
        <is>
          <t/>
        </is>
      </c>
      <c r="E805" t="inlineStr" s="7">
        <is>
          <t/>
        </is>
      </c>
      <c r="F805" t="inlineStr" s="7">
        <is>
          <t/>
        </is>
      </c>
      <c r="G805" s="8">
        <f>IF(AND(E805="",F805=""),"",F805-E805)</f>
      </c>
      <c r="H805" t="inlineStr" s="5">
        <is>
          <t/>
        </is>
      </c>
      <c r="I805" t="inlineStr" s="5">
        <is>
          <t/>
        </is>
      </c>
    </row>
    <row r="806" ht="22" customHeight="1">
      <c r="A806" t="inlineStr" s="6">
        <is>
          <t/>
        </is>
      </c>
      <c r="B806" s="5">
        <f>IF(A806="","",TEXT(A806,"aaa"))</f>
      </c>
      <c r="C806" t="inlineStr" s="5">
        <is>
          <t/>
        </is>
      </c>
      <c r="D806" t="inlineStr" s="5">
        <is>
          <t/>
        </is>
      </c>
      <c r="E806" t="inlineStr" s="7">
        <is>
          <t/>
        </is>
      </c>
      <c r="F806" t="inlineStr" s="7">
        <is>
          <t/>
        </is>
      </c>
      <c r="G806" s="8">
        <f>IF(AND(E806="",F806=""),"",F806-E806)</f>
      </c>
      <c r="H806" t="inlineStr" s="5">
        <is>
          <t/>
        </is>
      </c>
      <c r="I806" t="inlineStr" s="5">
        <is>
          <t/>
        </is>
      </c>
    </row>
    <row r="807" ht="22" customHeight="1">
      <c r="A807" t="inlineStr" s="6">
        <is>
          <t/>
        </is>
      </c>
      <c r="B807" s="5">
        <f>IF(A807="","",TEXT(A807,"aaa"))</f>
      </c>
      <c r="C807" t="inlineStr" s="5">
        <is>
          <t/>
        </is>
      </c>
      <c r="D807" t="inlineStr" s="5">
        <is>
          <t/>
        </is>
      </c>
      <c r="E807" t="inlineStr" s="7">
        <is>
          <t/>
        </is>
      </c>
      <c r="F807" t="inlineStr" s="7">
        <is>
          <t/>
        </is>
      </c>
      <c r="G807" s="8">
        <f>IF(AND(E807="",F807=""),"",F807-E807)</f>
      </c>
      <c r="H807" t="inlineStr" s="5">
        <is>
          <t/>
        </is>
      </c>
      <c r="I807" t="inlineStr" s="5">
        <is>
          <t/>
        </is>
      </c>
    </row>
    <row r="808" ht="22" customHeight="1">
      <c r="A808" t="inlineStr" s="6">
        <is>
          <t/>
        </is>
      </c>
      <c r="B808" s="5">
        <f>IF(A808="","",TEXT(A808,"aaa"))</f>
      </c>
      <c r="C808" t="inlineStr" s="5">
        <is>
          <t/>
        </is>
      </c>
      <c r="D808" t="inlineStr" s="5">
        <is>
          <t/>
        </is>
      </c>
      <c r="E808" t="inlineStr" s="7">
        <is>
          <t/>
        </is>
      </c>
      <c r="F808" t="inlineStr" s="7">
        <is>
          <t/>
        </is>
      </c>
      <c r="G808" s="8">
        <f>IF(AND(E808="",F808=""),"",F808-E808)</f>
      </c>
      <c r="H808" t="inlineStr" s="5">
        <is>
          <t/>
        </is>
      </c>
      <c r="I808" t="inlineStr" s="5">
        <is>
          <t/>
        </is>
      </c>
    </row>
    <row r="809" ht="22" customHeight="1">
      <c r="A809" t="inlineStr" s="6">
        <is>
          <t/>
        </is>
      </c>
      <c r="B809" s="5">
        <f>IF(A809="","",TEXT(A809,"aaa"))</f>
      </c>
      <c r="C809" t="inlineStr" s="5">
        <is>
          <t/>
        </is>
      </c>
      <c r="D809" t="inlineStr" s="5">
        <is>
          <t/>
        </is>
      </c>
      <c r="E809" t="inlineStr" s="7">
        <is>
          <t/>
        </is>
      </c>
      <c r="F809" t="inlineStr" s="7">
        <is>
          <t/>
        </is>
      </c>
      <c r="G809" s="8">
        <f>IF(AND(E809="",F809=""),"",F809-E809)</f>
      </c>
      <c r="H809" t="inlineStr" s="5">
        <is>
          <t/>
        </is>
      </c>
      <c r="I809" t="inlineStr" s="5">
        <is>
          <t/>
        </is>
      </c>
    </row>
    <row r="810" ht="22" customHeight="1">
      <c r="A810" t="inlineStr" s="6">
        <is>
          <t/>
        </is>
      </c>
      <c r="B810" s="5">
        <f>IF(A810="","",TEXT(A810,"aaa"))</f>
      </c>
      <c r="C810" t="inlineStr" s="5">
        <is>
          <t/>
        </is>
      </c>
      <c r="D810" t="inlineStr" s="5">
        <is>
          <t/>
        </is>
      </c>
      <c r="E810" t="inlineStr" s="7">
        <is>
          <t/>
        </is>
      </c>
      <c r="F810" t="inlineStr" s="7">
        <is>
          <t/>
        </is>
      </c>
      <c r="G810" s="8">
        <f>IF(AND(E810="",F810=""),"",F810-E810)</f>
      </c>
      <c r="H810" t="inlineStr" s="5">
        <is>
          <t/>
        </is>
      </c>
      <c r="I810" t="inlineStr" s="5">
        <is>
          <t/>
        </is>
      </c>
    </row>
    <row r="811" ht="22" customHeight="1">
      <c r="A811" t="inlineStr" s="6">
        <is>
          <t/>
        </is>
      </c>
      <c r="B811" s="5">
        <f>IF(A811="","",TEXT(A811,"aaa"))</f>
      </c>
      <c r="C811" t="inlineStr" s="5">
        <is>
          <t/>
        </is>
      </c>
      <c r="D811" t="inlineStr" s="5">
        <is>
          <t/>
        </is>
      </c>
      <c r="E811" t="inlineStr" s="7">
        <is>
          <t/>
        </is>
      </c>
      <c r="F811" t="inlineStr" s="7">
        <is>
          <t/>
        </is>
      </c>
      <c r="G811" s="8">
        <f>IF(AND(E811="",F811=""),"",F811-E811)</f>
      </c>
      <c r="H811" t="inlineStr" s="5">
        <is>
          <t/>
        </is>
      </c>
      <c r="I811" t="inlineStr" s="5">
        <is>
          <t/>
        </is>
      </c>
    </row>
    <row r="812" ht="22" customHeight="1">
      <c r="A812" t="inlineStr" s="6">
        <is>
          <t/>
        </is>
      </c>
      <c r="B812" s="5">
        <f>IF(A812="","",TEXT(A812,"aaa"))</f>
      </c>
      <c r="C812" t="inlineStr" s="5">
        <is>
          <t/>
        </is>
      </c>
      <c r="D812" t="inlineStr" s="5">
        <is>
          <t/>
        </is>
      </c>
      <c r="E812" t="inlineStr" s="7">
        <is>
          <t/>
        </is>
      </c>
      <c r="F812" t="inlineStr" s="7">
        <is>
          <t/>
        </is>
      </c>
      <c r="G812" s="8">
        <f>IF(AND(E812="",F812=""),"",F812-E812)</f>
      </c>
      <c r="H812" t="inlineStr" s="5">
        <is>
          <t/>
        </is>
      </c>
      <c r="I812" t="inlineStr" s="5">
        <is>
          <t/>
        </is>
      </c>
    </row>
    <row r="813" ht="22" customHeight="1">
      <c r="A813" t="inlineStr" s="6">
        <is>
          <t/>
        </is>
      </c>
      <c r="B813" s="5">
        <f>IF(A813="","",TEXT(A813,"aaa"))</f>
      </c>
      <c r="C813" t="inlineStr" s="5">
        <is>
          <t/>
        </is>
      </c>
      <c r="D813" t="inlineStr" s="5">
        <is>
          <t/>
        </is>
      </c>
      <c r="E813" t="inlineStr" s="7">
        <is>
          <t/>
        </is>
      </c>
      <c r="F813" t="inlineStr" s="7">
        <is>
          <t/>
        </is>
      </c>
      <c r="G813" s="8">
        <f>IF(AND(E813="",F813=""),"",F813-E813)</f>
      </c>
      <c r="H813" t="inlineStr" s="5">
        <is>
          <t/>
        </is>
      </c>
      <c r="I813" t="inlineStr" s="5">
        <is>
          <t/>
        </is>
      </c>
    </row>
    <row r="814" ht="22" customHeight="1">
      <c r="A814" t="inlineStr" s="6">
        <is>
          <t/>
        </is>
      </c>
      <c r="B814" s="5">
        <f>IF(A814="","",TEXT(A814,"aaa"))</f>
      </c>
      <c r="C814" t="inlineStr" s="5">
        <is>
          <t/>
        </is>
      </c>
      <c r="D814" t="inlineStr" s="5">
        <is>
          <t/>
        </is>
      </c>
      <c r="E814" t="inlineStr" s="7">
        <is>
          <t/>
        </is>
      </c>
      <c r="F814" t="inlineStr" s="7">
        <is>
          <t/>
        </is>
      </c>
      <c r="G814" s="8">
        <f>IF(AND(E814="",F814=""),"",F814-E814)</f>
      </c>
      <c r="H814" t="inlineStr" s="5">
        <is>
          <t/>
        </is>
      </c>
      <c r="I814" t="inlineStr" s="5">
        <is>
          <t/>
        </is>
      </c>
    </row>
    <row r="815" ht="22" customHeight="1">
      <c r="A815" t="inlineStr" s="6">
        <is>
          <t/>
        </is>
      </c>
      <c r="B815" s="5">
        <f>IF(A815="","",TEXT(A815,"aaa"))</f>
      </c>
      <c r="C815" t="inlineStr" s="5">
        <is>
          <t/>
        </is>
      </c>
      <c r="D815" t="inlineStr" s="5">
        <is>
          <t/>
        </is>
      </c>
      <c r="E815" t="inlineStr" s="7">
        <is>
          <t/>
        </is>
      </c>
      <c r="F815" t="inlineStr" s="7">
        <is>
          <t/>
        </is>
      </c>
      <c r="G815" s="8">
        <f>IF(AND(E815="",F815=""),"",F815-E815)</f>
      </c>
      <c r="H815" t="inlineStr" s="5">
        <is>
          <t/>
        </is>
      </c>
      <c r="I815" t="inlineStr" s="5">
        <is>
          <t/>
        </is>
      </c>
    </row>
    <row r="816" ht="22" customHeight="1">
      <c r="A816" t="inlineStr" s="6">
        <is>
          <t/>
        </is>
      </c>
      <c r="B816" s="5">
        <f>IF(A816="","",TEXT(A816,"aaa"))</f>
      </c>
      <c r="C816" t="inlineStr" s="5">
        <is>
          <t/>
        </is>
      </c>
      <c r="D816" t="inlineStr" s="5">
        <is>
          <t/>
        </is>
      </c>
      <c r="E816" t="inlineStr" s="7">
        <is>
          <t/>
        </is>
      </c>
      <c r="F816" t="inlineStr" s="7">
        <is>
          <t/>
        </is>
      </c>
      <c r="G816" s="8">
        <f>IF(AND(E816="",F816=""),"",F816-E816)</f>
      </c>
      <c r="H816" t="inlineStr" s="5">
        <is>
          <t/>
        </is>
      </c>
      <c r="I816" t="inlineStr" s="5">
        <is>
          <t/>
        </is>
      </c>
    </row>
    <row r="817" ht="22" customHeight="1">
      <c r="A817" t="inlineStr" s="6">
        <is>
          <t/>
        </is>
      </c>
      <c r="B817" s="5">
        <f>IF(A817="","",TEXT(A817,"aaa"))</f>
      </c>
      <c r="C817" t="inlineStr" s="5">
        <is>
          <t/>
        </is>
      </c>
      <c r="D817" t="inlineStr" s="5">
        <is>
          <t/>
        </is>
      </c>
      <c r="E817" t="inlineStr" s="7">
        <is>
          <t/>
        </is>
      </c>
      <c r="F817" t="inlineStr" s="7">
        <is>
          <t/>
        </is>
      </c>
      <c r="G817" s="8">
        <f>IF(AND(E817="",F817=""),"",F817-E817)</f>
      </c>
      <c r="H817" t="inlineStr" s="5">
        <is>
          <t/>
        </is>
      </c>
      <c r="I817" t="inlineStr" s="5">
        <is>
          <t/>
        </is>
      </c>
    </row>
    <row r="818" ht="22" customHeight="1">
      <c r="A818" t="inlineStr" s="6">
        <is>
          <t/>
        </is>
      </c>
      <c r="B818" s="5">
        <f>IF(A818="","",TEXT(A818,"aaa"))</f>
      </c>
      <c r="C818" t="inlineStr" s="5">
        <is>
          <t/>
        </is>
      </c>
      <c r="D818" t="inlineStr" s="5">
        <is>
          <t/>
        </is>
      </c>
      <c r="E818" t="inlineStr" s="7">
        <is>
          <t/>
        </is>
      </c>
      <c r="F818" t="inlineStr" s="7">
        <is>
          <t/>
        </is>
      </c>
      <c r="G818" s="8">
        <f>IF(AND(E818="",F818=""),"",F818-E818)</f>
      </c>
      <c r="H818" t="inlineStr" s="5">
        <is>
          <t/>
        </is>
      </c>
      <c r="I818" t="inlineStr" s="5">
        <is>
          <t/>
        </is>
      </c>
    </row>
    <row r="819" ht="24" customHeight="1">
      <c r="A819" t="inlineStr" s="9">
        <is>
          <t>本周小计</t>
        </is>
      </c>
      <c r="B819" t="inlineStr" s="9">
        <is>
          <t/>
        </is>
      </c>
      <c r="C819" t="inlineStr" s="9">
        <is>
          <t/>
        </is>
      </c>
      <c r="D819" t="inlineStr" s="9">
        <is>
          <t/>
        </is>
      </c>
      <c r="E819" s="9">
        <f>SUM(E804:E818)</f>
      </c>
      <c r="F819" s="9">
        <f>SUM(F804:F818)</f>
      </c>
      <c r="G819" s="9">
        <f>SUM(G804:G818)</f>
      </c>
      <c r="H819" t="inlineStr" s="9">
        <is>
          <t/>
        </is>
      </c>
      <c r="I819" t="inlineStr" s="9">
        <is>
          <t/>
        </is>
      </c>
    </row>
    <row r="820" ht="18" customHeight="1">
      <c r="A820" t="inlineStr" s="10">
        <is>
          <t/>
        </is>
      </c>
      <c r="B820" t="inlineStr" s="10">
        <is>
          <t/>
        </is>
      </c>
      <c r="C820" t="inlineStr" s="10">
        <is>
          <t/>
        </is>
      </c>
      <c r="D820" t="inlineStr" s="10">
        <is>
          <t/>
        </is>
      </c>
      <c r="E820" t="inlineStr" s="10">
        <is>
          <t/>
        </is>
      </c>
      <c r="F820" t="inlineStr" s="10">
        <is>
          <t/>
        </is>
      </c>
      <c r="G820" t="inlineStr" s="10">
        <is>
          <t/>
        </is>
      </c>
      <c r="H820" t="inlineStr" s="10">
        <is>
          <t/>
        </is>
      </c>
      <c r="I820" t="inlineStr" s="10">
        <is>
          <t/>
        </is>
      </c>
    </row>
    <row r="821" ht="18" customHeight="1">
      <c r="A821" t="inlineStr" s="10">
        <is>
          <t/>
        </is>
      </c>
      <c r="B821" t="inlineStr" s="10">
        <is>
          <t/>
        </is>
      </c>
      <c r="C821" t="inlineStr" s="10">
        <is>
          <t/>
        </is>
      </c>
      <c r="D821" t="inlineStr" s="10">
        <is>
          <t/>
        </is>
      </c>
      <c r="E821" t="inlineStr" s="10">
        <is>
          <t/>
        </is>
      </c>
      <c r="F821" t="inlineStr" s="10">
        <is>
          <t/>
        </is>
      </c>
      <c r="G821" t="inlineStr" s="10">
        <is>
          <t/>
        </is>
      </c>
      <c r="H821" t="inlineStr" s="10">
        <is>
          <t/>
        </is>
      </c>
      <c r="I821" t="inlineStr" s="10">
        <is>
          <t/>
        </is>
      </c>
    </row>
    <row r="822" ht="28" customHeight="1">
      <c r="A822" t="inlineStr" s="3">
        <is>
          <t>2027年3月｜第三周（3月15日 - 3月21日）</t>
        </is>
      </c>
      <c r="B822" t="inlineStr" s="3">
        <is>
          <t/>
        </is>
      </c>
      <c r="C822" t="inlineStr" s="3">
        <is>
          <t/>
        </is>
      </c>
      <c r="D822" t="inlineStr" s="3">
        <is>
          <t/>
        </is>
      </c>
      <c r="E822" t="inlineStr" s="3">
        <is>
          <t/>
        </is>
      </c>
      <c r="F822" t="inlineStr" s="3">
        <is>
          <t/>
        </is>
      </c>
      <c r="G822" t="inlineStr" s="3">
        <is>
          <t/>
        </is>
      </c>
      <c r="H822" t="inlineStr" s="3">
        <is>
          <t/>
        </is>
      </c>
      <c r="I822" t="inlineStr" s="3">
        <is>
          <t/>
        </is>
      </c>
    </row>
    <row r="823" ht="23" customHeight="1">
      <c r="A823" t="inlineStr" s="4">
        <is>
          <t>日期</t>
        </is>
      </c>
      <c r="B823" t="inlineStr" s="4">
        <is>
          <t>星期</t>
        </is>
      </c>
      <c r="C823" t="inlineStr" s="4">
        <is>
          <t>分类</t>
        </is>
      </c>
      <c r="D823" t="inlineStr" s="4">
        <is>
          <t>事项</t>
        </is>
      </c>
      <c r="E823" t="inlineStr" s="4">
        <is>
          <t>支出金额</t>
        </is>
      </c>
      <c r="F823" t="inlineStr" s="4">
        <is>
          <t>收入金额</t>
        </is>
      </c>
      <c r="G823" t="inlineStr" s="4">
        <is>
          <t>当笔净额</t>
        </is>
      </c>
      <c r="H823" t="inlineStr" s="4">
        <is>
          <t>支付方式</t>
        </is>
      </c>
      <c r="I823" t="inlineStr" s="4">
        <is>
          <t>备注</t>
        </is>
      </c>
    </row>
    <row r="824" ht="22" customHeight="1">
      <c r="A824" t="inlineStr" s="6">
        <is>
          <t/>
        </is>
      </c>
      <c r="B824" s="5">
        <f>IF(A824="","",TEXT(A824,"aaa"))</f>
      </c>
      <c r="C824" t="inlineStr" s="5">
        <is>
          <t/>
        </is>
      </c>
      <c r="D824" t="inlineStr" s="5">
        <is>
          <t/>
        </is>
      </c>
      <c r="E824" t="inlineStr" s="7">
        <is>
          <t/>
        </is>
      </c>
      <c r="F824" t="inlineStr" s="7">
        <is>
          <t/>
        </is>
      </c>
      <c r="G824" s="8">
        <f>IF(AND(E824="",F824=""),"",F824-E824)</f>
      </c>
      <c r="H824" t="inlineStr" s="5">
        <is>
          <t/>
        </is>
      </c>
      <c r="I824" t="inlineStr" s="5">
        <is>
          <t/>
        </is>
      </c>
    </row>
    <row r="825" ht="22" customHeight="1">
      <c r="A825" t="inlineStr" s="6">
        <is>
          <t/>
        </is>
      </c>
      <c r="B825" s="5">
        <f>IF(A825="","",TEXT(A825,"aaa"))</f>
      </c>
      <c r="C825" t="inlineStr" s="5">
        <is>
          <t/>
        </is>
      </c>
      <c r="D825" t="inlineStr" s="5">
        <is>
          <t/>
        </is>
      </c>
      <c r="E825" t="inlineStr" s="7">
        <is>
          <t/>
        </is>
      </c>
      <c r="F825" t="inlineStr" s="7">
        <is>
          <t/>
        </is>
      </c>
      <c r="G825" s="8">
        <f>IF(AND(E825="",F825=""),"",F825-E825)</f>
      </c>
      <c r="H825" t="inlineStr" s="5">
        <is>
          <t/>
        </is>
      </c>
      <c r="I825" t="inlineStr" s="5">
        <is>
          <t/>
        </is>
      </c>
    </row>
    <row r="826" ht="22" customHeight="1">
      <c r="A826" t="inlineStr" s="6">
        <is>
          <t/>
        </is>
      </c>
      <c r="B826" s="5">
        <f>IF(A826="","",TEXT(A826,"aaa"))</f>
      </c>
      <c r="C826" t="inlineStr" s="5">
        <is>
          <t/>
        </is>
      </c>
      <c r="D826" t="inlineStr" s="5">
        <is>
          <t/>
        </is>
      </c>
      <c r="E826" t="inlineStr" s="7">
        <is>
          <t/>
        </is>
      </c>
      <c r="F826" t="inlineStr" s="7">
        <is>
          <t/>
        </is>
      </c>
      <c r="G826" s="8">
        <f>IF(AND(E826="",F826=""),"",F826-E826)</f>
      </c>
      <c r="H826" t="inlineStr" s="5">
        <is>
          <t/>
        </is>
      </c>
      <c r="I826" t="inlineStr" s="5">
        <is>
          <t/>
        </is>
      </c>
    </row>
    <row r="827" ht="22" customHeight="1">
      <c r="A827" t="inlineStr" s="6">
        <is>
          <t/>
        </is>
      </c>
      <c r="B827" s="5">
        <f>IF(A827="","",TEXT(A827,"aaa"))</f>
      </c>
      <c r="C827" t="inlineStr" s="5">
        <is>
          <t/>
        </is>
      </c>
      <c r="D827" t="inlineStr" s="5">
        <is>
          <t/>
        </is>
      </c>
      <c r="E827" t="inlineStr" s="7">
        <is>
          <t/>
        </is>
      </c>
      <c r="F827" t="inlineStr" s="7">
        <is>
          <t/>
        </is>
      </c>
      <c r="G827" s="8">
        <f>IF(AND(E827="",F827=""),"",F827-E827)</f>
      </c>
      <c r="H827" t="inlineStr" s="5">
        <is>
          <t/>
        </is>
      </c>
      <c r="I827" t="inlineStr" s="5">
        <is>
          <t/>
        </is>
      </c>
    </row>
    <row r="828" ht="22" customHeight="1">
      <c r="A828" t="inlineStr" s="6">
        <is>
          <t/>
        </is>
      </c>
      <c r="B828" s="5">
        <f>IF(A828="","",TEXT(A828,"aaa"))</f>
      </c>
      <c r="C828" t="inlineStr" s="5">
        <is>
          <t/>
        </is>
      </c>
      <c r="D828" t="inlineStr" s="5">
        <is>
          <t/>
        </is>
      </c>
      <c r="E828" t="inlineStr" s="7">
        <is>
          <t/>
        </is>
      </c>
      <c r="F828" t="inlineStr" s="7">
        <is>
          <t/>
        </is>
      </c>
      <c r="G828" s="8">
        <f>IF(AND(E828="",F828=""),"",F828-E828)</f>
      </c>
      <c r="H828" t="inlineStr" s="5">
        <is>
          <t/>
        </is>
      </c>
      <c r="I828" t="inlineStr" s="5">
        <is>
          <t/>
        </is>
      </c>
    </row>
    <row r="829" ht="22" customHeight="1">
      <c r="A829" t="inlineStr" s="6">
        <is>
          <t/>
        </is>
      </c>
      <c r="B829" s="5">
        <f>IF(A829="","",TEXT(A829,"aaa"))</f>
      </c>
      <c r="C829" t="inlineStr" s="5">
        <is>
          <t/>
        </is>
      </c>
      <c r="D829" t="inlineStr" s="5">
        <is>
          <t/>
        </is>
      </c>
      <c r="E829" t="inlineStr" s="7">
        <is>
          <t/>
        </is>
      </c>
      <c r="F829" t="inlineStr" s="7">
        <is>
          <t/>
        </is>
      </c>
      <c r="G829" s="8">
        <f>IF(AND(E829="",F829=""),"",F829-E829)</f>
      </c>
      <c r="H829" t="inlineStr" s="5">
        <is>
          <t/>
        </is>
      </c>
      <c r="I829" t="inlineStr" s="5">
        <is>
          <t/>
        </is>
      </c>
    </row>
    <row r="830" ht="22" customHeight="1">
      <c r="A830" t="inlineStr" s="6">
        <is>
          <t/>
        </is>
      </c>
      <c r="B830" s="5">
        <f>IF(A830="","",TEXT(A830,"aaa"))</f>
      </c>
      <c r="C830" t="inlineStr" s="5">
        <is>
          <t/>
        </is>
      </c>
      <c r="D830" t="inlineStr" s="5">
        <is>
          <t/>
        </is>
      </c>
      <c r="E830" t="inlineStr" s="7">
        <is>
          <t/>
        </is>
      </c>
      <c r="F830" t="inlineStr" s="7">
        <is>
          <t/>
        </is>
      </c>
      <c r="G830" s="8">
        <f>IF(AND(E830="",F830=""),"",F830-E830)</f>
      </c>
      <c r="H830" t="inlineStr" s="5">
        <is>
          <t/>
        </is>
      </c>
      <c r="I830" t="inlineStr" s="5">
        <is>
          <t/>
        </is>
      </c>
    </row>
    <row r="831" ht="22" customHeight="1">
      <c r="A831" t="inlineStr" s="6">
        <is>
          <t/>
        </is>
      </c>
      <c r="B831" s="5">
        <f>IF(A831="","",TEXT(A831,"aaa"))</f>
      </c>
      <c r="C831" t="inlineStr" s="5">
        <is>
          <t/>
        </is>
      </c>
      <c r="D831" t="inlineStr" s="5">
        <is>
          <t/>
        </is>
      </c>
      <c r="E831" t="inlineStr" s="7">
        <is>
          <t/>
        </is>
      </c>
      <c r="F831" t="inlineStr" s="7">
        <is>
          <t/>
        </is>
      </c>
      <c r="G831" s="8">
        <f>IF(AND(E831="",F831=""),"",F831-E831)</f>
      </c>
      <c r="H831" t="inlineStr" s="5">
        <is>
          <t/>
        </is>
      </c>
      <c r="I831" t="inlineStr" s="5">
        <is>
          <t/>
        </is>
      </c>
    </row>
    <row r="832" ht="22" customHeight="1">
      <c r="A832" t="inlineStr" s="6">
        <is>
          <t/>
        </is>
      </c>
      <c r="B832" s="5">
        <f>IF(A832="","",TEXT(A832,"aaa"))</f>
      </c>
      <c r="C832" t="inlineStr" s="5">
        <is>
          <t/>
        </is>
      </c>
      <c r="D832" t="inlineStr" s="5">
        <is>
          <t/>
        </is>
      </c>
      <c r="E832" t="inlineStr" s="7">
        <is>
          <t/>
        </is>
      </c>
      <c r="F832" t="inlineStr" s="7">
        <is>
          <t/>
        </is>
      </c>
      <c r="G832" s="8">
        <f>IF(AND(E832="",F832=""),"",F832-E832)</f>
      </c>
      <c r="H832" t="inlineStr" s="5">
        <is>
          <t/>
        </is>
      </c>
      <c r="I832" t="inlineStr" s="5">
        <is>
          <t/>
        </is>
      </c>
    </row>
    <row r="833" ht="22" customHeight="1">
      <c r="A833" t="inlineStr" s="6">
        <is>
          <t/>
        </is>
      </c>
      <c r="B833" s="5">
        <f>IF(A833="","",TEXT(A833,"aaa"))</f>
      </c>
      <c r="C833" t="inlineStr" s="5">
        <is>
          <t/>
        </is>
      </c>
      <c r="D833" t="inlineStr" s="5">
        <is>
          <t/>
        </is>
      </c>
      <c r="E833" t="inlineStr" s="7">
        <is>
          <t/>
        </is>
      </c>
      <c r="F833" t="inlineStr" s="7">
        <is>
          <t/>
        </is>
      </c>
      <c r="G833" s="8">
        <f>IF(AND(E833="",F833=""),"",F833-E833)</f>
      </c>
      <c r="H833" t="inlineStr" s="5">
        <is>
          <t/>
        </is>
      </c>
      <c r="I833" t="inlineStr" s="5">
        <is>
          <t/>
        </is>
      </c>
    </row>
    <row r="834" ht="22" customHeight="1">
      <c r="A834" t="inlineStr" s="6">
        <is>
          <t/>
        </is>
      </c>
      <c r="B834" s="5">
        <f>IF(A834="","",TEXT(A834,"aaa"))</f>
      </c>
      <c r="C834" t="inlineStr" s="5">
        <is>
          <t/>
        </is>
      </c>
      <c r="D834" t="inlineStr" s="5">
        <is>
          <t/>
        </is>
      </c>
      <c r="E834" t="inlineStr" s="7">
        <is>
          <t/>
        </is>
      </c>
      <c r="F834" t="inlineStr" s="7">
        <is>
          <t/>
        </is>
      </c>
      <c r="G834" s="8">
        <f>IF(AND(E834="",F834=""),"",F834-E834)</f>
      </c>
      <c r="H834" t="inlineStr" s="5">
        <is>
          <t/>
        </is>
      </c>
      <c r="I834" t="inlineStr" s="5">
        <is>
          <t/>
        </is>
      </c>
    </row>
    <row r="835" ht="22" customHeight="1">
      <c r="A835" t="inlineStr" s="6">
        <is>
          <t/>
        </is>
      </c>
      <c r="B835" s="5">
        <f>IF(A835="","",TEXT(A835,"aaa"))</f>
      </c>
      <c r="C835" t="inlineStr" s="5">
        <is>
          <t/>
        </is>
      </c>
      <c r="D835" t="inlineStr" s="5">
        <is>
          <t/>
        </is>
      </c>
      <c r="E835" t="inlineStr" s="7">
        <is>
          <t/>
        </is>
      </c>
      <c r="F835" t="inlineStr" s="7">
        <is>
          <t/>
        </is>
      </c>
      <c r="G835" s="8">
        <f>IF(AND(E835="",F835=""),"",F835-E835)</f>
      </c>
      <c r="H835" t="inlineStr" s="5">
        <is>
          <t/>
        </is>
      </c>
      <c r="I835" t="inlineStr" s="5">
        <is>
          <t/>
        </is>
      </c>
    </row>
    <row r="836" ht="22" customHeight="1">
      <c r="A836" t="inlineStr" s="6">
        <is>
          <t/>
        </is>
      </c>
      <c r="B836" s="5">
        <f>IF(A836="","",TEXT(A836,"aaa"))</f>
      </c>
      <c r="C836" t="inlineStr" s="5">
        <is>
          <t/>
        </is>
      </c>
      <c r="D836" t="inlineStr" s="5">
        <is>
          <t/>
        </is>
      </c>
      <c r="E836" t="inlineStr" s="7">
        <is>
          <t/>
        </is>
      </c>
      <c r="F836" t="inlineStr" s="7">
        <is>
          <t/>
        </is>
      </c>
      <c r="G836" s="8">
        <f>IF(AND(E836="",F836=""),"",F836-E836)</f>
      </c>
      <c r="H836" t="inlineStr" s="5">
        <is>
          <t/>
        </is>
      </c>
      <c r="I836" t="inlineStr" s="5">
        <is>
          <t/>
        </is>
      </c>
    </row>
    <row r="837" ht="22" customHeight="1">
      <c r="A837" t="inlineStr" s="6">
        <is>
          <t/>
        </is>
      </c>
      <c r="B837" s="5">
        <f>IF(A837="","",TEXT(A837,"aaa"))</f>
      </c>
      <c r="C837" t="inlineStr" s="5">
        <is>
          <t/>
        </is>
      </c>
      <c r="D837" t="inlineStr" s="5">
        <is>
          <t/>
        </is>
      </c>
      <c r="E837" t="inlineStr" s="7">
        <is>
          <t/>
        </is>
      </c>
      <c r="F837" t="inlineStr" s="7">
        <is>
          <t/>
        </is>
      </c>
      <c r="G837" s="8">
        <f>IF(AND(E837="",F837=""),"",F837-E837)</f>
      </c>
      <c r="H837" t="inlineStr" s="5">
        <is>
          <t/>
        </is>
      </c>
      <c r="I837" t="inlineStr" s="5">
        <is>
          <t/>
        </is>
      </c>
    </row>
    <row r="838" ht="22" customHeight="1">
      <c r="A838" t="inlineStr" s="6">
        <is>
          <t/>
        </is>
      </c>
      <c r="B838" s="5">
        <f>IF(A838="","",TEXT(A838,"aaa"))</f>
      </c>
      <c r="C838" t="inlineStr" s="5">
        <is>
          <t/>
        </is>
      </c>
      <c r="D838" t="inlineStr" s="5">
        <is>
          <t/>
        </is>
      </c>
      <c r="E838" t="inlineStr" s="7">
        <is>
          <t/>
        </is>
      </c>
      <c r="F838" t="inlineStr" s="7">
        <is>
          <t/>
        </is>
      </c>
      <c r="G838" s="8">
        <f>IF(AND(E838="",F838=""),"",F838-E838)</f>
      </c>
      <c r="H838" t="inlineStr" s="5">
        <is>
          <t/>
        </is>
      </c>
      <c r="I838" t="inlineStr" s="5">
        <is>
          <t/>
        </is>
      </c>
    </row>
    <row r="839" ht="24" customHeight="1">
      <c r="A839" t="inlineStr" s="9">
        <is>
          <t>本周小计</t>
        </is>
      </c>
      <c r="B839" t="inlineStr" s="9">
        <is>
          <t/>
        </is>
      </c>
      <c r="C839" t="inlineStr" s="9">
        <is>
          <t/>
        </is>
      </c>
      <c r="D839" t="inlineStr" s="9">
        <is>
          <t/>
        </is>
      </c>
      <c r="E839" s="9">
        <f>SUM(E824:E838)</f>
      </c>
      <c r="F839" s="9">
        <f>SUM(F824:F838)</f>
      </c>
      <c r="G839" s="9">
        <f>SUM(G824:G838)</f>
      </c>
      <c r="H839" t="inlineStr" s="9">
        <is>
          <t/>
        </is>
      </c>
      <c r="I839" t="inlineStr" s="9">
        <is>
          <t/>
        </is>
      </c>
    </row>
    <row r="840" ht="18" customHeight="1">
      <c r="A840" t="inlineStr" s="10">
        <is>
          <t/>
        </is>
      </c>
      <c r="B840" t="inlineStr" s="10">
        <is>
          <t/>
        </is>
      </c>
      <c r="C840" t="inlineStr" s="10">
        <is>
          <t/>
        </is>
      </c>
      <c r="D840" t="inlineStr" s="10">
        <is>
          <t/>
        </is>
      </c>
      <c r="E840" t="inlineStr" s="10">
        <is>
          <t/>
        </is>
      </c>
      <c r="F840" t="inlineStr" s="10">
        <is>
          <t/>
        </is>
      </c>
      <c r="G840" t="inlineStr" s="10">
        <is>
          <t/>
        </is>
      </c>
      <c r="H840" t="inlineStr" s="10">
        <is>
          <t/>
        </is>
      </c>
      <c r="I840" t="inlineStr" s="10">
        <is>
          <t/>
        </is>
      </c>
    </row>
    <row r="841" ht="18" customHeight="1">
      <c r="A841" t="inlineStr" s="10">
        <is>
          <t/>
        </is>
      </c>
      <c r="B841" t="inlineStr" s="10">
        <is>
          <t/>
        </is>
      </c>
      <c r="C841" t="inlineStr" s="10">
        <is>
          <t/>
        </is>
      </c>
      <c r="D841" t="inlineStr" s="10">
        <is>
          <t/>
        </is>
      </c>
      <c r="E841" t="inlineStr" s="10">
        <is>
          <t/>
        </is>
      </c>
      <c r="F841" t="inlineStr" s="10">
        <is>
          <t/>
        </is>
      </c>
      <c r="G841" t="inlineStr" s="10">
        <is>
          <t/>
        </is>
      </c>
      <c r="H841" t="inlineStr" s="10">
        <is>
          <t/>
        </is>
      </c>
      <c r="I841" t="inlineStr" s="10">
        <is>
          <t/>
        </is>
      </c>
    </row>
    <row r="842" ht="28" customHeight="1">
      <c r="A842" t="inlineStr" s="3">
        <is>
          <t>2027年3月｜第四周（3月22日 - 3月28日）</t>
        </is>
      </c>
      <c r="B842" t="inlineStr" s="3">
        <is>
          <t/>
        </is>
      </c>
      <c r="C842" t="inlineStr" s="3">
        <is>
          <t/>
        </is>
      </c>
      <c r="D842" t="inlineStr" s="3">
        <is>
          <t/>
        </is>
      </c>
      <c r="E842" t="inlineStr" s="3">
        <is>
          <t/>
        </is>
      </c>
      <c r="F842" t="inlineStr" s="3">
        <is>
          <t/>
        </is>
      </c>
      <c r="G842" t="inlineStr" s="3">
        <is>
          <t/>
        </is>
      </c>
      <c r="H842" t="inlineStr" s="3">
        <is>
          <t/>
        </is>
      </c>
      <c r="I842" t="inlineStr" s="3">
        <is>
          <t/>
        </is>
      </c>
    </row>
    <row r="843" ht="23" customHeight="1">
      <c r="A843" t="inlineStr" s="4">
        <is>
          <t>日期</t>
        </is>
      </c>
      <c r="B843" t="inlineStr" s="4">
        <is>
          <t>星期</t>
        </is>
      </c>
      <c r="C843" t="inlineStr" s="4">
        <is>
          <t>分类</t>
        </is>
      </c>
      <c r="D843" t="inlineStr" s="4">
        <is>
          <t>事项</t>
        </is>
      </c>
      <c r="E843" t="inlineStr" s="4">
        <is>
          <t>支出金额</t>
        </is>
      </c>
      <c r="F843" t="inlineStr" s="4">
        <is>
          <t>收入金额</t>
        </is>
      </c>
      <c r="G843" t="inlineStr" s="4">
        <is>
          <t>当笔净额</t>
        </is>
      </c>
      <c r="H843" t="inlineStr" s="4">
        <is>
          <t>支付方式</t>
        </is>
      </c>
      <c r="I843" t="inlineStr" s="4">
        <is>
          <t>备注</t>
        </is>
      </c>
    </row>
    <row r="844" ht="22" customHeight="1">
      <c r="A844" t="inlineStr" s="6">
        <is>
          <t/>
        </is>
      </c>
      <c r="B844" s="5">
        <f>IF(A844="","",TEXT(A844,"aaa"))</f>
      </c>
      <c r="C844" t="inlineStr" s="5">
        <is>
          <t/>
        </is>
      </c>
      <c r="D844" t="inlineStr" s="5">
        <is>
          <t/>
        </is>
      </c>
      <c r="E844" t="inlineStr" s="7">
        <is>
          <t/>
        </is>
      </c>
      <c r="F844" t="inlineStr" s="7">
        <is>
          <t/>
        </is>
      </c>
      <c r="G844" s="8">
        <f>IF(AND(E844="",F844=""),"",F844-E844)</f>
      </c>
      <c r="H844" t="inlineStr" s="5">
        <is>
          <t/>
        </is>
      </c>
      <c r="I844" t="inlineStr" s="5">
        <is>
          <t/>
        </is>
      </c>
    </row>
    <row r="845" ht="22" customHeight="1">
      <c r="A845" t="inlineStr" s="6">
        <is>
          <t/>
        </is>
      </c>
      <c r="B845" s="5">
        <f>IF(A845="","",TEXT(A845,"aaa"))</f>
      </c>
      <c r="C845" t="inlineStr" s="5">
        <is>
          <t/>
        </is>
      </c>
      <c r="D845" t="inlineStr" s="5">
        <is>
          <t/>
        </is>
      </c>
      <c r="E845" t="inlineStr" s="7">
        <is>
          <t/>
        </is>
      </c>
      <c r="F845" t="inlineStr" s="7">
        <is>
          <t/>
        </is>
      </c>
      <c r="G845" s="8">
        <f>IF(AND(E845="",F845=""),"",F845-E845)</f>
      </c>
      <c r="H845" t="inlineStr" s="5">
        <is>
          <t/>
        </is>
      </c>
      <c r="I845" t="inlineStr" s="5">
        <is>
          <t/>
        </is>
      </c>
    </row>
    <row r="846" ht="22" customHeight="1">
      <c r="A846" t="inlineStr" s="6">
        <is>
          <t/>
        </is>
      </c>
      <c r="B846" s="5">
        <f>IF(A846="","",TEXT(A846,"aaa"))</f>
      </c>
      <c r="C846" t="inlineStr" s="5">
        <is>
          <t/>
        </is>
      </c>
      <c r="D846" t="inlineStr" s="5">
        <is>
          <t/>
        </is>
      </c>
      <c r="E846" t="inlineStr" s="7">
        <is>
          <t/>
        </is>
      </c>
      <c r="F846" t="inlineStr" s="7">
        <is>
          <t/>
        </is>
      </c>
      <c r="G846" s="8">
        <f>IF(AND(E846="",F846=""),"",F846-E846)</f>
      </c>
      <c r="H846" t="inlineStr" s="5">
        <is>
          <t/>
        </is>
      </c>
      <c r="I846" t="inlineStr" s="5">
        <is>
          <t/>
        </is>
      </c>
    </row>
    <row r="847" ht="22" customHeight="1">
      <c r="A847" t="inlineStr" s="6">
        <is>
          <t/>
        </is>
      </c>
      <c r="B847" s="5">
        <f>IF(A847="","",TEXT(A847,"aaa"))</f>
      </c>
      <c r="C847" t="inlineStr" s="5">
        <is>
          <t/>
        </is>
      </c>
      <c r="D847" t="inlineStr" s="5">
        <is>
          <t/>
        </is>
      </c>
      <c r="E847" t="inlineStr" s="7">
        <is>
          <t/>
        </is>
      </c>
      <c r="F847" t="inlineStr" s="7">
        <is>
          <t/>
        </is>
      </c>
      <c r="G847" s="8">
        <f>IF(AND(E847="",F847=""),"",F847-E847)</f>
      </c>
      <c r="H847" t="inlineStr" s="5">
        <is>
          <t/>
        </is>
      </c>
      <c r="I847" t="inlineStr" s="5">
        <is>
          <t/>
        </is>
      </c>
    </row>
    <row r="848" ht="22" customHeight="1">
      <c r="A848" t="inlineStr" s="6">
        <is>
          <t/>
        </is>
      </c>
      <c r="B848" s="5">
        <f>IF(A848="","",TEXT(A848,"aaa"))</f>
      </c>
      <c r="C848" t="inlineStr" s="5">
        <is>
          <t/>
        </is>
      </c>
      <c r="D848" t="inlineStr" s="5">
        <is>
          <t/>
        </is>
      </c>
      <c r="E848" t="inlineStr" s="7">
        <is>
          <t/>
        </is>
      </c>
      <c r="F848" t="inlineStr" s="7">
        <is>
          <t/>
        </is>
      </c>
      <c r="G848" s="8">
        <f>IF(AND(E848="",F848=""),"",F848-E848)</f>
      </c>
      <c r="H848" t="inlineStr" s="5">
        <is>
          <t/>
        </is>
      </c>
      <c r="I848" t="inlineStr" s="5">
        <is>
          <t/>
        </is>
      </c>
    </row>
    <row r="849" ht="22" customHeight="1">
      <c r="A849" t="inlineStr" s="6">
        <is>
          <t/>
        </is>
      </c>
      <c r="B849" s="5">
        <f>IF(A849="","",TEXT(A849,"aaa"))</f>
      </c>
      <c r="C849" t="inlineStr" s="5">
        <is>
          <t/>
        </is>
      </c>
      <c r="D849" t="inlineStr" s="5">
        <is>
          <t/>
        </is>
      </c>
      <c r="E849" t="inlineStr" s="7">
        <is>
          <t/>
        </is>
      </c>
      <c r="F849" t="inlineStr" s="7">
        <is>
          <t/>
        </is>
      </c>
      <c r="G849" s="8">
        <f>IF(AND(E849="",F849=""),"",F849-E849)</f>
      </c>
      <c r="H849" t="inlineStr" s="5">
        <is>
          <t/>
        </is>
      </c>
      <c r="I849" t="inlineStr" s="5">
        <is>
          <t/>
        </is>
      </c>
    </row>
    <row r="850" ht="22" customHeight="1">
      <c r="A850" t="inlineStr" s="6">
        <is>
          <t/>
        </is>
      </c>
      <c r="B850" s="5">
        <f>IF(A850="","",TEXT(A850,"aaa"))</f>
      </c>
      <c r="C850" t="inlineStr" s="5">
        <is>
          <t/>
        </is>
      </c>
      <c r="D850" t="inlineStr" s="5">
        <is>
          <t/>
        </is>
      </c>
      <c r="E850" t="inlineStr" s="7">
        <is>
          <t/>
        </is>
      </c>
      <c r="F850" t="inlineStr" s="7">
        <is>
          <t/>
        </is>
      </c>
      <c r="G850" s="8">
        <f>IF(AND(E850="",F850=""),"",F850-E850)</f>
      </c>
      <c r="H850" t="inlineStr" s="5">
        <is>
          <t/>
        </is>
      </c>
      <c r="I850" t="inlineStr" s="5">
        <is>
          <t/>
        </is>
      </c>
    </row>
    <row r="851" ht="22" customHeight="1">
      <c r="A851" t="inlineStr" s="6">
        <is>
          <t/>
        </is>
      </c>
      <c r="B851" s="5">
        <f>IF(A851="","",TEXT(A851,"aaa"))</f>
      </c>
      <c r="C851" t="inlineStr" s="5">
        <is>
          <t/>
        </is>
      </c>
      <c r="D851" t="inlineStr" s="5">
        <is>
          <t/>
        </is>
      </c>
      <c r="E851" t="inlineStr" s="7">
        <is>
          <t/>
        </is>
      </c>
      <c r="F851" t="inlineStr" s="7">
        <is>
          <t/>
        </is>
      </c>
      <c r="G851" s="8">
        <f>IF(AND(E851="",F851=""),"",F851-E851)</f>
      </c>
      <c r="H851" t="inlineStr" s="5">
        <is>
          <t/>
        </is>
      </c>
      <c r="I851" t="inlineStr" s="5">
        <is>
          <t/>
        </is>
      </c>
    </row>
    <row r="852" ht="22" customHeight="1">
      <c r="A852" t="inlineStr" s="6">
        <is>
          <t/>
        </is>
      </c>
      <c r="B852" s="5">
        <f>IF(A852="","",TEXT(A852,"aaa"))</f>
      </c>
      <c r="C852" t="inlineStr" s="5">
        <is>
          <t/>
        </is>
      </c>
      <c r="D852" t="inlineStr" s="5">
        <is>
          <t/>
        </is>
      </c>
      <c r="E852" t="inlineStr" s="7">
        <is>
          <t/>
        </is>
      </c>
      <c r="F852" t="inlineStr" s="7">
        <is>
          <t/>
        </is>
      </c>
      <c r="G852" s="8">
        <f>IF(AND(E852="",F852=""),"",F852-E852)</f>
      </c>
      <c r="H852" t="inlineStr" s="5">
        <is>
          <t/>
        </is>
      </c>
      <c r="I852" t="inlineStr" s="5">
        <is>
          <t/>
        </is>
      </c>
    </row>
    <row r="853" ht="22" customHeight="1">
      <c r="A853" t="inlineStr" s="6">
        <is>
          <t/>
        </is>
      </c>
      <c r="B853" s="5">
        <f>IF(A853="","",TEXT(A853,"aaa"))</f>
      </c>
      <c r="C853" t="inlineStr" s="5">
        <is>
          <t/>
        </is>
      </c>
      <c r="D853" t="inlineStr" s="5">
        <is>
          <t/>
        </is>
      </c>
      <c r="E853" t="inlineStr" s="7">
        <is>
          <t/>
        </is>
      </c>
      <c r="F853" t="inlineStr" s="7">
        <is>
          <t/>
        </is>
      </c>
      <c r="G853" s="8">
        <f>IF(AND(E853="",F853=""),"",F853-E853)</f>
      </c>
      <c r="H853" t="inlineStr" s="5">
        <is>
          <t/>
        </is>
      </c>
      <c r="I853" t="inlineStr" s="5">
        <is>
          <t/>
        </is>
      </c>
    </row>
    <row r="854" ht="22" customHeight="1">
      <c r="A854" t="inlineStr" s="6">
        <is>
          <t/>
        </is>
      </c>
      <c r="B854" s="5">
        <f>IF(A854="","",TEXT(A854,"aaa"))</f>
      </c>
      <c r="C854" t="inlineStr" s="5">
        <is>
          <t/>
        </is>
      </c>
      <c r="D854" t="inlineStr" s="5">
        <is>
          <t/>
        </is>
      </c>
      <c r="E854" t="inlineStr" s="7">
        <is>
          <t/>
        </is>
      </c>
      <c r="F854" t="inlineStr" s="7">
        <is>
          <t/>
        </is>
      </c>
      <c r="G854" s="8">
        <f>IF(AND(E854="",F854=""),"",F854-E854)</f>
      </c>
      <c r="H854" t="inlineStr" s="5">
        <is>
          <t/>
        </is>
      </c>
      <c r="I854" t="inlineStr" s="5">
        <is>
          <t/>
        </is>
      </c>
    </row>
    <row r="855" ht="22" customHeight="1">
      <c r="A855" t="inlineStr" s="6">
        <is>
          <t/>
        </is>
      </c>
      <c r="B855" s="5">
        <f>IF(A855="","",TEXT(A855,"aaa"))</f>
      </c>
      <c r="C855" t="inlineStr" s="5">
        <is>
          <t/>
        </is>
      </c>
      <c r="D855" t="inlineStr" s="5">
        <is>
          <t/>
        </is>
      </c>
      <c r="E855" t="inlineStr" s="7">
        <is>
          <t/>
        </is>
      </c>
      <c r="F855" t="inlineStr" s="7">
        <is>
          <t/>
        </is>
      </c>
      <c r="G855" s="8">
        <f>IF(AND(E855="",F855=""),"",F855-E855)</f>
      </c>
      <c r="H855" t="inlineStr" s="5">
        <is>
          <t/>
        </is>
      </c>
      <c r="I855" t="inlineStr" s="5">
        <is>
          <t/>
        </is>
      </c>
    </row>
    <row r="856" ht="22" customHeight="1">
      <c r="A856" t="inlineStr" s="6">
        <is>
          <t/>
        </is>
      </c>
      <c r="B856" s="5">
        <f>IF(A856="","",TEXT(A856,"aaa"))</f>
      </c>
      <c r="C856" t="inlineStr" s="5">
        <is>
          <t/>
        </is>
      </c>
      <c r="D856" t="inlineStr" s="5">
        <is>
          <t/>
        </is>
      </c>
      <c r="E856" t="inlineStr" s="7">
        <is>
          <t/>
        </is>
      </c>
      <c r="F856" t="inlineStr" s="7">
        <is>
          <t/>
        </is>
      </c>
      <c r="G856" s="8">
        <f>IF(AND(E856="",F856=""),"",F856-E856)</f>
      </c>
      <c r="H856" t="inlineStr" s="5">
        <is>
          <t/>
        </is>
      </c>
      <c r="I856" t="inlineStr" s="5">
        <is>
          <t/>
        </is>
      </c>
    </row>
    <row r="857" ht="22" customHeight="1">
      <c r="A857" t="inlineStr" s="6">
        <is>
          <t/>
        </is>
      </c>
      <c r="B857" s="5">
        <f>IF(A857="","",TEXT(A857,"aaa"))</f>
      </c>
      <c r="C857" t="inlineStr" s="5">
        <is>
          <t/>
        </is>
      </c>
      <c r="D857" t="inlineStr" s="5">
        <is>
          <t/>
        </is>
      </c>
      <c r="E857" t="inlineStr" s="7">
        <is>
          <t/>
        </is>
      </c>
      <c r="F857" t="inlineStr" s="7">
        <is>
          <t/>
        </is>
      </c>
      <c r="G857" s="8">
        <f>IF(AND(E857="",F857=""),"",F857-E857)</f>
      </c>
      <c r="H857" t="inlineStr" s="5">
        <is>
          <t/>
        </is>
      </c>
      <c r="I857" t="inlineStr" s="5">
        <is>
          <t/>
        </is>
      </c>
    </row>
    <row r="858" ht="22" customHeight="1">
      <c r="A858" t="inlineStr" s="6">
        <is>
          <t/>
        </is>
      </c>
      <c r="B858" s="5">
        <f>IF(A858="","",TEXT(A858,"aaa"))</f>
      </c>
      <c r="C858" t="inlineStr" s="5">
        <is>
          <t/>
        </is>
      </c>
      <c r="D858" t="inlineStr" s="5">
        <is>
          <t/>
        </is>
      </c>
      <c r="E858" t="inlineStr" s="7">
        <is>
          <t/>
        </is>
      </c>
      <c r="F858" t="inlineStr" s="7">
        <is>
          <t/>
        </is>
      </c>
      <c r="G858" s="8">
        <f>IF(AND(E858="",F858=""),"",F858-E858)</f>
      </c>
      <c r="H858" t="inlineStr" s="5">
        <is>
          <t/>
        </is>
      </c>
      <c r="I858" t="inlineStr" s="5">
        <is>
          <t/>
        </is>
      </c>
    </row>
    <row r="859" ht="24" customHeight="1">
      <c r="A859" t="inlineStr" s="9">
        <is>
          <t>本周小计</t>
        </is>
      </c>
      <c r="B859" t="inlineStr" s="9">
        <is>
          <t/>
        </is>
      </c>
      <c r="C859" t="inlineStr" s="9">
        <is>
          <t/>
        </is>
      </c>
      <c r="D859" t="inlineStr" s="9">
        <is>
          <t/>
        </is>
      </c>
      <c r="E859" s="9">
        <f>SUM(E844:E858)</f>
      </c>
      <c r="F859" s="9">
        <f>SUM(F844:F858)</f>
      </c>
      <c r="G859" s="9">
        <f>SUM(G844:G858)</f>
      </c>
      <c r="H859" t="inlineStr" s="9">
        <is>
          <t/>
        </is>
      </c>
      <c r="I859" t="inlineStr" s="9">
        <is>
          <t/>
        </is>
      </c>
    </row>
    <row r="860" ht="18" customHeight="1">
      <c r="A860" t="inlineStr" s="10">
        <is>
          <t/>
        </is>
      </c>
      <c r="B860" t="inlineStr" s="10">
        <is>
          <t/>
        </is>
      </c>
      <c r="C860" t="inlineStr" s="10">
        <is>
          <t/>
        </is>
      </c>
      <c r="D860" t="inlineStr" s="10">
        <is>
          <t/>
        </is>
      </c>
      <c r="E860" t="inlineStr" s="10">
        <is>
          <t/>
        </is>
      </c>
      <c r="F860" t="inlineStr" s="10">
        <is>
          <t/>
        </is>
      </c>
      <c r="G860" t="inlineStr" s="10">
        <is>
          <t/>
        </is>
      </c>
      <c r="H860" t="inlineStr" s="10">
        <is>
          <t/>
        </is>
      </c>
      <c r="I860" t="inlineStr" s="10">
        <is>
          <t/>
        </is>
      </c>
    </row>
    <row r="861" ht="18" customHeight="1">
      <c r="A861" t="inlineStr" s="10">
        <is>
          <t/>
        </is>
      </c>
      <c r="B861" t="inlineStr" s="10">
        <is>
          <t/>
        </is>
      </c>
      <c r="C861" t="inlineStr" s="10">
        <is>
          <t/>
        </is>
      </c>
      <c r="D861" t="inlineStr" s="10">
        <is>
          <t/>
        </is>
      </c>
      <c r="E861" t="inlineStr" s="10">
        <is>
          <t/>
        </is>
      </c>
      <c r="F861" t="inlineStr" s="10">
        <is>
          <t/>
        </is>
      </c>
      <c r="G861" t="inlineStr" s="10">
        <is>
          <t/>
        </is>
      </c>
      <c r="H861" t="inlineStr" s="10">
        <is>
          <t/>
        </is>
      </c>
      <c r="I861" t="inlineStr" s="10">
        <is>
          <t/>
        </is>
      </c>
    </row>
    <row r="862" ht="28" customHeight="1">
      <c r="A862" t="inlineStr" s="3">
        <is>
          <t>2027年3月-4月｜第五周（3月29日 - 4月4日）</t>
        </is>
      </c>
      <c r="B862" t="inlineStr" s="3">
        <is>
          <t/>
        </is>
      </c>
      <c r="C862" t="inlineStr" s="3">
        <is>
          <t/>
        </is>
      </c>
      <c r="D862" t="inlineStr" s="3">
        <is>
          <t/>
        </is>
      </c>
      <c r="E862" t="inlineStr" s="3">
        <is>
          <t/>
        </is>
      </c>
      <c r="F862" t="inlineStr" s="3">
        <is>
          <t/>
        </is>
      </c>
      <c r="G862" t="inlineStr" s="3">
        <is>
          <t/>
        </is>
      </c>
      <c r="H862" t="inlineStr" s="3">
        <is>
          <t/>
        </is>
      </c>
      <c r="I862" t="inlineStr" s="3">
        <is>
          <t/>
        </is>
      </c>
    </row>
    <row r="863" ht="23" customHeight="1">
      <c r="A863" t="inlineStr" s="4">
        <is>
          <t>日期</t>
        </is>
      </c>
      <c r="B863" t="inlineStr" s="4">
        <is>
          <t>星期</t>
        </is>
      </c>
      <c r="C863" t="inlineStr" s="4">
        <is>
          <t>分类</t>
        </is>
      </c>
      <c r="D863" t="inlineStr" s="4">
        <is>
          <t>事项</t>
        </is>
      </c>
      <c r="E863" t="inlineStr" s="4">
        <is>
          <t>支出金额</t>
        </is>
      </c>
      <c r="F863" t="inlineStr" s="4">
        <is>
          <t>收入金额</t>
        </is>
      </c>
      <c r="G863" t="inlineStr" s="4">
        <is>
          <t>当笔净额</t>
        </is>
      </c>
      <c r="H863" t="inlineStr" s="4">
        <is>
          <t>支付方式</t>
        </is>
      </c>
      <c r="I863" t="inlineStr" s="4">
        <is>
          <t>备注</t>
        </is>
      </c>
    </row>
    <row r="864" ht="22" customHeight="1">
      <c r="A864" t="inlineStr" s="6">
        <is>
          <t/>
        </is>
      </c>
      <c r="B864" s="5">
        <f>IF(A864="","",TEXT(A864,"aaa"))</f>
      </c>
      <c r="C864" t="inlineStr" s="5">
        <is>
          <t/>
        </is>
      </c>
      <c r="D864" t="inlineStr" s="5">
        <is>
          <t/>
        </is>
      </c>
      <c r="E864" t="inlineStr" s="7">
        <is>
          <t/>
        </is>
      </c>
      <c r="F864" t="inlineStr" s="7">
        <is>
          <t/>
        </is>
      </c>
      <c r="G864" s="8">
        <f>IF(AND(E864="",F864=""),"",F864-E864)</f>
      </c>
      <c r="H864" t="inlineStr" s="5">
        <is>
          <t/>
        </is>
      </c>
      <c r="I864" t="inlineStr" s="5">
        <is>
          <t/>
        </is>
      </c>
    </row>
    <row r="865" ht="22" customHeight="1">
      <c r="A865" t="inlineStr" s="6">
        <is>
          <t/>
        </is>
      </c>
      <c r="B865" s="5">
        <f>IF(A865="","",TEXT(A865,"aaa"))</f>
      </c>
      <c r="C865" t="inlineStr" s="5">
        <is>
          <t/>
        </is>
      </c>
      <c r="D865" t="inlineStr" s="5">
        <is>
          <t/>
        </is>
      </c>
      <c r="E865" t="inlineStr" s="7">
        <is>
          <t/>
        </is>
      </c>
      <c r="F865" t="inlineStr" s="7">
        <is>
          <t/>
        </is>
      </c>
      <c r="G865" s="8">
        <f>IF(AND(E865="",F865=""),"",F865-E865)</f>
      </c>
      <c r="H865" t="inlineStr" s="5">
        <is>
          <t/>
        </is>
      </c>
      <c r="I865" t="inlineStr" s="5">
        <is>
          <t/>
        </is>
      </c>
    </row>
    <row r="866" ht="22" customHeight="1">
      <c r="A866" t="inlineStr" s="6">
        <is>
          <t/>
        </is>
      </c>
      <c r="B866" s="5">
        <f>IF(A866="","",TEXT(A866,"aaa"))</f>
      </c>
      <c r="C866" t="inlineStr" s="5">
        <is>
          <t/>
        </is>
      </c>
      <c r="D866" t="inlineStr" s="5">
        <is>
          <t/>
        </is>
      </c>
      <c r="E866" t="inlineStr" s="7">
        <is>
          <t/>
        </is>
      </c>
      <c r="F866" t="inlineStr" s="7">
        <is>
          <t/>
        </is>
      </c>
      <c r="G866" s="8">
        <f>IF(AND(E866="",F866=""),"",F866-E866)</f>
      </c>
      <c r="H866" t="inlineStr" s="5">
        <is>
          <t/>
        </is>
      </c>
      <c r="I866" t="inlineStr" s="5">
        <is>
          <t/>
        </is>
      </c>
    </row>
    <row r="867" ht="22" customHeight="1">
      <c r="A867" t="inlineStr" s="6">
        <is>
          <t/>
        </is>
      </c>
      <c r="B867" s="5">
        <f>IF(A867="","",TEXT(A867,"aaa"))</f>
      </c>
      <c r="C867" t="inlineStr" s="5">
        <is>
          <t/>
        </is>
      </c>
      <c r="D867" t="inlineStr" s="5">
        <is>
          <t/>
        </is>
      </c>
      <c r="E867" t="inlineStr" s="7">
        <is>
          <t/>
        </is>
      </c>
      <c r="F867" t="inlineStr" s="7">
        <is>
          <t/>
        </is>
      </c>
      <c r="G867" s="8">
        <f>IF(AND(E867="",F867=""),"",F867-E867)</f>
      </c>
      <c r="H867" t="inlineStr" s="5">
        <is>
          <t/>
        </is>
      </c>
      <c r="I867" t="inlineStr" s="5">
        <is>
          <t/>
        </is>
      </c>
    </row>
    <row r="868" ht="22" customHeight="1">
      <c r="A868" t="inlineStr" s="6">
        <is>
          <t/>
        </is>
      </c>
      <c r="B868" s="5">
        <f>IF(A868="","",TEXT(A868,"aaa"))</f>
      </c>
      <c r="C868" t="inlineStr" s="5">
        <is>
          <t/>
        </is>
      </c>
      <c r="D868" t="inlineStr" s="5">
        <is>
          <t/>
        </is>
      </c>
      <c r="E868" t="inlineStr" s="7">
        <is>
          <t/>
        </is>
      </c>
      <c r="F868" t="inlineStr" s="7">
        <is>
          <t/>
        </is>
      </c>
      <c r="G868" s="8">
        <f>IF(AND(E868="",F868=""),"",F868-E868)</f>
      </c>
      <c r="H868" t="inlineStr" s="5">
        <is>
          <t/>
        </is>
      </c>
      <c r="I868" t="inlineStr" s="5">
        <is>
          <t/>
        </is>
      </c>
    </row>
    <row r="869" ht="22" customHeight="1">
      <c r="A869" t="inlineStr" s="6">
        <is>
          <t/>
        </is>
      </c>
      <c r="B869" s="5">
        <f>IF(A869="","",TEXT(A869,"aaa"))</f>
      </c>
      <c r="C869" t="inlineStr" s="5">
        <is>
          <t/>
        </is>
      </c>
      <c r="D869" t="inlineStr" s="5">
        <is>
          <t/>
        </is>
      </c>
      <c r="E869" t="inlineStr" s="7">
        <is>
          <t/>
        </is>
      </c>
      <c r="F869" t="inlineStr" s="7">
        <is>
          <t/>
        </is>
      </c>
      <c r="G869" s="8">
        <f>IF(AND(E869="",F869=""),"",F869-E869)</f>
      </c>
      <c r="H869" t="inlineStr" s="5">
        <is>
          <t/>
        </is>
      </c>
      <c r="I869" t="inlineStr" s="5">
        <is>
          <t/>
        </is>
      </c>
    </row>
    <row r="870" ht="22" customHeight="1">
      <c r="A870" t="inlineStr" s="6">
        <is>
          <t/>
        </is>
      </c>
      <c r="B870" s="5">
        <f>IF(A870="","",TEXT(A870,"aaa"))</f>
      </c>
      <c r="C870" t="inlineStr" s="5">
        <is>
          <t/>
        </is>
      </c>
      <c r="D870" t="inlineStr" s="5">
        <is>
          <t/>
        </is>
      </c>
      <c r="E870" t="inlineStr" s="7">
        <is>
          <t/>
        </is>
      </c>
      <c r="F870" t="inlineStr" s="7">
        <is>
          <t/>
        </is>
      </c>
      <c r="G870" s="8">
        <f>IF(AND(E870="",F870=""),"",F870-E870)</f>
      </c>
      <c r="H870" t="inlineStr" s="5">
        <is>
          <t/>
        </is>
      </c>
      <c r="I870" t="inlineStr" s="5">
        <is>
          <t/>
        </is>
      </c>
    </row>
    <row r="871" ht="22" customHeight="1">
      <c r="A871" t="inlineStr" s="6">
        <is>
          <t/>
        </is>
      </c>
      <c r="B871" s="5">
        <f>IF(A871="","",TEXT(A871,"aaa"))</f>
      </c>
      <c r="C871" t="inlineStr" s="5">
        <is>
          <t/>
        </is>
      </c>
      <c r="D871" t="inlineStr" s="5">
        <is>
          <t/>
        </is>
      </c>
      <c r="E871" t="inlineStr" s="7">
        <is>
          <t/>
        </is>
      </c>
      <c r="F871" t="inlineStr" s="7">
        <is>
          <t/>
        </is>
      </c>
      <c r="G871" s="8">
        <f>IF(AND(E871="",F871=""),"",F871-E871)</f>
      </c>
      <c r="H871" t="inlineStr" s="5">
        <is>
          <t/>
        </is>
      </c>
      <c r="I871" t="inlineStr" s="5">
        <is>
          <t/>
        </is>
      </c>
    </row>
    <row r="872" ht="22" customHeight="1">
      <c r="A872" t="inlineStr" s="6">
        <is>
          <t/>
        </is>
      </c>
      <c r="B872" s="5">
        <f>IF(A872="","",TEXT(A872,"aaa"))</f>
      </c>
      <c r="C872" t="inlineStr" s="5">
        <is>
          <t/>
        </is>
      </c>
      <c r="D872" t="inlineStr" s="5">
        <is>
          <t/>
        </is>
      </c>
      <c r="E872" t="inlineStr" s="7">
        <is>
          <t/>
        </is>
      </c>
      <c r="F872" t="inlineStr" s="7">
        <is>
          <t/>
        </is>
      </c>
      <c r="G872" s="8">
        <f>IF(AND(E872="",F872=""),"",F872-E872)</f>
      </c>
      <c r="H872" t="inlineStr" s="5">
        <is>
          <t/>
        </is>
      </c>
      <c r="I872" t="inlineStr" s="5">
        <is>
          <t/>
        </is>
      </c>
    </row>
    <row r="873" ht="22" customHeight="1">
      <c r="A873" t="inlineStr" s="6">
        <is>
          <t/>
        </is>
      </c>
      <c r="B873" s="5">
        <f>IF(A873="","",TEXT(A873,"aaa"))</f>
      </c>
      <c r="C873" t="inlineStr" s="5">
        <is>
          <t/>
        </is>
      </c>
      <c r="D873" t="inlineStr" s="5">
        <is>
          <t/>
        </is>
      </c>
      <c r="E873" t="inlineStr" s="7">
        <is>
          <t/>
        </is>
      </c>
      <c r="F873" t="inlineStr" s="7">
        <is>
          <t/>
        </is>
      </c>
      <c r="G873" s="8">
        <f>IF(AND(E873="",F873=""),"",F873-E873)</f>
      </c>
      <c r="H873" t="inlineStr" s="5">
        <is>
          <t/>
        </is>
      </c>
      <c r="I873" t="inlineStr" s="5">
        <is>
          <t/>
        </is>
      </c>
    </row>
    <row r="874" ht="22" customHeight="1">
      <c r="A874" t="inlineStr" s="6">
        <is>
          <t/>
        </is>
      </c>
      <c r="B874" s="5">
        <f>IF(A874="","",TEXT(A874,"aaa"))</f>
      </c>
      <c r="C874" t="inlineStr" s="5">
        <is>
          <t/>
        </is>
      </c>
      <c r="D874" t="inlineStr" s="5">
        <is>
          <t/>
        </is>
      </c>
      <c r="E874" t="inlineStr" s="7">
        <is>
          <t/>
        </is>
      </c>
      <c r="F874" t="inlineStr" s="7">
        <is>
          <t/>
        </is>
      </c>
      <c r="G874" s="8">
        <f>IF(AND(E874="",F874=""),"",F874-E874)</f>
      </c>
      <c r="H874" t="inlineStr" s="5">
        <is>
          <t/>
        </is>
      </c>
      <c r="I874" t="inlineStr" s="5">
        <is>
          <t/>
        </is>
      </c>
    </row>
    <row r="875" ht="22" customHeight="1">
      <c r="A875" t="inlineStr" s="6">
        <is>
          <t/>
        </is>
      </c>
      <c r="B875" s="5">
        <f>IF(A875="","",TEXT(A875,"aaa"))</f>
      </c>
      <c r="C875" t="inlineStr" s="5">
        <is>
          <t/>
        </is>
      </c>
      <c r="D875" t="inlineStr" s="5">
        <is>
          <t/>
        </is>
      </c>
      <c r="E875" t="inlineStr" s="7">
        <is>
          <t/>
        </is>
      </c>
      <c r="F875" t="inlineStr" s="7">
        <is>
          <t/>
        </is>
      </c>
      <c r="G875" s="8">
        <f>IF(AND(E875="",F875=""),"",F875-E875)</f>
      </c>
      <c r="H875" t="inlineStr" s="5">
        <is>
          <t/>
        </is>
      </c>
      <c r="I875" t="inlineStr" s="5">
        <is>
          <t/>
        </is>
      </c>
    </row>
    <row r="876" ht="22" customHeight="1">
      <c r="A876" t="inlineStr" s="6">
        <is>
          <t/>
        </is>
      </c>
      <c r="B876" s="5">
        <f>IF(A876="","",TEXT(A876,"aaa"))</f>
      </c>
      <c r="C876" t="inlineStr" s="5">
        <is>
          <t/>
        </is>
      </c>
      <c r="D876" t="inlineStr" s="5">
        <is>
          <t/>
        </is>
      </c>
      <c r="E876" t="inlineStr" s="7">
        <is>
          <t/>
        </is>
      </c>
      <c r="F876" t="inlineStr" s="7">
        <is>
          <t/>
        </is>
      </c>
      <c r="G876" s="8">
        <f>IF(AND(E876="",F876=""),"",F876-E876)</f>
      </c>
      <c r="H876" t="inlineStr" s="5">
        <is>
          <t/>
        </is>
      </c>
      <c r="I876" t="inlineStr" s="5">
        <is>
          <t/>
        </is>
      </c>
    </row>
    <row r="877" ht="22" customHeight="1">
      <c r="A877" t="inlineStr" s="6">
        <is>
          <t/>
        </is>
      </c>
      <c r="B877" s="5">
        <f>IF(A877="","",TEXT(A877,"aaa"))</f>
      </c>
      <c r="C877" t="inlineStr" s="5">
        <is>
          <t/>
        </is>
      </c>
      <c r="D877" t="inlineStr" s="5">
        <is>
          <t/>
        </is>
      </c>
      <c r="E877" t="inlineStr" s="7">
        <is>
          <t/>
        </is>
      </c>
      <c r="F877" t="inlineStr" s="7">
        <is>
          <t/>
        </is>
      </c>
      <c r="G877" s="8">
        <f>IF(AND(E877="",F877=""),"",F877-E877)</f>
      </c>
      <c r="H877" t="inlineStr" s="5">
        <is>
          <t/>
        </is>
      </c>
      <c r="I877" t="inlineStr" s="5">
        <is>
          <t/>
        </is>
      </c>
    </row>
    <row r="878" ht="22" customHeight="1">
      <c r="A878" t="inlineStr" s="6">
        <is>
          <t/>
        </is>
      </c>
      <c r="B878" s="5">
        <f>IF(A878="","",TEXT(A878,"aaa"))</f>
      </c>
      <c r="C878" t="inlineStr" s="5">
        <is>
          <t/>
        </is>
      </c>
      <c r="D878" t="inlineStr" s="5">
        <is>
          <t/>
        </is>
      </c>
      <c r="E878" t="inlineStr" s="7">
        <is>
          <t/>
        </is>
      </c>
      <c r="F878" t="inlineStr" s="7">
        <is>
          <t/>
        </is>
      </c>
      <c r="G878" s="8">
        <f>IF(AND(E878="",F878=""),"",F878-E878)</f>
      </c>
      <c r="H878" t="inlineStr" s="5">
        <is>
          <t/>
        </is>
      </c>
      <c r="I878" t="inlineStr" s="5">
        <is>
          <t/>
        </is>
      </c>
    </row>
    <row r="879" ht="24" customHeight="1">
      <c r="A879" t="inlineStr" s="9">
        <is>
          <t>本周小计</t>
        </is>
      </c>
      <c r="B879" t="inlineStr" s="9">
        <is>
          <t/>
        </is>
      </c>
      <c r="C879" t="inlineStr" s="9">
        <is>
          <t/>
        </is>
      </c>
      <c r="D879" t="inlineStr" s="9">
        <is>
          <t/>
        </is>
      </c>
      <c r="E879" s="9">
        <f>SUM(E864:E878)</f>
      </c>
      <c r="F879" s="9">
        <f>SUM(F864:F878)</f>
      </c>
      <c r="G879" s="9">
        <f>SUM(G864:G878)</f>
      </c>
      <c r="H879" t="inlineStr" s="9">
        <is>
          <t/>
        </is>
      </c>
      <c r="I879" t="inlineStr" s="9">
        <is>
          <t/>
        </is>
      </c>
    </row>
    <row r="880" ht="18" customHeight="1">
      <c r="A880" t="inlineStr" s="10">
        <is>
          <t/>
        </is>
      </c>
      <c r="B880" t="inlineStr" s="10">
        <is>
          <t/>
        </is>
      </c>
      <c r="C880" t="inlineStr" s="10">
        <is>
          <t/>
        </is>
      </c>
      <c r="D880" t="inlineStr" s="10">
        <is>
          <t/>
        </is>
      </c>
      <c r="E880" t="inlineStr" s="10">
        <is>
          <t/>
        </is>
      </c>
      <c r="F880" t="inlineStr" s="10">
        <is>
          <t/>
        </is>
      </c>
      <c r="G880" t="inlineStr" s="10">
        <is>
          <t/>
        </is>
      </c>
      <c r="H880" t="inlineStr" s="10">
        <is>
          <t/>
        </is>
      </c>
      <c r="I880" t="inlineStr" s="10">
        <is>
          <t/>
        </is>
      </c>
    </row>
    <row r="881" ht="18" customHeight="1">
      <c r="A881" t="inlineStr" s="10">
        <is>
          <t/>
        </is>
      </c>
      <c r="B881" t="inlineStr" s="10">
        <is>
          <t/>
        </is>
      </c>
      <c r="C881" t="inlineStr" s="10">
        <is>
          <t/>
        </is>
      </c>
      <c r="D881" t="inlineStr" s="10">
        <is>
          <t/>
        </is>
      </c>
      <c r="E881" t="inlineStr" s="10">
        <is>
          <t/>
        </is>
      </c>
      <c r="F881" t="inlineStr" s="10">
        <is>
          <t/>
        </is>
      </c>
      <c r="G881" t="inlineStr" s="10">
        <is>
          <t/>
        </is>
      </c>
      <c r="H881" t="inlineStr" s="10">
        <is>
          <t/>
        </is>
      </c>
      <c r="I881" t="inlineStr" s="10">
        <is>
          <t/>
        </is>
      </c>
    </row>
    <row r="882" ht="28" customHeight="1">
      <c r="A882" t="inlineStr" s="3">
        <is>
          <t>2027年4月｜第一周（4月5日 - 4月11日）</t>
        </is>
      </c>
      <c r="B882" t="inlineStr" s="3">
        <is>
          <t/>
        </is>
      </c>
      <c r="C882" t="inlineStr" s="3">
        <is>
          <t/>
        </is>
      </c>
      <c r="D882" t="inlineStr" s="3">
        <is>
          <t/>
        </is>
      </c>
      <c r="E882" t="inlineStr" s="3">
        <is>
          <t/>
        </is>
      </c>
      <c r="F882" t="inlineStr" s="3">
        <is>
          <t/>
        </is>
      </c>
      <c r="G882" t="inlineStr" s="3">
        <is>
          <t/>
        </is>
      </c>
      <c r="H882" t="inlineStr" s="3">
        <is>
          <t/>
        </is>
      </c>
      <c r="I882" t="inlineStr" s="3">
        <is>
          <t/>
        </is>
      </c>
    </row>
    <row r="883" ht="23" customHeight="1">
      <c r="A883" t="inlineStr" s="4">
        <is>
          <t>日期</t>
        </is>
      </c>
      <c r="B883" t="inlineStr" s="4">
        <is>
          <t>星期</t>
        </is>
      </c>
      <c r="C883" t="inlineStr" s="4">
        <is>
          <t>分类</t>
        </is>
      </c>
      <c r="D883" t="inlineStr" s="4">
        <is>
          <t>事项</t>
        </is>
      </c>
      <c r="E883" t="inlineStr" s="4">
        <is>
          <t>支出金额</t>
        </is>
      </c>
      <c r="F883" t="inlineStr" s="4">
        <is>
          <t>收入金额</t>
        </is>
      </c>
      <c r="G883" t="inlineStr" s="4">
        <is>
          <t>当笔净额</t>
        </is>
      </c>
      <c r="H883" t="inlineStr" s="4">
        <is>
          <t>支付方式</t>
        </is>
      </c>
      <c r="I883" t="inlineStr" s="4">
        <is>
          <t>备注</t>
        </is>
      </c>
    </row>
    <row r="884" ht="22" customHeight="1">
      <c r="A884" t="inlineStr" s="6">
        <is>
          <t/>
        </is>
      </c>
      <c r="B884" s="5">
        <f>IF(A884="","",TEXT(A884,"aaa"))</f>
      </c>
      <c r="C884" t="inlineStr" s="5">
        <is>
          <t/>
        </is>
      </c>
      <c r="D884" t="inlineStr" s="5">
        <is>
          <t/>
        </is>
      </c>
      <c r="E884" t="inlineStr" s="7">
        <is>
          <t/>
        </is>
      </c>
      <c r="F884" t="inlineStr" s="7">
        <is>
          <t/>
        </is>
      </c>
      <c r="G884" s="8">
        <f>IF(AND(E884="",F884=""),"",F884-E884)</f>
      </c>
      <c r="H884" t="inlineStr" s="5">
        <is>
          <t/>
        </is>
      </c>
      <c r="I884" t="inlineStr" s="5">
        <is>
          <t/>
        </is>
      </c>
    </row>
    <row r="885" ht="22" customHeight="1">
      <c r="A885" t="inlineStr" s="6">
        <is>
          <t/>
        </is>
      </c>
      <c r="B885" s="5">
        <f>IF(A885="","",TEXT(A885,"aaa"))</f>
      </c>
      <c r="C885" t="inlineStr" s="5">
        <is>
          <t/>
        </is>
      </c>
      <c r="D885" t="inlineStr" s="5">
        <is>
          <t/>
        </is>
      </c>
      <c r="E885" t="inlineStr" s="7">
        <is>
          <t/>
        </is>
      </c>
      <c r="F885" t="inlineStr" s="7">
        <is>
          <t/>
        </is>
      </c>
      <c r="G885" s="8">
        <f>IF(AND(E885="",F885=""),"",F885-E885)</f>
      </c>
      <c r="H885" t="inlineStr" s="5">
        <is>
          <t/>
        </is>
      </c>
      <c r="I885" t="inlineStr" s="5">
        <is>
          <t/>
        </is>
      </c>
    </row>
    <row r="886" ht="22" customHeight="1">
      <c r="A886" t="inlineStr" s="6">
        <is>
          <t/>
        </is>
      </c>
      <c r="B886" s="5">
        <f>IF(A886="","",TEXT(A886,"aaa"))</f>
      </c>
      <c r="C886" t="inlineStr" s="5">
        <is>
          <t/>
        </is>
      </c>
      <c r="D886" t="inlineStr" s="5">
        <is>
          <t/>
        </is>
      </c>
      <c r="E886" t="inlineStr" s="7">
        <is>
          <t/>
        </is>
      </c>
      <c r="F886" t="inlineStr" s="7">
        <is>
          <t/>
        </is>
      </c>
      <c r="G886" s="8">
        <f>IF(AND(E886="",F886=""),"",F886-E886)</f>
      </c>
      <c r="H886" t="inlineStr" s="5">
        <is>
          <t/>
        </is>
      </c>
      <c r="I886" t="inlineStr" s="5">
        <is>
          <t/>
        </is>
      </c>
    </row>
    <row r="887" ht="22" customHeight="1">
      <c r="A887" t="inlineStr" s="6">
        <is>
          <t/>
        </is>
      </c>
      <c r="B887" s="5">
        <f>IF(A887="","",TEXT(A887,"aaa"))</f>
      </c>
      <c r="C887" t="inlineStr" s="5">
        <is>
          <t/>
        </is>
      </c>
      <c r="D887" t="inlineStr" s="5">
        <is>
          <t/>
        </is>
      </c>
      <c r="E887" t="inlineStr" s="7">
        <is>
          <t/>
        </is>
      </c>
      <c r="F887" t="inlineStr" s="7">
        <is>
          <t/>
        </is>
      </c>
      <c r="G887" s="8">
        <f>IF(AND(E887="",F887=""),"",F887-E887)</f>
      </c>
      <c r="H887" t="inlineStr" s="5">
        <is>
          <t/>
        </is>
      </c>
      <c r="I887" t="inlineStr" s="5">
        <is>
          <t/>
        </is>
      </c>
    </row>
    <row r="888" ht="22" customHeight="1">
      <c r="A888" t="inlineStr" s="6">
        <is>
          <t/>
        </is>
      </c>
      <c r="B888" s="5">
        <f>IF(A888="","",TEXT(A888,"aaa"))</f>
      </c>
      <c r="C888" t="inlineStr" s="5">
        <is>
          <t/>
        </is>
      </c>
      <c r="D888" t="inlineStr" s="5">
        <is>
          <t/>
        </is>
      </c>
      <c r="E888" t="inlineStr" s="7">
        <is>
          <t/>
        </is>
      </c>
      <c r="F888" t="inlineStr" s="7">
        <is>
          <t/>
        </is>
      </c>
      <c r="G888" s="8">
        <f>IF(AND(E888="",F888=""),"",F888-E888)</f>
      </c>
      <c r="H888" t="inlineStr" s="5">
        <is>
          <t/>
        </is>
      </c>
      <c r="I888" t="inlineStr" s="5">
        <is>
          <t/>
        </is>
      </c>
    </row>
    <row r="889" ht="22" customHeight="1">
      <c r="A889" t="inlineStr" s="6">
        <is>
          <t/>
        </is>
      </c>
      <c r="B889" s="5">
        <f>IF(A889="","",TEXT(A889,"aaa"))</f>
      </c>
      <c r="C889" t="inlineStr" s="5">
        <is>
          <t/>
        </is>
      </c>
      <c r="D889" t="inlineStr" s="5">
        <is>
          <t/>
        </is>
      </c>
      <c r="E889" t="inlineStr" s="7">
        <is>
          <t/>
        </is>
      </c>
      <c r="F889" t="inlineStr" s="7">
        <is>
          <t/>
        </is>
      </c>
      <c r="G889" s="8">
        <f>IF(AND(E889="",F889=""),"",F889-E889)</f>
      </c>
      <c r="H889" t="inlineStr" s="5">
        <is>
          <t/>
        </is>
      </c>
      <c r="I889" t="inlineStr" s="5">
        <is>
          <t/>
        </is>
      </c>
    </row>
    <row r="890" ht="22" customHeight="1">
      <c r="A890" t="inlineStr" s="6">
        <is>
          <t/>
        </is>
      </c>
      <c r="B890" s="5">
        <f>IF(A890="","",TEXT(A890,"aaa"))</f>
      </c>
      <c r="C890" t="inlineStr" s="5">
        <is>
          <t/>
        </is>
      </c>
      <c r="D890" t="inlineStr" s="5">
        <is>
          <t/>
        </is>
      </c>
      <c r="E890" t="inlineStr" s="7">
        <is>
          <t/>
        </is>
      </c>
      <c r="F890" t="inlineStr" s="7">
        <is>
          <t/>
        </is>
      </c>
      <c r="G890" s="8">
        <f>IF(AND(E890="",F890=""),"",F890-E890)</f>
      </c>
      <c r="H890" t="inlineStr" s="5">
        <is>
          <t/>
        </is>
      </c>
      <c r="I890" t="inlineStr" s="5">
        <is>
          <t/>
        </is>
      </c>
    </row>
    <row r="891" ht="22" customHeight="1">
      <c r="A891" t="inlineStr" s="6">
        <is>
          <t/>
        </is>
      </c>
      <c r="B891" s="5">
        <f>IF(A891="","",TEXT(A891,"aaa"))</f>
      </c>
      <c r="C891" t="inlineStr" s="5">
        <is>
          <t/>
        </is>
      </c>
      <c r="D891" t="inlineStr" s="5">
        <is>
          <t/>
        </is>
      </c>
      <c r="E891" t="inlineStr" s="7">
        <is>
          <t/>
        </is>
      </c>
      <c r="F891" t="inlineStr" s="7">
        <is>
          <t/>
        </is>
      </c>
      <c r="G891" s="8">
        <f>IF(AND(E891="",F891=""),"",F891-E891)</f>
      </c>
      <c r="H891" t="inlineStr" s="5">
        <is>
          <t/>
        </is>
      </c>
      <c r="I891" t="inlineStr" s="5">
        <is>
          <t/>
        </is>
      </c>
    </row>
    <row r="892" ht="22" customHeight="1">
      <c r="A892" t="inlineStr" s="6">
        <is>
          <t/>
        </is>
      </c>
      <c r="B892" s="5">
        <f>IF(A892="","",TEXT(A892,"aaa"))</f>
      </c>
      <c r="C892" t="inlineStr" s="5">
        <is>
          <t/>
        </is>
      </c>
      <c r="D892" t="inlineStr" s="5">
        <is>
          <t/>
        </is>
      </c>
      <c r="E892" t="inlineStr" s="7">
        <is>
          <t/>
        </is>
      </c>
      <c r="F892" t="inlineStr" s="7">
        <is>
          <t/>
        </is>
      </c>
      <c r="G892" s="8">
        <f>IF(AND(E892="",F892=""),"",F892-E892)</f>
      </c>
      <c r="H892" t="inlineStr" s="5">
        <is>
          <t/>
        </is>
      </c>
      <c r="I892" t="inlineStr" s="5">
        <is>
          <t/>
        </is>
      </c>
    </row>
    <row r="893" ht="22" customHeight="1">
      <c r="A893" t="inlineStr" s="6">
        <is>
          <t/>
        </is>
      </c>
      <c r="B893" s="5">
        <f>IF(A893="","",TEXT(A893,"aaa"))</f>
      </c>
      <c r="C893" t="inlineStr" s="5">
        <is>
          <t/>
        </is>
      </c>
      <c r="D893" t="inlineStr" s="5">
        <is>
          <t/>
        </is>
      </c>
      <c r="E893" t="inlineStr" s="7">
        <is>
          <t/>
        </is>
      </c>
      <c r="F893" t="inlineStr" s="7">
        <is>
          <t/>
        </is>
      </c>
      <c r="G893" s="8">
        <f>IF(AND(E893="",F893=""),"",F893-E893)</f>
      </c>
      <c r="H893" t="inlineStr" s="5">
        <is>
          <t/>
        </is>
      </c>
      <c r="I893" t="inlineStr" s="5">
        <is>
          <t/>
        </is>
      </c>
    </row>
    <row r="894" ht="22" customHeight="1">
      <c r="A894" t="inlineStr" s="6">
        <is>
          <t/>
        </is>
      </c>
      <c r="B894" s="5">
        <f>IF(A894="","",TEXT(A894,"aaa"))</f>
      </c>
      <c r="C894" t="inlineStr" s="5">
        <is>
          <t/>
        </is>
      </c>
      <c r="D894" t="inlineStr" s="5">
        <is>
          <t/>
        </is>
      </c>
      <c r="E894" t="inlineStr" s="7">
        <is>
          <t/>
        </is>
      </c>
      <c r="F894" t="inlineStr" s="7">
        <is>
          <t/>
        </is>
      </c>
      <c r="G894" s="8">
        <f>IF(AND(E894="",F894=""),"",F894-E894)</f>
      </c>
      <c r="H894" t="inlineStr" s="5">
        <is>
          <t/>
        </is>
      </c>
      <c r="I894" t="inlineStr" s="5">
        <is>
          <t/>
        </is>
      </c>
    </row>
    <row r="895" ht="22" customHeight="1">
      <c r="A895" t="inlineStr" s="6">
        <is>
          <t/>
        </is>
      </c>
      <c r="B895" s="5">
        <f>IF(A895="","",TEXT(A895,"aaa"))</f>
      </c>
      <c r="C895" t="inlineStr" s="5">
        <is>
          <t/>
        </is>
      </c>
      <c r="D895" t="inlineStr" s="5">
        <is>
          <t/>
        </is>
      </c>
      <c r="E895" t="inlineStr" s="7">
        <is>
          <t/>
        </is>
      </c>
      <c r="F895" t="inlineStr" s="7">
        <is>
          <t/>
        </is>
      </c>
      <c r="G895" s="8">
        <f>IF(AND(E895="",F895=""),"",F895-E895)</f>
      </c>
      <c r="H895" t="inlineStr" s="5">
        <is>
          <t/>
        </is>
      </c>
      <c r="I895" t="inlineStr" s="5">
        <is>
          <t/>
        </is>
      </c>
    </row>
    <row r="896" ht="22" customHeight="1">
      <c r="A896" t="inlineStr" s="6">
        <is>
          <t/>
        </is>
      </c>
      <c r="B896" s="5">
        <f>IF(A896="","",TEXT(A896,"aaa"))</f>
      </c>
      <c r="C896" t="inlineStr" s="5">
        <is>
          <t/>
        </is>
      </c>
      <c r="D896" t="inlineStr" s="5">
        <is>
          <t/>
        </is>
      </c>
      <c r="E896" t="inlineStr" s="7">
        <is>
          <t/>
        </is>
      </c>
      <c r="F896" t="inlineStr" s="7">
        <is>
          <t/>
        </is>
      </c>
      <c r="G896" s="8">
        <f>IF(AND(E896="",F896=""),"",F896-E896)</f>
      </c>
      <c r="H896" t="inlineStr" s="5">
        <is>
          <t/>
        </is>
      </c>
      <c r="I896" t="inlineStr" s="5">
        <is>
          <t/>
        </is>
      </c>
    </row>
    <row r="897" ht="22" customHeight="1">
      <c r="A897" t="inlineStr" s="6">
        <is>
          <t/>
        </is>
      </c>
      <c r="B897" s="5">
        <f>IF(A897="","",TEXT(A897,"aaa"))</f>
      </c>
      <c r="C897" t="inlineStr" s="5">
        <is>
          <t/>
        </is>
      </c>
      <c r="D897" t="inlineStr" s="5">
        <is>
          <t/>
        </is>
      </c>
      <c r="E897" t="inlineStr" s="7">
        <is>
          <t/>
        </is>
      </c>
      <c r="F897" t="inlineStr" s="7">
        <is>
          <t/>
        </is>
      </c>
      <c r="G897" s="8">
        <f>IF(AND(E897="",F897=""),"",F897-E897)</f>
      </c>
      <c r="H897" t="inlineStr" s="5">
        <is>
          <t/>
        </is>
      </c>
      <c r="I897" t="inlineStr" s="5">
        <is>
          <t/>
        </is>
      </c>
    </row>
    <row r="898" ht="22" customHeight="1">
      <c r="A898" t="inlineStr" s="6">
        <is>
          <t/>
        </is>
      </c>
      <c r="B898" s="5">
        <f>IF(A898="","",TEXT(A898,"aaa"))</f>
      </c>
      <c r="C898" t="inlineStr" s="5">
        <is>
          <t/>
        </is>
      </c>
      <c r="D898" t="inlineStr" s="5">
        <is>
          <t/>
        </is>
      </c>
      <c r="E898" t="inlineStr" s="7">
        <is>
          <t/>
        </is>
      </c>
      <c r="F898" t="inlineStr" s="7">
        <is>
          <t/>
        </is>
      </c>
      <c r="G898" s="8">
        <f>IF(AND(E898="",F898=""),"",F898-E898)</f>
      </c>
      <c r="H898" t="inlineStr" s="5">
        <is>
          <t/>
        </is>
      </c>
      <c r="I898" t="inlineStr" s="5">
        <is>
          <t/>
        </is>
      </c>
    </row>
    <row r="899" ht="24" customHeight="1">
      <c r="A899" t="inlineStr" s="9">
        <is>
          <t>本周小计</t>
        </is>
      </c>
      <c r="B899" t="inlineStr" s="9">
        <is>
          <t/>
        </is>
      </c>
      <c r="C899" t="inlineStr" s="9">
        <is>
          <t/>
        </is>
      </c>
      <c r="D899" t="inlineStr" s="9">
        <is>
          <t/>
        </is>
      </c>
      <c r="E899" s="9">
        <f>SUM(E884:E898)</f>
      </c>
      <c r="F899" s="9">
        <f>SUM(F884:F898)</f>
      </c>
      <c r="G899" s="9">
        <f>SUM(G884:G898)</f>
      </c>
      <c r="H899" t="inlineStr" s="9">
        <is>
          <t/>
        </is>
      </c>
      <c r="I899" t="inlineStr" s="9">
        <is>
          <t/>
        </is>
      </c>
    </row>
    <row r="900" ht="18" customHeight="1">
      <c r="A900" t="inlineStr" s="10">
        <is>
          <t/>
        </is>
      </c>
      <c r="B900" t="inlineStr" s="10">
        <is>
          <t/>
        </is>
      </c>
      <c r="C900" t="inlineStr" s="10">
        <is>
          <t/>
        </is>
      </c>
      <c r="D900" t="inlineStr" s="10">
        <is>
          <t/>
        </is>
      </c>
      <c r="E900" t="inlineStr" s="10">
        <is>
          <t/>
        </is>
      </c>
      <c r="F900" t="inlineStr" s="10">
        <is>
          <t/>
        </is>
      </c>
      <c r="G900" t="inlineStr" s="10">
        <is>
          <t/>
        </is>
      </c>
      <c r="H900" t="inlineStr" s="10">
        <is>
          <t/>
        </is>
      </c>
      <c r="I900" t="inlineStr" s="10">
        <is>
          <t/>
        </is>
      </c>
    </row>
    <row r="901" ht="18" customHeight="1">
      <c r="A901" t="inlineStr" s="10">
        <is>
          <t/>
        </is>
      </c>
      <c r="B901" t="inlineStr" s="10">
        <is>
          <t/>
        </is>
      </c>
      <c r="C901" t="inlineStr" s="10">
        <is>
          <t/>
        </is>
      </c>
      <c r="D901" t="inlineStr" s="10">
        <is>
          <t/>
        </is>
      </c>
      <c r="E901" t="inlineStr" s="10">
        <is>
          <t/>
        </is>
      </c>
      <c r="F901" t="inlineStr" s="10">
        <is>
          <t/>
        </is>
      </c>
      <c r="G901" t="inlineStr" s="10">
        <is>
          <t/>
        </is>
      </c>
      <c r="H901" t="inlineStr" s="10">
        <is>
          <t/>
        </is>
      </c>
      <c r="I901" t="inlineStr" s="10">
        <is>
          <t/>
        </is>
      </c>
    </row>
    <row r="902" ht="28" customHeight="1">
      <c r="A902" t="inlineStr" s="3">
        <is>
          <t>2027年4月｜第二周（4月12日 - 4月18日）</t>
        </is>
      </c>
      <c r="B902" t="inlineStr" s="3">
        <is>
          <t/>
        </is>
      </c>
      <c r="C902" t="inlineStr" s="3">
        <is>
          <t/>
        </is>
      </c>
      <c r="D902" t="inlineStr" s="3">
        <is>
          <t/>
        </is>
      </c>
      <c r="E902" t="inlineStr" s="3">
        <is>
          <t/>
        </is>
      </c>
      <c r="F902" t="inlineStr" s="3">
        <is>
          <t/>
        </is>
      </c>
      <c r="G902" t="inlineStr" s="3">
        <is>
          <t/>
        </is>
      </c>
      <c r="H902" t="inlineStr" s="3">
        <is>
          <t/>
        </is>
      </c>
      <c r="I902" t="inlineStr" s="3">
        <is>
          <t/>
        </is>
      </c>
    </row>
    <row r="903" ht="23" customHeight="1">
      <c r="A903" t="inlineStr" s="4">
        <is>
          <t>日期</t>
        </is>
      </c>
      <c r="B903" t="inlineStr" s="4">
        <is>
          <t>星期</t>
        </is>
      </c>
      <c r="C903" t="inlineStr" s="4">
        <is>
          <t>分类</t>
        </is>
      </c>
      <c r="D903" t="inlineStr" s="4">
        <is>
          <t>事项</t>
        </is>
      </c>
      <c r="E903" t="inlineStr" s="4">
        <is>
          <t>支出金额</t>
        </is>
      </c>
      <c r="F903" t="inlineStr" s="4">
        <is>
          <t>收入金额</t>
        </is>
      </c>
      <c r="G903" t="inlineStr" s="4">
        <is>
          <t>当笔净额</t>
        </is>
      </c>
      <c r="H903" t="inlineStr" s="4">
        <is>
          <t>支付方式</t>
        </is>
      </c>
      <c r="I903" t="inlineStr" s="4">
        <is>
          <t>备注</t>
        </is>
      </c>
    </row>
    <row r="904" ht="22" customHeight="1">
      <c r="A904" t="inlineStr" s="6">
        <is>
          <t/>
        </is>
      </c>
      <c r="B904" s="5">
        <f>IF(A904="","",TEXT(A904,"aaa"))</f>
      </c>
      <c r="C904" t="inlineStr" s="5">
        <is>
          <t/>
        </is>
      </c>
      <c r="D904" t="inlineStr" s="5">
        <is>
          <t/>
        </is>
      </c>
      <c r="E904" t="inlineStr" s="7">
        <is>
          <t/>
        </is>
      </c>
      <c r="F904" t="inlineStr" s="7">
        <is>
          <t/>
        </is>
      </c>
      <c r="G904" s="8">
        <f>IF(AND(E904="",F904=""),"",F904-E904)</f>
      </c>
      <c r="H904" t="inlineStr" s="5">
        <is>
          <t/>
        </is>
      </c>
      <c r="I904" t="inlineStr" s="5">
        <is>
          <t/>
        </is>
      </c>
    </row>
    <row r="905" ht="22" customHeight="1">
      <c r="A905" t="inlineStr" s="6">
        <is>
          <t/>
        </is>
      </c>
      <c r="B905" s="5">
        <f>IF(A905="","",TEXT(A905,"aaa"))</f>
      </c>
      <c r="C905" t="inlineStr" s="5">
        <is>
          <t/>
        </is>
      </c>
      <c r="D905" t="inlineStr" s="5">
        <is>
          <t/>
        </is>
      </c>
      <c r="E905" t="inlineStr" s="7">
        <is>
          <t/>
        </is>
      </c>
      <c r="F905" t="inlineStr" s="7">
        <is>
          <t/>
        </is>
      </c>
      <c r="G905" s="8">
        <f>IF(AND(E905="",F905=""),"",F905-E905)</f>
      </c>
      <c r="H905" t="inlineStr" s="5">
        <is>
          <t/>
        </is>
      </c>
      <c r="I905" t="inlineStr" s="5">
        <is>
          <t/>
        </is>
      </c>
    </row>
    <row r="906" ht="22" customHeight="1">
      <c r="A906" t="inlineStr" s="6">
        <is>
          <t/>
        </is>
      </c>
      <c r="B906" s="5">
        <f>IF(A906="","",TEXT(A906,"aaa"))</f>
      </c>
      <c r="C906" t="inlineStr" s="5">
        <is>
          <t/>
        </is>
      </c>
      <c r="D906" t="inlineStr" s="5">
        <is>
          <t/>
        </is>
      </c>
      <c r="E906" t="inlineStr" s="7">
        <is>
          <t/>
        </is>
      </c>
      <c r="F906" t="inlineStr" s="7">
        <is>
          <t/>
        </is>
      </c>
      <c r="G906" s="8">
        <f>IF(AND(E906="",F906=""),"",F906-E906)</f>
      </c>
      <c r="H906" t="inlineStr" s="5">
        <is>
          <t/>
        </is>
      </c>
      <c r="I906" t="inlineStr" s="5">
        <is>
          <t/>
        </is>
      </c>
    </row>
    <row r="907" ht="22" customHeight="1">
      <c r="A907" t="inlineStr" s="6">
        <is>
          <t/>
        </is>
      </c>
      <c r="B907" s="5">
        <f>IF(A907="","",TEXT(A907,"aaa"))</f>
      </c>
      <c r="C907" t="inlineStr" s="5">
        <is>
          <t/>
        </is>
      </c>
      <c r="D907" t="inlineStr" s="5">
        <is>
          <t/>
        </is>
      </c>
      <c r="E907" t="inlineStr" s="7">
        <is>
          <t/>
        </is>
      </c>
      <c r="F907" t="inlineStr" s="7">
        <is>
          <t/>
        </is>
      </c>
      <c r="G907" s="8">
        <f>IF(AND(E907="",F907=""),"",F907-E907)</f>
      </c>
      <c r="H907" t="inlineStr" s="5">
        <is>
          <t/>
        </is>
      </c>
      <c r="I907" t="inlineStr" s="5">
        <is>
          <t/>
        </is>
      </c>
    </row>
    <row r="908" ht="22" customHeight="1">
      <c r="A908" t="inlineStr" s="6">
        <is>
          <t/>
        </is>
      </c>
      <c r="B908" s="5">
        <f>IF(A908="","",TEXT(A908,"aaa"))</f>
      </c>
      <c r="C908" t="inlineStr" s="5">
        <is>
          <t/>
        </is>
      </c>
      <c r="D908" t="inlineStr" s="5">
        <is>
          <t/>
        </is>
      </c>
      <c r="E908" t="inlineStr" s="7">
        <is>
          <t/>
        </is>
      </c>
      <c r="F908" t="inlineStr" s="7">
        <is>
          <t/>
        </is>
      </c>
      <c r="G908" s="8">
        <f>IF(AND(E908="",F908=""),"",F908-E908)</f>
      </c>
      <c r="H908" t="inlineStr" s="5">
        <is>
          <t/>
        </is>
      </c>
      <c r="I908" t="inlineStr" s="5">
        <is>
          <t/>
        </is>
      </c>
    </row>
    <row r="909" ht="22" customHeight="1">
      <c r="A909" t="inlineStr" s="6">
        <is>
          <t/>
        </is>
      </c>
      <c r="B909" s="5">
        <f>IF(A909="","",TEXT(A909,"aaa"))</f>
      </c>
      <c r="C909" t="inlineStr" s="5">
        <is>
          <t/>
        </is>
      </c>
      <c r="D909" t="inlineStr" s="5">
        <is>
          <t/>
        </is>
      </c>
      <c r="E909" t="inlineStr" s="7">
        <is>
          <t/>
        </is>
      </c>
      <c r="F909" t="inlineStr" s="7">
        <is>
          <t/>
        </is>
      </c>
      <c r="G909" s="8">
        <f>IF(AND(E909="",F909=""),"",F909-E909)</f>
      </c>
      <c r="H909" t="inlineStr" s="5">
        <is>
          <t/>
        </is>
      </c>
      <c r="I909" t="inlineStr" s="5">
        <is>
          <t/>
        </is>
      </c>
    </row>
    <row r="910" ht="22" customHeight="1">
      <c r="A910" t="inlineStr" s="6">
        <is>
          <t/>
        </is>
      </c>
      <c r="B910" s="5">
        <f>IF(A910="","",TEXT(A910,"aaa"))</f>
      </c>
      <c r="C910" t="inlineStr" s="5">
        <is>
          <t/>
        </is>
      </c>
      <c r="D910" t="inlineStr" s="5">
        <is>
          <t/>
        </is>
      </c>
      <c r="E910" t="inlineStr" s="7">
        <is>
          <t/>
        </is>
      </c>
      <c r="F910" t="inlineStr" s="7">
        <is>
          <t/>
        </is>
      </c>
      <c r="G910" s="8">
        <f>IF(AND(E910="",F910=""),"",F910-E910)</f>
      </c>
      <c r="H910" t="inlineStr" s="5">
        <is>
          <t/>
        </is>
      </c>
      <c r="I910" t="inlineStr" s="5">
        <is>
          <t/>
        </is>
      </c>
    </row>
    <row r="911" ht="22" customHeight="1">
      <c r="A911" t="inlineStr" s="6">
        <is>
          <t/>
        </is>
      </c>
      <c r="B911" s="5">
        <f>IF(A911="","",TEXT(A911,"aaa"))</f>
      </c>
      <c r="C911" t="inlineStr" s="5">
        <is>
          <t/>
        </is>
      </c>
      <c r="D911" t="inlineStr" s="5">
        <is>
          <t/>
        </is>
      </c>
      <c r="E911" t="inlineStr" s="7">
        <is>
          <t/>
        </is>
      </c>
      <c r="F911" t="inlineStr" s="7">
        <is>
          <t/>
        </is>
      </c>
      <c r="G911" s="8">
        <f>IF(AND(E911="",F911=""),"",F911-E911)</f>
      </c>
      <c r="H911" t="inlineStr" s="5">
        <is>
          <t/>
        </is>
      </c>
      <c r="I911" t="inlineStr" s="5">
        <is>
          <t/>
        </is>
      </c>
    </row>
    <row r="912" ht="22" customHeight="1">
      <c r="A912" t="inlineStr" s="6">
        <is>
          <t/>
        </is>
      </c>
      <c r="B912" s="5">
        <f>IF(A912="","",TEXT(A912,"aaa"))</f>
      </c>
      <c r="C912" t="inlineStr" s="5">
        <is>
          <t/>
        </is>
      </c>
      <c r="D912" t="inlineStr" s="5">
        <is>
          <t/>
        </is>
      </c>
      <c r="E912" t="inlineStr" s="7">
        <is>
          <t/>
        </is>
      </c>
      <c r="F912" t="inlineStr" s="7">
        <is>
          <t/>
        </is>
      </c>
      <c r="G912" s="8">
        <f>IF(AND(E912="",F912=""),"",F912-E912)</f>
      </c>
      <c r="H912" t="inlineStr" s="5">
        <is>
          <t/>
        </is>
      </c>
      <c r="I912" t="inlineStr" s="5">
        <is>
          <t/>
        </is>
      </c>
    </row>
    <row r="913" ht="22" customHeight="1">
      <c r="A913" t="inlineStr" s="6">
        <is>
          <t/>
        </is>
      </c>
      <c r="B913" s="5">
        <f>IF(A913="","",TEXT(A913,"aaa"))</f>
      </c>
      <c r="C913" t="inlineStr" s="5">
        <is>
          <t/>
        </is>
      </c>
      <c r="D913" t="inlineStr" s="5">
        <is>
          <t/>
        </is>
      </c>
      <c r="E913" t="inlineStr" s="7">
        <is>
          <t/>
        </is>
      </c>
      <c r="F913" t="inlineStr" s="7">
        <is>
          <t/>
        </is>
      </c>
      <c r="G913" s="8">
        <f>IF(AND(E913="",F913=""),"",F913-E913)</f>
      </c>
      <c r="H913" t="inlineStr" s="5">
        <is>
          <t/>
        </is>
      </c>
      <c r="I913" t="inlineStr" s="5">
        <is>
          <t/>
        </is>
      </c>
    </row>
    <row r="914" ht="22" customHeight="1">
      <c r="A914" t="inlineStr" s="6">
        <is>
          <t/>
        </is>
      </c>
      <c r="B914" s="5">
        <f>IF(A914="","",TEXT(A914,"aaa"))</f>
      </c>
      <c r="C914" t="inlineStr" s="5">
        <is>
          <t/>
        </is>
      </c>
      <c r="D914" t="inlineStr" s="5">
        <is>
          <t/>
        </is>
      </c>
      <c r="E914" t="inlineStr" s="7">
        <is>
          <t/>
        </is>
      </c>
      <c r="F914" t="inlineStr" s="7">
        <is>
          <t/>
        </is>
      </c>
      <c r="G914" s="8">
        <f>IF(AND(E914="",F914=""),"",F914-E914)</f>
      </c>
      <c r="H914" t="inlineStr" s="5">
        <is>
          <t/>
        </is>
      </c>
      <c r="I914" t="inlineStr" s="5">
        <is>
          <t/>
        </is>
      </c>
    </row>
    <row r="915" ht="22" customHeight="1">
      <c r="A915" t="inlineStr" s="6">
        <is>
          <t/>
        </is>
      </c>
      <c r="B915" s="5">
        <f>IF(A915="","",TEXT(A915,"aaa"))</f>
      </c>
      <c r="C915" t="inlineStr" s="5">
        <is>
          <t/>
        </is>
      </c>
      <c r="D915" t="inlineStr" s="5">
        <is>
          <t/>
        </is>
      </c>
      <c r="E915" t="inlineStr" s="7">
        <is>
          <t/>
        </is>
      </c>
      <c r="F915" t="inlineStr" s="7">
        <is>
          <t/>
        </is>
      </c>
      <c r="G915" s="8">
        <f>IF(AND(E915="",F915=""),"",F915-E915)</f>
      </c>
      <c r="H915" t="inlineStr" s="5">
        <is>
          <t/>
        </is>
      </c>
      <c r="I915" t="inlineStr" s="5">
        <is>
          <t/>
        </is>
      </c>
    </row>
    <row r="916" ht="22" customHeight="1">
      <c r="A916" t="inlineStr" s="6">
        <is>
          <t/>
        </is>
      </c>
      <c r="B916" s="5">
        <f>IF(A916="","",TEXT(A916,"aaa"))</f>
      </c>
      <c r="C916" t="inlineStr" s="5">
        <is>
          <t/>
        </is>
      </c>
      <c r="D916" t="inlineStr" s="5">
        <is>
          <t/>
        </is>
      </c>
      <c r="E916" t="inlineStr" s="7">
        <is>
          <t/>
        </is>
      </c>
      <c r="F916" t="inlineStr" s="7">
        <is>
          <t/>
        </is>
      </c>
      <c r="G916" s="8">
        <f>IF(AND(E916="",F916=""),"",F916-E916)</f>
      </c>
      <c r="H916" t="inlineStr" s="5">
        <is>
          <t/>
        </is>
      </c>
      <c r="I916" t="inlineStr" s="5">
        <is>
          <t/>
        </is>
      </c>
    </row>
    <row r="917" ht="22" customHeight="1">
      <c r="A917" t="inlineStr" s="6">
        <is>
          <t/>
        </is>
      </c>
      <c r="B917" s="5">
        <f>IF(A917="","",TEXT(A917,"aaa"))</f>
      </c>
      <c r="C917" t="inlineStr" s="5">
        <is>
          <t/>
        </is>
      </c>
      <c r="D917" t="inlineStr" s="5">
        <is>
          <t/>
        </is>
      </c>
      <c r="E917" t="inlineStr" s="7">
        <is>
          <t/>
        </is>
      </c>
      <c r="F917" t="inlineStr" s="7">
        <is>
          <t/>
        </is>
      </c>
      <c r="G917" s="8">
        <f>IF(AND(E917="",F917=""),"",F917-E917)</f>
      </c>
      <c r="H917" t="inlineStr" s="5">
        <is>
          <t/>
        </is>
      </c>
      <c r="I917" t="inlineStr" s="5">
        <is>
          <t/>
        </is>
      </c>
    </row>
    <row r="918" ht="22" customHeight="1">
      <c r="A918" t="inlineStr" s="6">
        <is>
          <t/>
        </is>
      </c>
      <c r="B918" s="5">
        <f>IF(A918="","",TEXT(A918,"aaa"))</f>
      </c>
      <c r="C918" t="inlineStr" s="5">
        <is>
          <t/>
        </is>
      </c>
      <c r="D918" t="inlineStr" s="5">
        <is>
          <t/>
        </is>
      </c>
      <c r="E918" t="inlineStr" s="7">
        <is>
          <t/>
        </is>
      </c>
      <c r="F918" t="inlineStr" s="7">
        <is>
          <t/>
        </is>
      </c>
      <c r="G918" s="8">
        <f>IF(AND(E918="",F918=""),"",F918-E918)</f>
      </c>
      <c r="H918" t="inlineStr" s="5">
        <is>
          <t/>
        </is>
      </c>
      <c r="I918" t="inlineStr" s="5">
        <is>
          <t/>
        </is>
      </c>
    </row>
    <row r="919" ht="24" customHeight="1">
      <c r="A919" t="inlineStr" s="9">
        <is>
          <t>本周小计</t>
        </is>
      </c>
      <c r="B919" t="inlineStr" s="9">
        <is>
          <t/>
        </is>
      </c>
      <c r="C919" t="inlineStr" s="9">
        <is>
          <t/>
        </is>
      </c>
      <c r="D919" t="inlineStr" s="9">
        <is>
          <t/>
        </is>
      </c>
      <c r="E919" s="9">
        <f>SUM(E904:E918)</f>
      </c>
      <c r="F919" s="9">
        <f>SUM(F904:F918)</f>
      </c>
      <c r="G919" s="9">
        <f>SUM(G904:G918)</f>
      </c>
      <c r="H919" t="inlineStr" s="9">
        <is>
          <t/>
        </is>
      </c>
      <c r="I919" t="inlineStr" s="9">
        <is>
          <t/>
        </is>
      </c>
    </row>
    <row r="920" ht="18" customHeight="1">
      <c r="A920" t="inlineStr" s="10">
        <is>
          <t/>
        </is>
      </c>
      <c r="B920" t="inlineStr" s="10">
        <is>
          <t/>
        </is>
      </c>
      <c r="C920" t="inlineStr" s="10">
        <is>
          <t/>
        </is>
      </c>
      <c r="D920" t="inlineStr" s="10">
        <is>
          <t/>
        </is>
      </c>
      <c r="E920" t="inlineStr" s="10">
        <is>
          <t/>
        </is>
      </c>
      <c r="F920" t="inlineStr" s="10">
        <is>
          <t/>
        </is>
      </c>
      <c r="G920" t="inlineStr" s="10">
        <is>
          <t/>
        </is>
      </c>
      <c r="H920" t="inlineStr" s="10">
        <is>
          <t/>
        </is>
      </c>
      <c r="I920" t="inlineStr" s="10">
        <is>
          <t/>
        </is>
      </c>
    </row>
    <row r="921" ht="18" customHeight="1">
      <c r="A921" t="inlineStr" s="10">
        <is>
          <t/>
        </is>
      </c>
      <c r="B921" t="inlineStr" s="10">
        <is>
          <t/>
        </is>
      </c>
      <c r="C921" t="inlineStr" s="10">
        <is>
          <t/>
        </is>
      </c>
      <c r="D921" t="inlineStr" s="10">
        <is>
          <t/>
        </is>
      </c>
      <c r="E921" t="inlineStr" s="10">
        <is>
          <t/>
        </is>
      </c>
      <c r="F921" t="inlineStr" s="10">
        <is>
          <t/>
        </is>
      </c>
      <c r="G921" t="inlineStr" s="10">
        <is>
          <t/>
        </is>
      </c>
      <c r="H921" t="inlineStr" s="10">
        <is>
          <t/>
        </is>
      </c>
      <c r="I921" t="inlineStr" s="10">
        <is>
          <t/>
        </is>
      </c>
    </row>
    <row r="922" ht="28" customHeight="1">
      <c r="A922" t="inlineStr" s="3">
        <is>
          <t>2027年4月｜第三周（4月19日 - 4月25日）</t>
        </is>
      </c>
      <c r="B922" t="inlineStr" s="3">
        <is>
          <t/>
        </is>
      </c>
      <c r="C922" t="inlineStr" s="3">
        <is>
          <t/>
        </is>
      </c>
      <c r="D922" t="inlineStr" s="3">
        <is>
          <t/>
        </is>
      </c>
      <c r="E922" t="inlineStr" s="3">
        <is>
          <t/>
        </is>
      </c>
      <c r="F922" t="inlineStr" s="3">
        <is>
          <t/>
        </is>
      </c>
      <c r="G922" t="inlineStr" s="3">
        <is>
          <t/>
        </is>
      </c>
      <c r="H922" t="inlineStr" s="3">
        <is>
          <t/>
        </is>
      </c>
      <c r="I922" t="inlineStr" s="3">
        <is>
          <t/>
        </is>
      </c>
    </row>
    <row r="923" ht="23" customHeight="1">
      <c r="A923" t="inlineStr" s="4">
        <is>
          <t>日期</t>
        </is>
      </c>
      <c r="B923" t="inlineStr" s="4">
        <is>
          <t>星期</t>
        </is>
      </c>
      <c r="C923" t="inlineStr" s="4">
        <is>
          <t>分类</t>
        </is>
      </c>
      <c r="D923" t="inlineStr" s="4">
        <is>
          <t>事项</t>
        </is>
      </c>
      <c r="E923" t="inlineStr" s="4">
        <is>
          <t>支出金额</t>
        </is>
      </c>
      <c r="F923" t="inlineStr" s="4">
        <is>
          <t>收入金额</t>
        </is>
      </c>
      <c r="G923" t="inlineStr" s="4">
        <is>
          <t>当笔净额</t>
        </is>
      </c>
      <c r="H923" t="inlineStr" s="4">
        <is>
          <t>支付方式</t>
        </is>
      </c>
      <c r="I923" t="inlineStr" s="4">
        <is>
          <t>备注</t>
        </is>
      </c>
    </row>
    <row r="924" ht="22" customHeight="1">
      <c r="A924" t="inlineStr" s="6">
        <is>
          <t/>
        </is>
      </c>
      <c r="B924" s="5">
        <f>IF(A924="","",TEXT(A924,"aaa"))</f>
      </c>
      <c r="C924" t="inlineStr" s="5">
        <is>
          <t/>
        </is>
      </c>
      <c r="D924" t="inlineStr" s="5">
        <is>
          <t/>
        </is>
      </c>
      <c r="E924" t="inlineStr" s="7">
        <is>
          <t/>
        </is>
      </c>
      <c r="F924" t="inlineStr" s="7">
        <is>
          <t/>
        </is>
      </c>
      <c r="G924" s="8">
        <f>IF(AND(E924="",F924=""),"",F924-E924)</f>
      </c>
      <c r="H924" t="inlineStr" s="5">
        <is>
          <t/>
        </is>
      </c>
      <c r="I924" t="inlineStr" s="5">
        <is>
          <t/>
        </is>
      </c>
    </row>
    <row r="925" ht="22" customHeight="1">
      <c r="A925" t="inlineStr" s="6">
        <is>
          <t/>
        </is>
      </c>
      <c r="B925" s="5">
        <f>IF(A925="","",TEXT(A925,"aaa"))</f>
      </c>
      <c r="C925" t="inlineStr" s="5">
        <is>
          <t/>
        </is>
      </c>
      <c r="D925" t="inlineStr" s="5">
        <is>
          <t/>
        </is>
      </c>
      <c r="E925" t="inlineStr" s="7">
        <is>
          <t/>
        </is>
      </c>
      <c r="F925" t="inlineStr" s="7">
        <is>
          <t/>
        </is>
      </c>
      <c r="G925" s="8">
        <f>IF(AND(E925="",F925=""),"",F925-E925)</f>
      </c>
      <c r="H925" t="inlineStr" s="5">
        <is>
          <t/>
        </is>
      </c>
      <c r="I925" t="inlineStr" s="5">
        <is>
          <t/>
        </is>
      </c>
    </row>
    <row r="926" ht="22" customHeight="1">
      <c r="A926" t="inlineStr" s="6">
        <is>
          <t/>
        </is>
      </c>
      <c r="B926" s="5">
        <f>IF(A926="","",TEXT(A926,"aaa"))</f>
      </c>
      <c r="C926" t="inlineStr" s="5">
        <is>
          <t/>
        </is>
      </c>
      <c r="D926" t="inlineStr" s="5">
        <is>
          <t/>
        </is>
      </c>
      <c r="E926" t="inlineStr" s="7">
        <is>
          <t/>
        </is>
      </c>
      <c r="F926" t="inlineStr" s="7">
        <is>
          <t/>
        </is>
      </c>
      <c r="G926" s="8">
        <f>IF(AND(E926="",F926=""),"",F926-E926)</f>
      </c>
      <c r="H926" t="inlineStr" s="5">
        <is>
          <t/>
        </is>
      </c>
      <c r="I926" t="inlineStr" s="5">
        <is>
          <t/>
        </is>
      </c>
    </row>
    <row r="927" ht="22" customHeight="1">
      <c r="A927" t="inlineStr" s="6">
        <is>
          <t/>
        </is>
      </c>
      <c r="B927" s="5">
        <f>IF(A927="","",TEXT(A927,"aaa"))</f>
      </c>
      <c r="C927" t="inlineStr" s="5">
        <is>
          <t/>
        </is>
      </c>
      <c r="D927" t="inlineStr" s="5">
        <is>
          <t/>
        </is>
      </c>
      <c r="E927" t="inlineStr" s="7">
        <is>
          <t/>
        </is>
      </c>
      <c r="F927" t="inlineStr" s="7">
        <is>
          <t/>
        </is>
      </c>
      <c r="G927" s="8">
        <f>IF(AND(E927="",F927=""),"",F927-E927)</f>
      </c>
      <c r="H927" t="inlineStr" s="5">
        <is>
          <t/>
        </is>
      </c>
      <c r="I927" t="inlineStr" s="5">
        <is>
          <t/>
        </is>
      </c>
    </row>
    <row r="928" ht="22" customHeight="1">
      <c r="A928" t="inlineStr" s="6">
        <is>
          <t/>
        </is>
      </c>
      <c r="B928" s="5">
        <f>IF(A928="","",TEXT(A928,"aaa"))</f>
      </c>
      <c r="C928" t="inlineStr" s="5">
        <is>
          <t/>
        </is>
      </c>
      <c r="D928" t="inlineStr" s="5">
        <is>
          <t/>
        </is>
      </c>
      <c r="E928" t="inlineStr" s="7">
        <is>
          <t/>
        </is>
      </c>
      <c r="F928" t="inlineStr" s="7">
        <is>
          <t/>
        </is>
      </c>
      <c r="G928" s="8">
        <f>IF(AND(E928="",F928=""),"",F928-E928)</f>
      </c>
      <c r="H928" t="inlineStr" s="5">
        <is>
          <t/>
        </is>
      </c>
      <c r="I928" t="inlineStr" s="5">
        <is>
          <t/>
        </is>
      </c>
    </row>
    <row r="929" ht="22" customHeight="1">
      <c r="A929" t="inlineStr" s="6">
        <is>
          <t/>
        </is>
      </c>
      <c r="B929" s="5">
        <f>IF(A929="","",TEXT(A929,"aaa"))</f>
      </c>
      <c r="C929" t="inlineStr" s="5">
        <is>
          <t/>
        </is>
      </c>
      <c r="D929" t="inlineStr" s="5">
        <is>
          <t/>
        </is>
      </c>
      <c r="E929" t="inlineStr" s="7">
        <is>
          <t/>
        </is>
      </c>
      <c r="F929" t="inlineStr" s="7">
        <is>
          <t/>
        </is>
      </c>
      <c r="G929" s="8">
        <f>IF(AND(E929="",F929=""),"",F929-E929)</f>
      </c>
      <c r="H929" t="inlineStr" s="5">
        <is>
          <t/>
        </is>
      </c>
      <c r="I929" t="inlineStr" s="5">
        <is>
          <t/>
        </is>
      </c>
    </row>
    <row r="930" ht="22" customHeight="1">
      <c r="A930" t="inlineStr" s="6">
        <is>
          <t/>
        </is>
      </c>
      <c r="B930" s="5">
        <f>IF(A930="","",TEXT(A930,"aaa"))</f>
      </c>
      <c r="C930" t="inlineStr" s="5">
        <is>
          <t/>
        </is>
      </c>
      <c r="D930" t="inlineStr" s="5">
        <is>
          <t/>
        </is>
      </c>
      <c r="E930" t="inlineStr" s="7">
        <is>
          <t/>
        </is>
      </c>
      <c r="F930" t="inlineStr" s="7">
        <is>
          <t/>
        </is>
      </c>
      <c r="G930" s="8">
        <f>IF(AND(E930="",F930=""),"",F930-E930)</f>
      </c>
      <c r="H930" t="inlineStr" s="5">
        <is>
          <t/>
        </is>
      </c>
      <c r="I930" t="inlineStr" s="5">
        <is>
          <t/>
        </is>
      </c>
    </row>
    <row r="931" ht="22" customHeight="1">
      <c r="A931" t="inlineStr" s="6">
        <is>
          <t/>
        </is>
      </c>
      <c r="B931" s="5">
        <f>IF(A931="","",TEXT(A931,"aaa"))</f>
      </c>
      <c r="C931" t="inlineStr" s="5">
        <is>
          <t/>
        </is>
      </c>
      <c r="D931" t="inlineStr" s="5">
        <is>
          <t/>
        </is>
      </c>
      <c r="E931" t="inlineStr" s="7">
        <is>
          <t/>
        </is>
      </c>
      <c r="F931" t="inlineStr" s="7">
        <is>
          <t/>
        </is>
      </c>
      <c r="G931" s="8">
        <f>IF(AND(E931="",F931=""),"",F931-E931)</f>
      </c>
      <c r="H931" t="inlineStr" s="5">
        <is>
          <t/>
        </is>
      </c>
      <c r="I931" t="inlineStr" s="5">
        <is>
          <t/>
        </is>
      </c>
    </row>
    <row r="932" ht="22" customHeight="1">
      <c r="A932" t="inlineStr" s="6">
        <is>
          <t/>
        </is>
      </c>
      <c r="B932" s="5">
        <f>IF(A932="","",TEXT(A932,"aaa"))</f>
      </c>
      <c r="C932" t="inlineStr" s="5">
        <is>
          <t/>
        </is>
      </c>
      <c r="D932" t="inlineStr" s="5">
        <is>
          <t/>
        </is>
      </c>
      <c r="E932" t="inlineStr" s="7">
        <is>
          <t/>
        </is>
      </c>
      <c r="F932" t="inlineStr" s="7">
        <is>
          <t/>
        </is>
      </c>
      <c r="G932" s="8">
        <f>IF(AND(E932="",F932=""),"",F932-E932)</f>
      </c>
      <c r="H932" t="inlineStr" s="5">
        <is>
          <t/>
        </is>
      </c>
      <c r="I932" t="inlineStr" s="5">
        <is>
          <t/>
        </is>
      </c>
    </row>
    <row r="933" ht="22" customHeight="1">
      <c r="A933" t="inlineStr" s="6">
        <is>
          <t/>
        </is>
      </c>
      <c r="B933" s="5">
        <f>IF(A933="","",TEXT(A933,"aaa"))</f>
      </c>
      <c r="C933" t="inlineStr" s="5">
        <is>
          <t/>
        </is>
      </c>
      <c r="D933" t="inlineStr" s="5">
        <is>
          <t/>
        </is>
      </c>
      <c r="E933" t="inlineStr" s="7">
        <is>
          <t/>
        </is>
      </c>
      <c r="F933" t="inlineStr" s="7">
        <is>
          <t/>
        </is>
      </c>
      <c r="G933" s="8">
        <f>IF(AND(E933="",F933=""),"",F933-E933)</f>
      </c>
      <c r="H933" t="inlineStr" s="5">
        <is>
          <t/>
        </is>
      </c>
      <c r="I933" t="inlineStr" s="5">
        <is>
          <t/>
        </is>
      </c>
    </row>
    <row r="934" ht="22" customHeight="1">
      <c r="A934" t="inlineStr" s="6">
        <is>
          <t/>
        </is>
      </c>
      <c r="B934" s="5">
        <f>IF(A934="","",TEXT(A934,"aaa"))</f>
      </c>
      <c r="C934" t="inlineStr" s="5">
        <is>
          <t/>
        </is>
      </c>
      <c r="D934" t="inlineStr" s="5">
        <is>
          <t/>
        </is>
      </c>
      <c r="E934" t="inlineStr" s="7">
        <is>
          <t/>
        </is>
      </c>
      <c r="F934" t="inlineStr" s="7">
        <is>
          <t/>
        </is>
      </c>
      <c r="G934" s="8">
        <f>IF(AND(E934="",F934=""),"",F934-E934)</f>
      </c>
      <c r="H934" t="inlineStr" s="5">
        <is>
          <t/>
        </is>
      </c>
      <c r="I934" t="inlineStr" s="5">
        <is>
          <t/>
        </is>
      </c>
    </row>
    <row r="935" ht="22" customHeight="1">
      <c r="A935" t="inlineStr" s="6">
        <is>
          <t/>
        </is>
      </c>
      <c r="B935" s="5">
        <f>IF(A935="","",TEXT(A935,"aaa"))</f>
      </c>
      <c r="C935" t="inlineStr" s="5">
        <is>
          <t/>
        </is>
      </c>
      <c r="D935" t="inlineStr" s="5">
        <is>
          <t/>
        </is>
      </c>
      <c r="E935" t="inlineStr" s="7">
        <is>
          <t/>
        </is>
      </c>
      <c r="F935" t="inlineStr" s="7">
        <is>
          <t/>
        </is>
      </c>
      <c r="G935" s="8">
        <f>IF(AND(E935="",F935=""),"",F935-E935)</f>
      </c>
      <c r="H935" t="inlineStr" s="5">
        <is>
          <t/>
        </is>
      </c>
      <c r="I935" t="inlineStr" s="5">
        <is>
          <t/>
        </is>
      </c>
    </row>
    <row r="936" ht="22" customHeight="1">
      <c r="A936" t="inlineStr" s="6">
        <is>
          <t/>
        </is>
      </c>
      <c r="B936" s="5">
        <f>IF(A936="","",TEXT(A936,"aaa"))</f>
      </c>
      <c r="C936" t="inlineStr" s="5">
        <is>
          <t/>
        </is>
      </c>
      <c r="D936" t="inlineStr" s="5">
        <is>
          <t/>
        </is>
      </c>
      <c r="E936" t="inlineStr" s="7">
        <is>
          <t/>
        </is>
      </c>
      <c r="F936" t="inlineStr" s="7">
        <is>
          <t/>
        </is>
      </c>
      <c r="G936" s="8">
        <f>IF(AND(E936="",F936=""),"",F936-E936)</f>
      </c>
      <c r="H936" t="inlineStr" s="5">
        <is>
          <t/>
        </is>
      </c>
      <c r="I936" t="inlineStr" s="5">
        <is>
          <t/>
        </is>
      </c>
    </row>
    <row r="937" ht="22" customHeight="1">
      <c r="A937" t="inlineStr" s="6">
        <is>
          <t/>
        </is>
      </c>
      <c r="B937" s="5">
        <f>IF(A937="","",TEXT(A937,"aaa"))</f>
      </c>
      <c r="C937" t="inlineStr" s="5">
        <is>
          <t/>
        </is>
      </c>
      <c r="D937" t="inlineStr" s="5">
        <is>
          <t/>
        </is>
      </c>
      <c r="E937" t="inlineStr" s="7">
        <is>
          <t/>
        </is>
      </c>
      <c r="F937" t="inlineStr" s="7">
        <is>
          <t/>
        </is>
      </c>
      <c r="G937" s="8">
        <f>IF(AND(E937="",F937=""),"",F937-E937)</f>
      </c>
      <c r="H937" t="inlineStr" s="5">
        <is>
          <t/>
        </is>
      </c>
      <c r="I937" t="inlineStr" s="5">
        <is>
          <t/>
        </is>
      </c>
    </row>
    <row r="938" ht="22" customHeight="1">
      <c r="A938" t="inlineStr" s="6">
        <is>
          <t/>
        </is>
      </c>
      <c r="B938" s="5">
        <f>IF(A938="","",TEXT(A938,"aaa"))</f>
      </c>
      <c r="C938" t="inlineStr" s="5">
        <is>
          <t/>
        </is>
      </c>
      <c r="D938" t="inlineStr" s="5">
        <is>
          <t/>
        </is>
      </c>
      <c r="E938" t="inlineStr" s="7">
        <is>
          <t/>
        </is>
      </c>
      <c r="F938" t="inlineStr" s="7">
        <is>
          <t/>
        </is>
      </c>
      <c r="G938" s="8">
        <f>IF(AND(E938="",F938=""),"",F938-E938)</f>
      </c>
      <c r="H938" t="inlineStr" s="5">
        <is>
          <t/>
        </is>
      </c>
      <c r="I938" t="inlineStr" s="5">
        <is>
          <t/>
        </is>
      </c>
    </row>
    <row r="939" ht="24" customHeight="1">
      <c r="A939" t="inlineStr" s="9">
        <is>
          <t>本周小计</t>
        </is>
      </c>
      <c r="B939" t="inlineStr" s="9">
        <is>
          <t/>
        </is>
      </c>
      <c r="C939" t="inlineStr" s="9">
        <is>
          <t/>
        </is>
      </c>
      <c r="D939" t="inlineStr" s="9">
        <is>
          <t/>
        </is>
      </c>
      <c r="E939" s="9">
        <f>SUM(E924:E938)</f>
      </c>
      <c r="F939" s="9">
        <f>SUM(F924:F938)</f>
      </c>
      <c r="G939" s="9">
        <f>SUM(G924:G938)</f>
      </c>
      <c r="H939" t="inlineStr" s="9">
        <is>
          <t/>
        </is>
      </c>
      <c r="I939" t="inlineStr" s="9">
        <is>
          <t/>
        </is>
      </c>
    </row>
    <row r="940" ht="18" customHeight="1">
      <c r="A940" t="inlineStr" s="10">
        <is>
          <t/>
        </is>
      </c>
      <c r="B940" t="inlineStr" s="10">
        <is>
          <t/>
        </is>
      </c>
      <c r="C940" t="inlineStr" s="10">
        <is>
          <t/>
        </is>
      </c>
      <c r="D940" t="inlineStr" s="10">
        <is>
          <t/>
        </is>
      </c>
      <c r="E940" t="inlineStr" s="10">
        <is>
          <t/>
        </is>
      </c>
      <c r="F940" t="inlineStr" s="10">
        <is>
          <t/>
        </is>
      </c>
      <c r="G940" t="inlineStr" s="10">
        <is>
          <t/>
        </is>
      </c>
      <c r="H940" t="inlineStr" s="10">
        <is>
          <t/>
        </is>
      </c>
      <c r="I940" t="inlineStr" s="10">
        <is>
          <t/>
        </is>
      </c>
    </row>
    <row r="941" ht="18" customHeight="1">
      <c r="A941" t="inlineStr" s="10">
        <is>
          <t/>
        </is>
      </c>
      <c r="B941" t="inlineStr" s="10">
        <is>
          <t/>
        </is>
      </c>
      <c r="C941" t="inlineStr" s="10">
        <is>
          <t/>
        </is>
      </c>
      <c r="D941" t="inlineStr" s="10">
        <is>
          <t/>
        </is>
      </c>
      <c r="E941" t="inlineStr" s="10">
        <is>
          <t/>
        </is>
      </c>
      <c r="F941" t="inlineStr" s="10">
        <is>
          <t/>
        </is>
      </c>
      <c r="G941" t="inlineStr" s="10">
        <is>
          <t/>
        </is>
      </c>
      <c r="H941" t="inlineStr" s="10">
        <is>
          <t/>
        </is>
      </c>
      <c r="I941" t="inlineStr" s="10">
        <is>
          <t/>
        </is>
      </c>
    </row>
    <row r="942" ht="28" customHeight="1">
      <c r="A942" t="inlineStr" s="3">
        <is>
          <t>2027年4月-5月｜第四周（4月26日 - 5月2日）</t>
        </is>
      </c>
      <c r="B942" t="inlineStr" s="3">
        <is>
          <t/>
        </is>
      </c>
      <c r="C942" t="inlineStr" s="3">
        <is>
          <t/>
        </is>
      </c>
      <c r="D942" t="inlineStr" s="3">
        <is>
          <t/>
        </is>
      </c>
      <c r="E942" t="inlineStr" s="3">
        <is>
          <t/>
        </is>
      </c>
      <c r="F942" t="inlineStr" s="3">
        <is>
          <t/>
        </is>
      </c>
      <c r="G942" t="inlineStr" s="3">
        <is>
          <t/>
        </is>
      </c>
      <c r="H942" t="inlineStr" s="3">
        <is>
          <t/>
        </is>
      </c>
      <c r="I942" t="inlineStr" s="3">
        <is>
          <t/>
        </is>
      </c>
    </row>
    <row r="943" ht="23" customHeight="1">
      <c r="A943" t="inlineStr" s="4">
        <is>
          <t>日期</t>
        </is>
      </c>
      <c r="B943" t="inlineStr" s="4">
        <is>
          <t>星期</t>
        </is>
      </c>
      <c r="C943" t="inlineStr" s="4">
        <is>
          <t>分类</t>
        </is>
      </c>
      <c r="D943" t="inlineStr" s="4">
        <is>
          <t>事项</t>
        </is>
      </c>
      <c r="E943" t="inlineStr" s="4">
        <is>
          <t>支出金额</t>
        </is>
      </c>
      <c r="F943" t="inlineStr" s="4">
        <is>
          <t>收入金额</t>
        </is>
      </c>
      <c r="G943" t="inlineStr" s="4">
        <is>
          <t>当笔净额</t>
        </is>
      </c>
      <c r="H943" t="inlineStr" s="4">
        <is>
          <t>支付方式</t>
        </is>
      </c>
      <c r="I943" t="inlineStr" s="4">
        <is>
          <t>备注</t>
        </is>
      </c>
    </row>
    <row r="944" ht="22" customHeight="1">
      <c r="A944" t="inlineStr" s="6">
        <is>
          <t/>
        </is>
      </c>
      <c r="B944" s="5">
        <f>IF(A944="","",TEXT(A944,"aaa"))</f>
      </c>
      <c r="C944" t="inlineStr" s="5">
        <is>
          <t/>
        </is>
      </c>
      <c r="D944" t="inlineStr" s="5">
        <is>
          <t/>
        </is>
      </c>
      <c r="E944" t="inlineStr" s="7">
        <is>
          <t/>
        </is>
      </c>
      <c r="F944" t="inlineStr" s="7">
        <is>
          <t/>
        </is>
      </c>
      <c r="G944" s="8">
        <f>IF(AND(E944="",F944=""),"",F944-E944)</f>
      </c>
      <c r="H944" t="inlineStr" s="5">
        <is>
          <t/>
        </is>
      </c>
      <c r="I944" t="inlineStr" s="5">
        <is>
          <t/>
        </is>
      </c>
    </row>
    <row r="945" ht="22" customHeight="1">
      <c r="A945" t="inlineStr" s="6">
        <is>
          <t/>
        </is>
      </c>
      <c r="B945" s="5">
        <f>IF(A945="","",TEXT(A945,"aaa"))</f>
      </c>
      <c r="C945" t="inlineStr" s="5">
        <is>
          <t/>
        </is>
      </c>
      <c r="D945" t="inlineStr" s="5">
        <is>
          <t/>
        </is>
      </c>
      <c r="E945" t="inlineStr" s="7">
        <is>
          <t/>
        </is>
      </c>
      <c r="F945" t="inlineStr" s="7">
        <is>
          <t/>
        </is>
      </c>
      <c r="G945" s="8">
        <f>IF(AND(E945="",F945=""),"",F945-E945)</f>
      </c>
      <c r="H945" t="inlineStr" s="5">
        <is>
          <t/>
        </is>
      </c>
      <c r="I945" t="inlineStr" s="5">
        <is>
          <t/>
        </is>
      </c>
    </row>
    <row r="946" ht="22" customHeight="1">
      <c r="A946" t="inlineStr" s="6">
        <is>
          <t/>
        </is>
      </c>
      <c r="B946" s="5">
        <f>IF(A946="","",TEXT(A946,"aaa"))</f>
      </c>
      <c r="C946" t="inlineStr" s="5">
        <is>
          <t/>
        </is>
      </c>
      <c r="D946" t="inlineStr" s="5">
        <is>
          <t/>
        </is>
      </c>
      <c r="E946" t="inlineStr" s="7">
        <is>
          <t/>
        </is>
      </c>
      <c r="F946" t="inlineStr" s="7">
        <is>
          <t/>
        </is>
      </c>
      <c r="G946" s="8">
        <f>IF(AND(E946="",F946=""),"",F946-E946)</f>
      </c>
      <c r="H946" t="inlineStr" s="5">
        <is>
          <t/>
        </is>
      </c>
      <c r="I946" t="inlineStr" s="5">
        <is>
          <t/>
        </is>
      </c>
    </row>
    <row r="947" ht="22" customHeight="1">
      <c r="A947" t="inlineStr" s="6">
        <is>
          <t/>
        </is>
      </c>
      <c r="B947" s="5">
        <f>IF(A947="","",TEXT(A947,"aaa"))</f>
      </c>
      <c r="C947" t="inlineStr" s="5">
        <is>
          <t/>
        </is>
      </c>
      <c r="D947" t="inlineStr" s="5">
        <is>
          <t/>
        </is>
      </c>
      <c r="E947" t="inlineStr" s="7">
        <is>
          <t/>
        </is>
      </c>
      <c r="F947" t="inlineStr" s="7">
        <is>
          <t/>
        </is>
      </c>
      <c r="G947" s="8">
        <f>IF(AND(E947="",F947=""),"",F947-E947)</f>
      </c>
      <c r="H947" t="inlineStr" s="5">
        <is>
          <t/>
        </is>
      </c>
      <c r="I947" t="inlineStr" s="5">
        <is>
          <t/>
        </is>
      </c>
    </row>
    <row r="948" ht="22" customHeight="1">
      <c r="A948" t="inlineStr" s="6">
        <is>
          <t/>
        </is>
      </c>
      <c r="B948" s="5">
        <f>IF(A948="","",TEXT(A948,"aaa"))</f>
      </c>
      <c r="C948" t="inlineStr" s="5">
        <is>
          <t/>
        </is>
      </c>
      <c r="D948" t="inlineStr" s="5">
        <is>
          <t/>
        </is>
      </c>
      <c r="E948" t="inlineStr" s="7">
        <is>
          <t/>
        </is>
      </c>
      <c r="F948" t="inlineStr" s="7">
        <is>
          <t/>
        </is>
      </c>
      <c r="G948" s="8">
        <f>IF(AND(E948="",F948=""),"",F948-E948)</f>
      </c>
      <c r="H948" t="inlineStr" s="5">
        <is>
          <t/>
        </is>
      </c>
      <c r="I948" t="inlineStr" s="5">
        <is>
          <t/>
        </is>
      </c>
    </row>
    <row r="949" ht="22" customHeight="1">
      <c r="A949" t="inlineStr" s="6">
        <is>
          <t/>
        </is>
      </c>
      <c r="B949" s="5">
        <f>IF(A949="","",TEXT(A949,"aaa"))</f>
      </c>
      <c r="C949" t="inlineStr" s="5">
        <is>
          <t/>
        </is>
      </c>
      <c r="D949" t="inlineStr" s="5">
        <is>
          <t/>
        </is>
      </c>
      <c r="E949" t="inlineStr" s="7">
        <is>
          <t/>
        </is>
      </c>
      <c r="F949" t="inlineStr" s="7">
        <is>
          <t/>
        </is>
      </c>
      <c r="G949" s="8">
        <f>IF(AND(E949="",F949=""),"",F949-E949)</f>
      </c>
      <c r="H949" t="inlineStr" s="5">
        <is>
          <t/>
        </is>
      </c>
      <c r="I949" t="inlineStr" s="5">
        <is>
          <t/>
        </is>
      </c>
    </row>
    <row r="950" ht="22" customHeight="1">
      <c r="A950" t="inlineStr" s="6">
        <is>
          <t/>
        </is>
      </c>
      <c r="B950" s="5">
        <f>IF(A950="","",TEXT(A950,"aaa"))</f>
      </c>
      <c r="C950" t="inlineStr" s="5">
        <is>
          <t/>
        </is>
      </c>
      <c r="D950" t="inlineStr" s="5">
        <is>
          <t/>
        </is>
      </c>
      <c r="E950" t="inlineStr" s="7">
        <is>
          <t/>
        </is>
      </c>
      <c r="F950" t="inlineStr" s="7">
        <is>
          <t/>
        </is>
      </c>
      <c r="G950" s="8">
        <f>IF(AND(E950="",F950=""),"",F950-E950)</f>
      </c>
      <c r="H950" t="inlineStr" s="5">
        <is>
          <t/>
        </is>
      </c>
      <c r="I950" t="inlineStr" s="5">
        <is>
          <t/>
        </is>
      </c>
    </row>
    <row r="951" ht="22" customHeight="1">
      <c r="A951" t="inlineStr" s="6">
        <is>
          <t/>
        </is>
      </c>
      <c r="B951" s="5">
        <f>IF(A951="","",TEXT(A951,"aaa"))</f>
      </c>
      <c r="C951" t="inlineStr" s="5">
        <is>
          <t/>
        </is>
      </c>
      <c r="D951" t="inlineStr" s="5">
        <is>
          <t/>
        </is>
      </c>
      <c r="E951" t="inlineStr" s="7">
        <is>
          <t/>
        </is>
      </c>
      <c r="F951" t="inlineStr" s="7">
        <is>
          <t/>
        </is>
      </c>
      <c r="G951" s="8">
        <f>IF(AND(E951="",F951=""),"",F951-E951)</f>
      </c>
      <c r="H951" t="inlineStr" s="5">
        <is>
          <t/>
        </is>
      </c>
      <c r="I951" t="inlineStr" s="5">
        <is>
          <t/>
        </is>
      </c>
    </row>
    <row r="952" ht="22" customHeight="1">
      <c r="A952" t="inlineStr" s="6">
        <is>
          <t/>
        </is>
      </c>
      <c r="B952" s="5">
        <f>IF(A952="","",TEXT(A952,"aaa"))</f>
      </c>
      <c r="C952" t="inlineStr" s="5">
        <is>
          <t/>
        </is>
      </c>
      <c r="D952" t="inlineStr" s="5">
        <is>
          <t/>
        </is>
      </c>
      <c r="E952" t="inlineStr" s="7">
        <is>
          <t/>
        </is>
      </c>
      <c r="F952" t="inlineStr" s="7">
        <is>
          <t/>
        </is>
      </c>
      <c r="G952" s="8">
        <f>IF(AND(E952="",F952=""),"",F952-E952)</f>
      </c>
      <c r="H952" t="inlineStr" s="5">
        <is>
          <t/>
        </is>
      </c>
      <c r="I952" t="inlineStr" s="5">
        <is>
          <t/>
        </is>
      </c>
    </row>
    <row r="953" ht="22" customHeight="1">
      <c r="A953" t="inlineStr" s="6">
        <is>
          <t/>
        </is>
      </c>
      <c r="B953" s="5">
        <f>IF(A953="","",TEXT(A953,"aaa"))</f>
      </c>
      <c r="C953" t="inlineStr" s="5">
        <is>
          <t/>
        </is>
      </c>
      <c r="D953" t="inlineStr" s="5">
        <is>
          <t/>
        </is>
      </c>
      <c r="E953" t="inlineStr" s="7">
        <is>
          <t/>
        </is>
      </c>
      <c r="F953" t="inlineStr" s="7">
        <is>
          <t/>
        </is>
      </c>
      <c r="G953" s="8">
        <f>IF(AND(E953="",F953=""),"",F953-E953)</f>
      </c>
      <c r="H953" t="inlineStr" s="5">
        <is>
          <t/>
        </is>
      </c>
      <c r="I953" t="inlineStr" s="5">
        <is>
          <t/>
        </is>
      </c>
    </row>
    <row r="954" ht="22" customHeight="1">
      <c r="A954" t="inlineStr" s="6">
        <is>
          <t/>
        </is>
      </c>
      <c r="B954" s="5">
        <f>IF(A954="","",TEXT(A954,"aaa"))</f>
      </c>
      <c r="C954" t="inlineStr" s="5">
        <is>
          <t/>
        </is>
      </c>
      <c r="D954" t="inlineStr" s="5">
        <is>
          <t/>
        </is>
      </c>
      <c r="E954" t="inlineStr" s="7">
        <is>
          <t/>
        </is>
      </c>
      <c r="F954" t="inlineStr" s="7">
        <is>
          <t/>
        </is>
      </c>
      <c r="G954" s="8">
        <f>IF(AND(E954="",F954=""),"",F954-E954)</f>
      </c>
      <c r="H954" t="inlineStr" s="5">
        <is>
          <t/>
        </is>
      </c>
      <c r="I954" t="inlineStr" s="5">
        <is>
          <t/>
        </is>
      </c>
    </row>
    <row r="955" ht="22" customHeight="1">
      <c r="A955" t="inlineStr" s="6">
        <is>
          <t/>
        </is>
      </c>
      <c r="B955" s="5">
        <f>IF(A955="","",TEXT(A955,"aaa"))</f>
      </c>
      <c r="C955" t="inlineStr" s="5">
        <is>
          <t/>
        </is>
      </c>
      <c r="D955" t="inlineStr" s="5">
        <is>
          <t/>
        </is>
      </c>
      <c r="E955" t="inlineStr" s="7">
        <is>
          <t/>
        </is>
      </c>
      <c r="F955" t="inlineStr" s="7">
        <is>
          <t/>
        </is>
      </c>
      <c r="G955" s="8">
        <f>IF(AND(E955="",F955=""),"",F955-E955)</f>
      </c>
      <c r="H955" t="inlineStr" s="5">
        <is>
          <t/>
        </is>
      </c>
      <c r="I955" t="inlineStr" s="5">
        <is>
          <t/>
        </is>
      </c>
    </row>
    <row r="956" ht="22" customHeight="1">
      <c r="A956" t="inlineStr" s="6">
        <is>
          <t/>
        </is>
      </c>
      <c r="B956" s="5">
        <f>IF(A956="","",TEXT(A956,"aaa"))</f>
      </c>
      <c r="C956" t="inlineStr" s="5">
        <is>
          <t/>
        </is>
      </c>
      <c r="D956" t="inlineStr" s="5">
        <is>
          <t/>
        </is>
      </c>
      <c r="E956" t="inlineStr" s="7">
        <is>
          <t/>
        </is>
      </c>
      <c r="F956" t="inlineStr" s="7">
        <is>
          <t/>
        </is>
      </c>
      <c r="G956" s="8">
        <f>IF(AND(E956="",F956=""),"",F956-E956)</f>
      </c>
      <c r="H956" t="inlineStr" s="5">
        <is>
          <t/>
        </is>
      </c>
      <c r="I956" t="inlineStr" s="5">
        <is>
          <t/>
        </is>
      </c>
    </row>
    <row r="957" ht="22" customHeight="1">
      <c r="A957" t="inlineStr" s="6">
        <is>
          <t/>
        </is>
      </c>
      <c r="B957" s="5">
        <f>IF(A957="","",TEXT(A957,"aaa"))</f>
      </c>
      <c r="C957" t="inlineStr" s="5">
        <is>
          <t/>
        </is>
      </c>
      <c r="D957" t="inlineStr" s="5">
        <is>
          <t/>
        </is>
      </c>
      <c r="E957" t="inlineStr" s="7">
        <is>
          <t/>
        </is>
      </c>
      <c r="F957" t="inlineStr" s="7">
        <is>
          <t/>
        </is>
      </c>
      <c r="G957" s="8">
        <f>IF(AND(E957="",F957=""),"",F957-E957)</f>
      </c>
      <c r="H957" t="inlineStr" s="5">
        <is>
          <t/>
        </is>
      </c>
      <c r="I957" t="inlineStr" s="5">
        <is>
          <t/>
        </is>
      </c>
    </row>
    <row r="958" ht="22" customHeight="1">
      <c r="A958" t="inlineStr" s="6">
        <is>
          <t/>
        </is>
      </c>
      <c r="B958" s="5">
        <f>IF(A958="","",TEXT(A958,"aaa"))</f>
      </c>
      <c r="C958" t="inlineStr" s="5">
        <is>
          <t/>
        </is>
      </c>
      <c r="D958" t="inlineStr" s="5">
        <is>
          <t/>
        </is>
      </c>
      <c r="E958" t="inlineStr" s="7">
        <is>
          <t/>
        </is>
      </c>
      <c r="F958" t="inlineStr" s="7">
        <is>
          <t/>
        </is>
      </c>
      <c r="G958" s="8">
        <f>IF(AND(E958="",F958=""),"",F958-E958)</f>
      </c>
      <c r="H958" t="inlineStr" s="5">
        <is>
          <t/>
        </is>
      </c>
      <c r="I958" t="inlineStr" s="5">
        <is>
          <t/>
        </is>
      </c>
    </row>
    <row r="959" ht="24" customHeight="1">
      <c r="A959" t="inlineStr" s="9">
        <is>
          <t>本周小计</t>
        </is>
      </c>
      <c r="B959" t="inlineStr" s="9">
        <is>
          <t/>
        </is>
      </c>
      <c r="C959" t="inlineStr" s="9">
        <is>
          <t/>
        </is>
      </c>
      <c r="D959" t="inlineStr" s="9">
        <is>
          <t/>
        </is>
      </c>
      <c r="E959" s="9">
        <f>SUM(E944:E958)</f>
      </c>
      <c r="F959" s="9">
        <f>SUM(F944:F958)</f>
      </c>
      <c r="G959" s="9">
        <f>SUM(G944:G958)</f>
      </c>
      <c r="H959" t="inlineStr" s="9">
        <is>
          <t/>
        </is>
      </c>
      <c r="I959" t="inlineStr" s="9">
        <is>
          <t/>
        </is>
      </c>
    </row>
    <row r="960" ht="18" customHeight="1">
      <c r="A960" t="inlineStr" s="10">
        <is>
          <t/>
        </is>
      </c>
      <c r="B960" t="inlineStr" s="10">
        <is>
          <t/>
        </is>
      </c>
      <c r="C960" t="inlineStr" s="10">
        <is>
          <t/>
        </is>
      </c>
      <c r="D960" t="inlineStr" s="10">
        <is>
          <t/>
        </is>
      </c>
      <c r="E960" t="inlineStr" s="10">
        <is>
          <t/>
        </is>
      </c>
      <c r="F960" t="inlineStr" s="10">
        <is>
          <t/>
        </is>
      </c>
      <c r="G960" t="inlineStr" s="10">
        <is>
          <t/>
        </is>
      </c>
      <c r="H960" t="inlineStr" s="10">
        <is>
          <t/>
        </is>
      </c>
      <c r="I960" t="inlineStr" s="10">
        <is>
          <t/>
        </is>
      </c>
    </row>
    <row r="961" ht="18" customHeight="1">
      <c r="A961" t="inlineStr" s="10">
        <is>
          <t/>
        </is>
      </c>
      <c r="B961" t="inlineStr" s="10">
        <is>
          <t/>
        </is>
      </c>
      <c r="C961" t="inlineStr" s="10">
        <is>
          <t/>
        </is>
      </c>
      <c r="D961" t="inlineStr" s="10">
        <is>
          <t/>
        </is>
      </c>
      <c r="E961" t="inlineStr" s="10">
        <is>
          <t/>
        </is>
      </c>
      <c r="F961" t="inlineStr" s="10">
        <is>
          <t/>
        </is>
      </c>
      <c r="G961" t="inlineStr" s="10">
        <is>
          <t/>
        </is>
      </c>
      <c r="H961" t="inlineStr" s="10">
        <is>
          <t/>
        </is>
      </c>
      <c r="I961" t="inlineStr" s="10">
        <is>
          <t/>
        </is>
      </c>
    </row>
    <row r="962" ht="28" customHeight="1">
      <c r="A962" t="inlineStr" s="3">
        <is>
          <t>2027年5月｜第一周（5月3日 - 5月9日）</t>
        </is>
      </c>
      <c r="B962" t="inlineStr" s="3">
        <is>
          <t/>
        </is>
      </c>
      <c r="C962" t="inlineStr" s="3">
        <is>
          <t/>
        </is>
      </c>
      <c r="D962" t="inlineStr" s="3">
        <is>
          <t/>
        </is>
      </c>
      <c r="E962" t="inlineStr" s="3">
        <is>
          <t/>
        </is>
      </c>
      <c r="F962" t="inlineStr" s="3">
        <is>
          <t/>
        </is>
      </c>
      <c r="G962" t="inlineStr" s="3">
        <is>
          <t/>
        </is>
      </c>
      <c r="H962" t="inlineStr" s="3">
        <is>
          <t/>
        </is>
      </c>
      <c r="I962" t="inlineStr" s="3">
        <is>
          <t/>
        </is>
      </c>
    </row>
    <row r="963" ht="23" customHeight="1">
      <c r="A963" t="inlineStr" s="4">
        <is>
          <t>日期</t>
        </is>
      </c>
      <c r="B963" t="inlineStr" s="4">
        <is>
          <t>星期</t>
        </is>
      </c>
      <c r="C963" t="inlineStr" s="4">
        <is>
          <t>分类</t>
        </is>
      </c>
      <c r="D963" t="inlineStr" s="4">
        <is>
          <t>事项</t>
        </is>
      </c>
      <c r="E963" t="inlineStr" s="4">
        <is>
          <t>支出金额</t>
        </is>
      </c>
      <c r="F963" t="inlineStr" s="4">
        <is>
          <t>收入金额</t>
        </is>
      </c>
      <c r="G963" t="inlineStr" s="4">
        <is>
          <t>当笔净额</t>
        </is>
      </c>
      <c r="H963" t="inlineStr" s="4">
        <is>
          <t>支付方式</t>
        </is>
      </c>
      <c r="I963" t="inlineStr" s="4">
        <is>
          <t>备注</t>
        </is>
      </c>
    </row>
    <row r="964" ht="22" customHeight="1">
      <c r="A964" t="inlineStr" s="6">
        <is>
          <t/>
        </is>
      </c>
      <c r="B964" s="5">
        <f>IF(A964="","",TEXT(A964,"aaa"))</f>
      </c>
      <c r="C964" t="inlineStr" s="5">
        <is>
          <t/>
        </is>
      </c>
      <c r="D964" t="inlineStr" s="5">
        <is>
          <t/>
        </is>
      </c>
      <c r="E964" t="inlineStr" s="7">
        <is>
          <t/>
        </is>
      </c>
      <c r="F964" t="inlineStr" s="7">
        <is>
          <t/>
        </is>
      </c>
      <c r="G964" s="8">
        <f>IF(AND(E964="",F964=""),"",F964-E964)</f>
      </c>
      <c r="H964" t="inlineStr" s="5">
        <is>
          <t/>
        </is>
      </c>
      <c r="I964" t="inlineStr" s="5">
        <is>
          <t/>
        </is>
      </c>
    </row>
    <row r="965" ht="22" customHeight="1">
      <c r="A965" t="inlineStr" s="6">
        <is>
          <t/>
        </is>
      </c>
      <c r="B965" s="5">
        <f>IF(A965="","",TEXT(A965,"aaa"))</f>
      </c>
      <c r="C965" t="inlineStr" s="5">
        <is>
          <t/>
        </is>
      </c>
      <c r="D965" t="inlineStr" s="5">
        <is>
          <t/>
        </is>
      </c>
      <c r="E965" t="inlineStr" s="7">
        <is>
          <t/>
        </is>
      </c>
      <c r="F965" t="inlineStr" s="7">
        <is>
          <t/>
        </is>
      </c>
      <c r="G965" s="8">
        <f>IF(AND(E965="",F965=""),"",F965-E965)</f>
      </c>
      <c r="H965" t="inlineStr" s="5">
        <is>
          <t/>
        </is>
      </c>
      <c r="I965" t="inlineStr" s="5">
        <is>
          <t/>
        </is>
      </c>
    </row>
    <row r="966" ht="22" customHeight="1">
      <c r="A966" t="inlineStr" s="6">
        <is>
          <t/>
        </is>
      </c>
      <c r="B966" s="5">
        <f>IF(A966="","",TEXT(A966,"aaa"))</f>
      </c>
      <c r="C966" t="inlineStr" s="5">
        <is>
          <t/>
        </is>
      </c>
      <c r="D966" t="inlineStr" s="5">
        <is>
          <t/>
        </is>
      </c>
      <c r="E966" t="inlineStr" s="7">
        <is>
          <t/>
        </is>
      </c>
      <c r="F966" t="inlineStr" s="7">
        <is>
          <t/>
        </is>
      </c>
      <c r="G966" s="8">
        <f>IF(AND(E966="",F966=""),"",F966-E966)</f>
      </c>
      <c r="H966" t="inlineStr" s="5">
        <is>
          <t/>
        </is>
      </c>
      <c r="I966" t="inlineStr" s="5">
        <is>
          <t/>
        </is>
      </c>
    </row>
    <row r="967" ht="22" customHeight="1">
      <c r="A967" t="inlineStr" s="6">
        <is>
          <t/>
        </is>
      </c>
      <c r="B967" s="5">
        <f>IF(A967="","",TEXT(A967,"aaa"))</f>
      </c>
      <c r="C967" t="inlineStr" s="5">
        <is>
          <t/>
        </is>
      </c>
      <c r="D967" t="inlineStr" s="5">
        <is>
          <t/>
        </is>
      </c>
      <c r="E967" t="inlineStr" s="7">
        <is>
          <t/>
        </is>
      </c>
      <c r="F967" t="inlineStr" s="7">
        <is>
          <t/>
        </is>
      </c>
      <c r="G967" s="8">
        <f>IF(AND(E967="",F967=""),"",F967-E967)</f>
      </c>
      <c r="H967" t="inlineStr" s="5">
        <is>
          <t/>
        </is>
      </c>
      <c r="I967" t="inlineStr" s="5">
        <is>
          <t/>
        </is>
      </c>
    </row>
    <row r="968" ht="22" customHeight="1">
      <c r="A968" t="inlineStr" s="6">
        <is>
          <t/>
        </is>
      </c>
      <c r="B968" s="5">
        <f>IF(A968="","",TEXT(A968,"aaa"))</f>
      </c>
      <c r="C968" t="inlineStr" s="5">
        <is>
          <t/>
        </is>
      </c>
      <c r="D968" t="inlineStr" s="5">
        <is>
          <t/>
        </is>
      </c>
      <c r="E968" t="inlineStr" s="7">
        <is>
          <t/>
        </is>
      </c>
      <c r="F968" t="inlineStr" s="7">
        <is>
          <t/>
        </is>
      </c>
      <c r="G968" s="8">
        <f>IF(AND(E968="",F968=""),"",F968-E968)</f>
      </c>
      <c r="H968" t="inlineStr" s="5">
        <is>
          <t/>
        </is>
      </c>
      <c r="I968" t="inlineStr" s="5">
        <is>
          <t/>
        </is>
      </c>
    </row>
    <row r="969" ht="22" customHeight="1">
      <c r="A969" t="inlineStr" s="6">
        <is>
          <t/>
        </is>
      </c>
      <c r="B969" s="5">
        <f>IF(A969="","",TEXT(A969,"aaa"))</f>
      </c>
      <c r="C969" t="inlineStr" s="5">
        <is>
          <t/>
        </is>
      </c>
      <c r="D969" t="inlineStr" s="5">
        <is>
          <t/>
        </is>
      </c>
      <c r="E969" t="inlineStr" s="7">
        <is>
          <t/>
        </is>
      </c>
      <c r="F969" t="inlineStr" s="7">
        <is>
          <t/>
        </is>
      </c>
      <c r="G969" s="8">
        <f>IF(AND(E969="",F969=""),"",F969-E969)</f>
      </c>
      <c r="H969" t="inlineStr" s="5">
        <is>
          <t/>
        </is>
      </c>
      <c r="I969" t="inlineStr" s="5">
        <is>
          <t/>
        </is>
      </c>
    </row>
    <row r="970" ht="22" customHeight="1">
      <c r="A970" t="inlineStr" s="6">
        <is>
          <t/>
        </is>
      </c>
      <c r="B970" s="5">
        <f>IF(A970="","",TEXT(A970,"aaa"))</f>
      </c>
      <c r="C970" t="inlineStr" s="5">
        <is>
          <t/>
        </is>
      </c>
      <c r="D970" t="inlineStr" s="5">
        <is>
          <t/>
        </is>
      </c>
      <c r="E970" t="inlineStr" s="7">
        <is>
          <t/>
        </is>
      </c>
      <c r="F970" t="inlineStr" s="7">
        <is>
          <t/>
        </is>
      </c>
      <c r="G970" s="8">
        <f>IF(AND(E970="",F970=""),"",F970-E970)</f>
      </c>
      <c r="H970" t="inlineStr" s="5">
        <is>
          <t/>
        </is>
      </c>
      <c r="I970" t="inlineStr" s="5">
        <is>
          <t/>
        </is>
      </c>
    </row>
    <row r="971" ht="22" customHeight="1">
      <c r="A971" t="inlineStr" s="6">
        <is>
          <t/>
        </is>
      </c>
      <c r="B971" s="5">
        <f>IF(A971="","",TEXT(A971,"aaa"))</f>
      </c>
      <c r="C971" t="inlineStr" s="5">
        <is>
          <t/>
        </is>
      </c>
      <c r="D971" t="inlineStr" s="5">
        <is>
          <t/>
        </is>
      </c>
      <c r="E971" t="inlineStr" s="7">
        <is>
          <t/>
        </is>
      </c>
      <c r="F971" t="inlineStr" s="7">
        <is>
          <t/>
        </is>
      </c>
      <c r="G971" s="8">
        <f>IF(AND(E971="",F971=""),"",F971-E971)</f>
      </c>
      <c r="H971" t="inlineStr" s="5">
        <is>
          <t/>
        </is>
      </c>
      <c r="I971" t="inlineStr" s="5">
        <is>
          <t/>
        </is>
      </c>
    </row>
    <row r="972" ht="22" customHeight="1">
      <c r="A972" t="inlineStr" s="6">
        <is>
          <t/>
        </is>
      </c>
      <c r="B972" s="5">
        <f>IF(A972="","",TEXT(A972,"aaa"))</f>
      </c>
      <c r="C972" t="inlineStr" s="5">
        <is>
          <t/>
        </is>
      </c>
      <c r="D972" t="inlineStr" s="5">
        <is>
          <t/>
        </is>
      </c>
      <c r="E972" t="inlineStr" s="7">
        <is>
          <t/>
        </is>
      </c>
      <c r="F972" t="inlineStr" s="7">
        <is>
          <t/>
        </is>
      </c>
      <c r="G972" s="8">
        <f>IF(AND(E972="",F972=""),"",F972-E972)</f>
      </c>
      <c r="H972" t="inlineStr" s="5">
        <is>
          <t/>
        </is>
      </c>
      <c r="I972" t="inlineStr" s="5">
        <is>
          <t/>
        </is>
      </c>
    </row>
    <row r="973" ht="22" customHeight="1">
      <c r="A973" t="inlineStr" s="6">
        <is>
          <t/>
        </is>
      </c>
      <c r="B973" s="5">
        <f>IF(A973="","",TEXT(A973,"aaa"))</f>
      </c>
      <c r="C973" t="inlineStr" s="5">
        <is>
          <t/>
        </is>
      </c>
      <c r="D973" t="inlineStr" s="5">
        <is>
          <t/>
        </is>
      </c>
      <c r="E973" t="inlineStr" s="7">
        <is>
          <t/>
        </is>
      </c>
      <c r="F973" t="inlineStr" s="7">
        <is>
          <t/>
        </is>
      </c>
      <c r="G973" s="8">
        <f>IF(AND(E973="",F973=""),"",F973-E973)</f>
      </c>
      <c r="H973" t="inlineStr" s="5">
        <is>
          <t/>
        </is>
      </c>
      <c r="I973" t="inlineStr" s="5">
        <is>
          <t/>
        </is>
      </c>
    </row>
    <row r="974" ht="22" customHeight="1">
      <c r="A974" t="inlineStr" s="6">
        <is>
          <t/>
        </is>
      </c>
      <c r="B974" s="5">
        <f>IF(A974="","",TEXT(A974,"aaa"))</f>
      </c>
      <c r="C974" t="inlineStr" s="5">
        <is>
          <t/>
        </is>
      </c>
      <c r="D974" t="inlineStr" s="5">
        <is>
          <t/>
        </is>
      </c>
      <c r="E974" t="inlineStr" s="7">
        <is>
          <t/>
        </is>
      </c>
      <c r="F974" t="inlineStr" s="7">
        <is>
          <t/>
        </is>
      </c>
      <c r="G974" s="8">
        <f>IF(AND(E974="",F974=""),"",F974-E974)</f>
      </c>
      <c r="H974" t="inlineStr" s="5">
        <is>
          <t/>
        </is>
      </c>
      <c r="I974" t="inlineStr" s="5">
        <is>
          <t/>
        </is>
      </c>
    </row>
    <row r="975" ht="22" customHeight="1">
      <c r="A975" t="inlineStr" s="6">
        <is>
          <t/>
        </is>
      </c>
      <c r="B975" s="5">
        <f>IF(A975="","",TEXT(A975,"aaa"))</f>
      </c>
      <c r="C975" t="inlineStr" s="5">
        <is>
          <t/>
        </is>
      </c>
      <c r="D975" t="inlineStr" s="5">
        <is>
          <t/>
        </is>
      </c>
      <c r="E975" t="inlineStr" s="7">
        <is>
          <t/>
        </is>
      </c>
      <c r="F975" t="inlineStr" s="7">
        <is>
          <t/>
        </is>
      </c>
      <c r="G975" s="8">
        <f>IF(AND(E975="",F975=""),"",F975-E975)</f>
      </c>
      <c r="H975" t="inlineStr" s="5">
        <is>
          <t/>
        </is>
      </c>
      <c r="I975" t="inlineStr" s="5">
        <is>
          <t/>
        </is>
      </c>
    </row>
    <row r="976" ht="22" customHeight="1">
      <c r="A976" t="inlineStr" s="6">
        <is>
          <t/>
        </is>
      </c>
      <c r="B976" s="5">
        <f>IF(A976="","",TEXT(A976,"aaa"))</f>
      </c>
      <c r="C976" t="inlineStr" s="5">
        <is>
          <t/>
        </is>
      </c>
      <c r="D976" t="inlineStr" s="5">
        <is>
          <t/>
        </is>
      </c>
      <c r="E976" t="inlineStr" s="7">
        <is>
          <t/>
        </is>
      </c>
      <c r="F976" t="inlineStr" s="7">
        <is>
          <t/>
        </is>
      </c>
      <c r="G976" s="8">
        <f>IF(AND(E976="",F976=""),"",F976-E976)</f>
      </c>
      <c r="H976" t="inlineStr" s="5">
        <is>
          <t/>
        </is>
      </c>
      <c r="I976" t="inlineStr" s="5">
        <is>
          <t/>
        </is>
      </c>
    </row>
    <row r="977" ht="22" customHeight="1">
      <c r="A977" t="inlineStr" s="6">
        <is>
          <t/>
        </is>
      </c>
      <c r="B977" s="5">
        <f>IF(A977="","",TEXT(A977,"aaa"))</f>
      </c>
      <c r="C977" t="inlineStr" s="5">
        <is>
          <t/>
        </is>
      </c>
      <c r="D977" t="inlineStr" s="5">
        <is>
          <t/>
        </is>
      </c>
      <c r="E977" t="inlineStr" s="7">
        <is>
          <t/>
        </is>
      </c>
      <c r="F977" t="inlineStr" s="7">
        <is>
          <t/>
        </is>
      </c>
      <c r="G977" s="8">
        <f>IF(AND(E977="",F977=""),"",F977-E977)</f>
      </c>
      <c r="H977" t="inlineStr" s="5">
        <is>
          <t/>
        </is>
      </c>
      <c r="I977" t="inlineStr" s="5">
        <is>
          <t/>
        </is>
      </c>
    </row>
    <row r="978" ht="22" customHeight="1">
      <c r="A978" t="inlineStr" s="6">
        <is>
          <t/>
        </is>
      </c>
      <c r="B978" s="5">
        <f>IF(A978="","",TEXT(A978,"aaa"))</f>
      </c>
      <c r="C978" t="inlineStr" s="5">
        <is>
          <t/>
        </is>
      </c>
      <c r="D978" t="inlineStr" s="5">
        <is>
          <t/>
        </is>
      </c>
      <c r="E978" t="inlineStr" s="7">
        <is>
          <t/>
        </is>
      </c>
      <c r="F978" t="inlineStr" s="7">
        <is>
          <t/>
        </is>
      </c>
      <c r="G978" s="8">
        <f>IF(AND(E978="",F978=""),"",F978-E978)</f>
      </c>
      <c r="H978" t="inlineStr" s="5">
        <is>
          <t/>
        </is>
      </c>
      <c r="I978" t="inlineStr" s="5">
        <is>
          <t/>
        </is>
      </c>
    </row>
    <row r="979" ht="24" customHeight="1">
      <c r="A979" t="inlineStr" s="9">
        <is>
          <t>本周小计</t>
        </is>
      </c>
      <c r="B979" t="inlineStr" s="9">
        <is>
          <t/>
        </is>
      </c>
      <c r="C979" t="inlineStr" s="9">
        <is>
          <t/>
        </is>
      </c>
      <c r="D979" t="inlineStr" s="9">
        <is>
          <t/>
        </is>
      </c>
      <c r="E979" s="9">
        <f>SUM(E964:E978)</f>
      </c>
      <c r="F979" s="9">
        <f>SUM(F964:F978)</f>
      </c>
      <c r="G979" s="9">
        <f>SUM(G964:G978)</f>
      </c>
      <c r="H979" t="inlineStr" s="9">
        <is>
          <t/>
        </is>
      </c>
      <c r="I979" t="inlineStr" s="9">
        <is>
          <t/>
        </is>
      </c>
    </row>
    <row r="980" ht="18" customHeight="1">
      <c r="A980" t="inlineStr" s="10">
        <is>
          <t/>
        </is>
      </c>
      <c r="B980" t="inlineStr" s="10">
        <is>
          <t/>
        </is>
      </c>
      <c r="C980" t="inlineStr" s="10">
        <is>
          <t/>
        </is>
      </c>
      <c r="D980" t="inlineStr" s="10">
        <is>
          <t/>
        </is>
      </c>
      <c r="E980" t="inlineStr" s="10">
        <is>
          <t/>
        </is>
      </c>
      <c r="F980" t="inlineStr" s="10">
        <is>
          <t/>
        </is>
      </c>
      <c r="G980" t="inlineStr" s="10">
        <is>
          <t/>
        </is>
      </c>
      <c r="H980" t="inlineStr" s="10">
        <is>
          <t/>
        </is>
      </c>
      <c r="I980" t="inlineStr" s="10">
        <is>
          <t/>
        </is>
      </c>
    </row>
    <row r="981" ht="18" customHeight="1">
      <c r="A981" t="inlineStr" s="10">
        <is>
          <t/>
        </is>
      </c>
      <c r="B981" t="inlineStr" s="10">
        <is>
          <t/>
        </is>
      </c>
      <c r="C981" t="inlineStr" s="10">
        <is>
          <t/>
        </is>
      </c>
      <c r="D981" t="inlineStr" s="10">
        <is>
          <t/>
        </is>
      </c>
      <c r="E981" t="inlineStr" s="10">
        <is>
          <t/>
        </is>
      </c>
      <c r="F981" t="inlineStr" s="10">
        <is>
          <t/>
        </is>
      </c>
      <c r="G981" t="inlineStr" s="10">
        <is>
          <t/>
        </is>
      </c>
      <c r="H981" t="inlineStr" s="10">
        <is>
          <t/>
        </is>
      </c>
      <c r="I981" t="inlineStr" s="10">
        <is>
          <t/>
        </is>
      </c>
    </row>
    <row r="982" ht="28" customHeight="1">
      <c r="A982" t="inlineStr" s="3">
        <is>
          <t>2027年5月｜第二周（5月10日 - 5月16日）</t>
        </is>
      </c>
      <c r="B982" t="inlineStr" s="3">
        <is>
          <t/>
        </is>
      </c>
      <c r="C982" t="inlineStr" s="3">
        <is>
          <t/>
        </is>
      </c>
      <c r="D982" t="inlineStr" s="3">
        <is>
          <t/>
        </is>
      </c>
      <c r="E982" t="inlineStr" s="3">
        <is>
          <t/>
        </is>
      </c>
      <c r="F982" t="inlineStr" s="3">
        <is>
          <t/>
        </is>
      </c>
      <c r="G982" t="inlineStr" s="3">
        <is>
          <t/>
        </is>
      </c>
      <c r="H982" t="inlineStr" s="3">
        <is>
          <t/>
        </is>
      </c>
      <c r="I982" t="inlineStr" s="3">
        <is>
          <t/>
        </is>
      </c>
    </row>
    <row r="983" ht="23" customHeight="1">
      <c r="A983" t="inlineStr" s="4">
        <is>
          <t>日期</t>
        </is>
      </c>
      <c r="B983" t="inlineStr" s="4">
        <is>
          <t>星期</t>
        </is>
      </c>
      <c r="C983" t="inlineStr" s="4">
        <is>
          <t>分类</t>
        </is>
      </c>
      <c r="D983" t="inlineStr" s="4">
        <is>
          <t>事项</t>
        </is>
      </c>
      <c r="E983" t="inlineStr" s="4">
        <is>
          <t>支出金额</t>
        </is>
      </c>
      <c r="F983" t="inlineStr" s="4">
        <is>
          <t>收入金额</t>
        </is>
      </c>
      <c r="G983" t="inlineStr" s="4">
        <is>
          <t>当笔净额</t>
        </is>
      </c>
      <c r="H983" t="inlineStr" s="4">
        <is>
          <t>支付方式</t>
        </is>
      </c>
      <c r="I983" t="inlineStr" s="4">
        <is>
          <t>备注</t>
        </is>
      </c>
    </row>
    <row r="984" ht="22" customHeight="1">
      <c r="A984" t="inlineStr" s="6">
        <is>
          <t/>
        </is>
      </c>
      <c r="B984" s="5">
        <f>IF(A984="","",TEXT(A984,"aaa"))</f>
      </c>
      <c r="C984" t="inlineStr" s="5">
        <is>
          <t/>
        </is>
      </c>
      <c r="D984" t="inlineStr" s="5">
        <is>
          <t/>
        </is>
      </c>
      <c r="E984" t="inlineStr" s="7">
        <is>
          <t/>
        </is>
      </c>
      <c r="F984" t="inlineStr" s="7">
        <is>
          <t/>
        </is>
      </c>
      <c r="G984" s="8">
        <f>IF(AND(E984="",F984=""),"",F984-E984)</f>
      </c>
      <c r="H984" t="inlineStr" s="5">
        <is>
          <t/>
        </is>
      </c>
      <c r="I984" t="inlineStr" s="5">
        <is>
          <t/>
        </is>
      </c>
    </row>
    <row r="985" ht="22" customHeight="1">
      <c r="A985" t="inlineStr" s="6">
        <is>
          <t/>
        </is>
      </c>
      <c r="B985" s="5">
        <f>IF(A985="","",TEXT(A985,"aaa"))</f>
      </c>
      <c r="C985" t="inlineStr" s="5">
        <is>
          <t/>
        </is>
      </c>
      <c r="D985" t="inlineStr" s="5">
        <is>
          <t/>
        </is>
      </c>
      <c r="E985" t="inlineStr" s="7">
        <is>
          <t/>
        </is>
      </c>
      <c r="F985" t="inlineStr" s="7">
        <is>
          <t/>
        </is>
      </c>
      <c r="G985" s="8">
        <f>IF(AND(E985="",F985=""),"",F985-E985)</f>
      </c>
      <c r="H985" t="inlineStr" s="5">
        <is>
          <t/>
        </is>
      </c>
      <c r="I985" t="inlineStr" s="5">
        <is>
          <t/>
        </is>
      </c>
    </row>
    <row r="986" ht="22" customHeight="1">
      <c r="A986" t="inlineStr" s="6">
        <is>
          <t/>
        </is>
      </c>
      <c r="B986" s="5">
        <f>IF(A986="","",TEXT(A986,"aaa"))</f>
      </c>
      <c r="C986" t="inlineStr" s="5">
        <is>
          <t/>
        </is>
      </c>
      <c r="D986" t="inlineStr" s="5">
        <is>
          <t/>
        </is>
      </c>
      <c r="E986" t="inlineStr" s="7">
        <is>
          <t/>
        </is>
      </c>
      <c r="F986" t="inlineStr" s="7">
        <is>
          <t/>
        </is>
      </c>
      <c r="G986" s="8">
        <f>IF(AND(E986="",F986=""),"",F986-E986)</f>
      </c>
      <c r="H986" t="inlineStr" s="5">
        <is>
          <t/>
        </is>
      </c>
      <c r="I986" t="inlineStr" s="5">
        <is>
          <t/>
        </is>
      </c>
    </row>
    <row r="987" ht="22" customHeight="1">
      <c r="A987" t="inlineStr" s="6">
        <is>
          <t/>
        </is>
      </c>
      <c r="B987" s="5">
        <f>IF(A987="","",TEXT(A987,"aaa"))</f>
      </c>
      <c r="C987" t="inlineStr" s="5">
        <is>
          <t/>
        </is>
      </c>
      <c r="D987" t="inlineStr" s="5">
        <is>
          <t/>
        </is>
      </c>
      <c r="E987" t="inlineStr" s="7">
        <is>
          <t/>
        </is>
      </c>
      <c r="F987" t="inlineStr" s="7">
        <is>
          <t/>
        </is>
      </c>
      <c r="G987" s="8">
        <f>IF(AND(E987="",F987=""),"",F987-E987)</f>
      </c>
      <c r="H987" t="inlineStr" s="5">
        <is>
          <t/>
        </is>
      </c>
      <c r="I987" t="inlineStr" s="5">
        <is>
          <t/>
        </is>
      </c>
    </row>
    <row r="988" ht="22" customHeight="1">
      <c r="A988" t="inlineStr" s="6">
        <is>
          <t/>
        </is>
      </c>
      <c r="B988" s="5">
        <f>IF(A988="","",TEXT(A988,"aaa"))</f>
      </c>
      <c r="C988" t="inlineStr" s="5">
        <is>
          <t/>
        </is>
      </c>
      <c r="D988" t="inlineStr" s="5">
        <is>
          <t/>
        </is>
      </c>
      <c r="E988" t="inlineStr" s="7">
        <is>
          <t/>
        </is>
      </c>
      <c r="F988" t="inlineStr" s="7">
        <is>
          <t/>
        </is>
      </c>
      <c r="G988" s="8">
        <f>IF(AND(E988="",F988=""),"",F988-E988)</f>
      </c>
      <c r="H988" t="inlineStr" s="5">
        <is>
          <t/>
        </is>
      </c>
      <c r="I988" t="inlineStr" s="5">
        <is>
          <t/>
        </is>
      </c>
    </row>
    <row r="989" ht="22" customHeight="1">
      <c r="A989" t="inlineStr" s="6">
        <is>
          <t/>
        </is>
      </c>
      <c r="B989" s="5">
        <f>IF(A989="","",TEXT(A989,"aaa"))</f>
      </c>
      <c r="C989" t="inlineStr" s="5">
        <is>
          <t/>
        </is>
      </c>
      <c r="D989" t="inlineStr" s="5">
        <is>
          <t/>
        </is>
      </c>
      <c r="E989" t="inlineStr" s="7">
        <is>
          <t/>
        </is>
      </c>
      <c r="F989" t="inlineStr" s="7">
        <is>
          <t/>
        </is>
      </c>
      <c r="G989" s="8">
        <f>IF(AND(E989="",F989=""),"",F989-E989)</f>
      </c>
      <c r="H989" t="inlineStr" s="5">
        <is>
          <t/>
        </is>
      </c>
      <c r="I989" t="inlineStr" s="5">
        <is>
          <t/>
        </is>
      </c>
    </row>
    <row r="990" ht="22" customHeight="1">
      <c r="A990" t="inlineStr" s="6">
        <is>
          <t/>
        </is>
      </c>
      <c r="B990" s="5">
        <f>IF(A990="","",TEXT(A990,"aaa"))</f>
      </c>
      <c r="C990" t="inlineStr" s="5">
        <is>
          <t/>
        </is>
      </c>
      <c r="D990" t="inlineStr" s="5">
        <is>
          <t/>
        </is>
      </c>
      <c r="E990" t="inlineStr" s="7">
        <is>
          <t/>
        </is>
      </c>
      <c r="F990" t="inlineStr" s="7">
        <is>
          <t/>
        </is>
      </c>
      <c r="G990" s="8">
        <f>IF(AND(E990="",F990=""),"",F990-E990)</f>
      </c>
      <c r="H990" t="inlineStr" s="5">
        <is>
          <t/>
        </is>
      </c>
      <c r="I990" t="inlineStr" s="5">
        <is>
          <t/>
        </is>
      </c>
    </row>
    <row r="991" ht="22" customHeight="1">
      <c r="A991" t="inlineStr" s="6">
        <is>
          <t/>
        </is>
      </c>
      <c r="B991" s="5">
        <f>IF(A991="","",TEXT(A991,"aaa"))</f>
      </c>
      <c r="C991" t="inlineStr" s="5">
        <is>
          <t/>
        </is>
      </c>
      <c r="D991" t="inlineStr" s="5">
        <is>
          <t/>
        </is>
      </c>
      <c r="E991" t="inlineStr" s="7">
        <is>
          <t/>
        </is>
      </c>
      <c r="F991" t="inlineStr" s="7">
        <is>
          <t/>
        </is>
      </c>
      <c r="G991" s="8">
        <f>IF(AND(E991="",F991=""),"",F991-E991)</f>
      </c>
      <c r="H991" t="inlineStr" s="5">
        <is>
          <t/>
        </is>
      </c>
      <c r="I991" t="inlineStr" s="5">
        <is>
          <t/>
        </is>
      </c>
    </row>
    <row r="992" ht="22" customHeight="1">
      <c r="A992" t="inlineStr" s="6">
        <is>
          <t/>
        </is>
      </c>
      <c r="B992" s="5">
        <f>IF(A992="","",TEXT(A992,"aaa"))</f>
      </c>
      <c r="C992" t="inlineStr" s="5">
        <is>
          <t/>
        </is>
      </c>
      <c r="D992" t="inlineStr" s="5">
        <is>
          <t/>
        </is>
      </c>
      <c r="E992" t="inlineStr" s="7">
        <is>
          <t/>
        </is>
      </c>
      <c r="F992" t="inlineStr" s="7">
        <is>
          <t/>
        </is>
      </c>
      <c r="G992" s="8">
        <f>IF(AND(E992="",F992=""),"",F992-E992)</f>
      </c>
      <c r="H992" t="inlineStr" s="5">
        <is>
          <t/>
        </is>
      </c>
      <c r="I992" t="inlineStr" s="5">
        <is>
          <t/>
        </is>
      </c>
    </row>
    <row r="993" ht="22" customHeight="1">
      <c r="A993" t="inlineStr" s="6">
        <is>
          <t/>
        </is>
      </c>
      <c r="B993" s="5">
        <f>IF(A993="","",TEXT(A993,"aaa"))</f>
      </c>
      <c r="C993" t="inlineStr" s="5">
        <is>
          <t/>
        </is>
      </c>
      <c r="D993" t="inlineStr" s="5">
        <is>
          <t/>
        </is>
      </c>
      <c r="E993" t="inlineStr" s="7">
        <is>
          <t/>
        </is>
      </c>
      <c r="F993" t="inlineStr" s="7">
        <is>
          <t/>
        </is>
      </c>
      <c r="G993" s="8">
        <f>IF(AND(E993="",F993=""),"",F993-E993)</f>
      </c>
      <c r="H993" t="inlineStr" s="5">
        <is>
          <t/>
        </is>
      </c>
      <c r="I993" t="inlineStr" s="5">
        <is>
          <t/>
        </is>
      </c>
    </row>
    <row r="994" ht="22" customHeight="1">
      <c r="A994" t="inlineStr" s="6">
        <is>
          <t/>
        </is>
      </c>
      <c r="B994" s="5">
        <f>IF(A994="","",TEXT(A994,"aaa"))</f>
      </c>
      <c r="C994" t="inlineStr" s="5">
        <is>
          <t/>
        </is>
      </c>
      <c r="D994" t="inlineStr" s="5">
        <is>
          <t/>
        </is>
      </c>
      <c r="E994" t="inlineStr" s="7">
        <is>
          <t/>
        </is>
      </c>
      <c r="F994" t="inlineStr" s="7">
        <is>
          <t/>
        </is>
      </c>
      <c r="G994" s="8">
        <f>IF(AND(E994="",F994=""),"",F994-E994)</f>
      </c>
      <c r="H994" t="inlineStr" s="5">
        <is>
          <t/>
        </is>
      </c>
      <c r="I994" t="inlineStr" s="5">
        <is>
          <t/>
        </is>
      </c>
    </row>
    <row r="995" ht="22" customHeight="1">
      <c r="A995" t="inlineStr" s="6">
        <is>
          <t/>
        </is>
      </c>
      <c r="B995" s="5">
        <f>IF(A995="","",TEXT(A995,"aaa"))</f>
      </c>
      <c r="C995" t="inlineStr" s="5">
        <is>
          <t/>
        </is>
      </c>
      <c r="D995" t="inlineStr" s="5">
        <is>
          <t/>
        </is>
      </c>
      <c r="E995" t="inlineStr" s="7">
        <is>
          <t/>
        </is>
      </c>
      <c r="F995" t="inlineStr" s="7">
        <is>
          <t/>
        </is>
      </c>
      <c r="G995" s="8">
        <f>IF(AND(E995="",F995=""),"",F995-E995)</f>
      </c>
      <c r="H995" t="inlineStr" s="5">
        <is>
          <t/>
        </is>
      </c>
      <c r="I995" t="inlineStr" s="5">
        <is>
          <t/>
        </is>
      </c>
    </row>
    <row r="996" ht="22" customHeight="1">
      <c r="A996" t="inlineStr" s="6">
        <is>
          <t/>
        </is>
      </c>
      <c r="B996" s="5">
        <f>IF(A996="","",TEXT(A996,"aaa"))</f>
      </c>
      <c r="C996" t="inlineStr" s="5">
        <is>
          <t/>
        </is>
      </c>
      <c r="D996" t="inlineStr" s="5">
        <is>
          <t/>
        </is>
      </c>
      <c r="E996" t="inlineStr" s="7">
        <is>
          <t/>
        </is>
      </c>
      <c r="F996" t="inlineStr" s="7">
        <is>
          <t/>
        </is>
      </c>
      <c r="G996" s="8">
        <f>IF(AND(E996="",F996=""),"",F996-E996)</f>
      </c>
      <c r="H996" t="inlineStr" s="5">
        <is>
          <t/>
        </is>
      </c>
      <c r="I996" t="inlineStr" s="5">
        <is>
          <t/>
        </is>
      </c>
    </row>
    <row r="997" ht="22" customHeight="1">
      <c r="A997" t="inlineStr" s="6">
        <is>
          <t/>
        </is>
      </c>
      <c r="B997" s="5">
        <f>IF(A997="","",TEXT(A997,"aaa"))</f>
      </c>
      <c r="C997" t="inlineStr" s="5">
        <is>
          <t/>
        </is>
      </c>
      <c r="D997" t="inlineStr" s="5">
        <is>
          <t/>
        </is>
      </c>
      <c r="E997" t="inlineStr" s="7">
        <is>
          <t/>
        </is>
      </c>
      <c r="F997" t="inlineStr" s="7">
        <is>
          <t/>
        </is>
      </c>
      <c r="G997" s="8">
        <f>IF(AND(E997="",F997=""),"",F997-E997)</f>
      </c>
      <c r="H997" t="inlineStr" s="5">
        <is>
          <t/>
        </is>
      </c>
      <c r="I997" t="inlineStr" s="5">
        <is>
          <t/>
        </is>
      </c>
    </row>
    <row r="998" ht="22" customHeight="1">
      <c r="A998" t="inlineStr" s="6">
        <is>
          <t/>
        </is>
      </c>
      <c r="B998" s="5">
        <f>IF(A998="","",TEXT(A998,"aaa"))</f>
      </c>
      <c r="C998" t="inlineStr" s="5">
        <is>
          <t/>
        </is>
      </c>
      <c r="D998" t="inlineStr" s="5">
        <is>
          <t/>
        </is>
      </c>
      <c r="E998" t="inlineStr" s="7">
        <is>
          <t/>
        </is>
      </c>
      <c r="F998" t="inlineStr" s="7">
        <is>
          <t/>
        </is>
      </c>
      <c r="G998" s="8">
        <f>IF(AND(E998="",F998=""),"",F998-E998)</f>
      </c>
      <c r="H998" t="inlineStr" s="5">
        <is>
          <t/>
        </is>
      </c>
      <c r="I998" t="inlineStr" s="5">
        <is>
          <t/>
        </is>
      </c>
    </row>
    <row r="999" ht="24" customHeight="1">
      <c r="A999" t="inlineStr" s="9">
        <is>
          <t>本周小计</t>
        </is>
      </c>
      <c r="B999" t="inlineStr" s="9">
        <is>
          <t/>
        </is>
      </c>
      <c r="C999" t="inlineStr" s="9">
        <is>
          <t/>
        </is>
      </c>
      <c r="D999" t="inlineStr" s="9">
        <is>
          <t/>
        </is>
      </c>
      <c r="E999" s="9">
        <f>SUM(E984:E998)</f>
      </c>
      <c r="F999" s="9">
        <f>SUM(F984:F998)</f>
      </c>
      <c r="G999" s="9">
        <f>SUM(G984:G998)</f>
      </c>
      <c r="H999" t="inlineStr" s="9">
        <is>
          <t/>
        </is>
      </c>
      <c r="I999" t="inlineStr" s="9">
        <is>
          <t/>
        </is>
      </c>
    </row>
    <row r="1000" ht="18" customHeight="1">
      <c r="A1000" t="inlineStr" s="10">
        <is>
          <t/>
        </is>
      </c>
      <c r="B1000" t="inlineStr" s="10">
        <is>
          <t/>
        </is>
      </c>
      <c r="C1000" t="inlineStr" s="10">
        <is>
          <t/>
        </is>
      </c>
      <c r="D1000" t="inlineStr" s="10">
        <is>
          <t/>
        </is>
      </c>
      <c r="E1000" t="inlineStr" s="10">
        <is>
          <t/>
        </is>
      </c>
      <c r="F1000" t="inlineStr" s="10">
        <is>
          <t/>
        </is>
      </c>
      <c r="G1000" t="inlineStr" s="10">
        <is>
          <t/>
        </is>
      </c>
      <c r="H1000" t="inlineStr" s="10">
        <is>
          <t/>
        </is>
      </c>
      <c r="I1000" t="inlineStr" s="10">
        <is>
          <t/>
        </is>
      </c>
    </row>
    <row r="1001" ht="18" customHeight="1">
      <c r="A1001" t="inlineStr" s="10">
        <is>
          <t/>
        </is>
      </c>
      <c r="B1001" t="inlineStr" s="10">
        <is>
          <t/>
        </is>
      </c>
      <c r="C1001" t="inlineStr" s="10">
        <is>
          <t/>
        </is>
      </c>
      <c r="D1001" t="inlineStr" s="10">
        <is>
          <t/>
        </is>
      </c>
      <c r="E1001" t="inlineStr" s="10">
        <is>
          <t/>
        </is>
      </c>
      <c r="F1001" t="inlineStr" s="10">
        <is>
          <t/>
        </is>
      </c>
      <c r="G1001" t="inlineStr" s="10">
        <is>
          <t/>
        </is>
      </c>
      <c r="H1001" t="inlineStr" s="10">
        <is>
          <t/>
        </is>
      </c>
      <c r="I1001" t="inlineStr" s="10">
        <is>
          <t/>
        </is>
      </c>
    </row>
    <row r="1002" ht="28" customHeight="1">
      <c r="A1002" t="inlineStr" s="3">
        <is>
          <t>2027年5月｜第三周（5月17日 - 5月23日）</t>
        </is>
      </c>
      <c r="B1002" t="inlineStr" s="3">
        <is>
          <t/>
        </is>
      </c>
      <c r="C1002" t="inlineStr" s="3">
        <is>
          <t/>
        </is>
      </c>
      <c r="D1002" t="inlineStr" s="3">
        <is>
          <t/>
        </is>
      </c>
      <c r="E1002" t="inlineStr" s="3">
        <is>
          <t/>
        </is>
      </c>
      <c r="F1002" t="inlineStr" s="3">
        <is>
          <t/>
        </is>
      </c>
      <c r="G1002" t="inlineStr" s="3">
        <is>
          <t/>
        </is>
      </c>
      <c r="H1002" t="inlineStr" s="3">
        <is>
          <t/>
        </is>
      </c>
      <c r="I1002" t="inlineStr" s="3">
        <is>
          <t/>
        </is>
      </c>
    </row>
    <row r="1003" ht="23" customHeight="1">
      <c r="A1003" t="inlineStr" s="4">
        <is>
          <t>日期</t>
        </is>
      </c>
      <c r="B1003" t="inlineStr" s="4">
        <is>
          <t>星期</t>
        </is>
      </c>
      <c r="C1003" t="inlineStr" s="4">
        <is>
          <t>分类</t>
        </is>
      </c>
      <c r="D1003" t="inlineStr" s="4">
        <is>
          <t>事项</t>
        </is>
      </c>
      <c r="E1003" t="inlineStr" s="4">
        <is>
          <t>支出金额</t>
        </is>
      </c>
      <c r="F1003" t="inlineStr" s="4">
        <is>
          <t>收入金额</t>
        </is>
      </c>
      <c r="G1003" t="inlineStr" s="4">
        <is>
          <t>当笔净额</t>
        </is>
      </c>
      <c r="H1003" t="inlineStr" s="4">
        <is>
          <t>支付方式</t>
        </is>
      </c>
      <c r="I1003" t="inlineStr" s="4">
        <is>
          <t>备注</t>
        </is>
      </c>
    </row>
    <row r="1004" ht="22" customHeight="1">
      <c r="A1004" t="inlineStr" s="6">
        <is>
          <t/>
        </is>
      </c>
      <c r="B1004" s="5">
        <f>IF(A1004="","",TEXT(A1004,"aaa"))</f>
      </c>
      <c r="C1004" t="inlineStr" s="5">
        <is>
          <t/>
        </is>
      </c>
      <c r="D1004" t="inlineStr" s="5">
        <is>
          <t/>
        </is>
      </c>
      <c r="E1004" t="inlineStr" s="7">
        <is>
          <t/>
        </is>
      </c>
      <c r="F1004" t="inlineStr" s="7">
        <is>
          <t/>
        </is>
      </c>
      <c r="G1004" s="8">
        <f>IF(AND(E1004="",F1004=""),"",F1004-E1004)</f>
      </c>
      <c r="H1004" t="inlineStr" s="5">
        <is>
          <t/>
        </is>
      </c>
      <c r="I1004" t="inlineStr" s="5">
        <is>
          <t/>
        </is>
      </c>
    </row>
    <row r="1005" ht="22" customHeight="1">
      <c r="A1005" t="inlineStr" s="6">
        <is>
          <t/>
        </is>
      </c>
      <c r="B1005" s="5">
        <f>IF(A1005="","",TEXT(A1005,"aaa"))</f>
      </c>
      <c r="C1005" t="inlineStr" s="5">
        <is>
          <t/>
        </is>
      </c>
      <c r="D1005" t="inlineStr" s="5">
        <is>
          <t/>
        </is>
      </c>
      <c r="E1005" t="inlineStr" s="7">
        <is>
          <t/>
        </is>
      </c>
      <c r="F1005" t="inlineStr" s="7">
        <is>
          <t/>
        </is>
      </c>
      <c r="G1005" s="8">
        <f>IF(AND(E1005="",F1005=""),"",F1005-E1005)</f>
      </c>
      <c r="H1005" t="inlineStr" s="5">
        <is>
          <t/>
        </is>
      </c>
      <c r="I1005" t="inlineStr" s="5">
        <is>
          <t/>
        </is>
      </c>
    </row>
    <row r="1006" ht="22" customHeight="1">
      <c r="A1006" t="inlineStr" s="6">
        <is>
          <t/>
        </is>
      </c>
      <c r="B1006" s="5">
        <f>IF(A1006="","",TEXT(A1006,"aaa"))</f>
      </c>
      <c r="C1006" t="inlineStr" s="5">
        <is>
          <t/>
        </is>
      </c>
      <c r="D1006" t="inlineStr" s="5">
        <is>
          <t/>
        </is>
      </c>
      <c r="E1006" t="inlineStr" s="7">
        <is>
          <t/>
        </is>
      </c>
      <c r="F1006" t="inlineStr" s="7">
        <is>
          <t/>
        </is>
      </c>
      <c r="G1006" s="8">
        <f>IF(AND(E1006="",F1006=""),"",F1006-E1006)</f>
      </c>
      <c r="H1006" t="inlineStr" s="5">
        <is>
          <t/>
        </is>
      </c>
      <c r="I1006" t="inlineStr" s="5">
        <is>
          <t/>
        </is>
      </c>
    </row>
    <row r="1007" ht="22" customHeight="1">
      <c r="A1007" t="inlineStr" s="6">
        <is>
          <t/>
        </is>
      </c>
      <c r="B1007" s="5">
        <f>IF(A1007="","",TEXT(A1007,"aaa"))</f>
      </c>
      <c r="C1007" t="inlineStr" s="5">
        <is>
          <t/>
        </is>
      </c>
      <c r="D1007" t="inlineStr" s="5">
        <is>
          <t/>
        </is>
      </c>
      <c r="E1007" t="inlineStr" s="7">
        <is>
          <t/>
        </is>
      </c>
      <c r="F1007" t="inlineStr" s="7">
        <is>
          <t/>
        </is>
      </c>
      <c r="G1007" s="8">
        <f>IF(AND(E1007="",F1007=""),"",F1007-E1007)</f>
      </c>
      <c r="H1007" t="inlineStr" s="5">
        <is>
          <t/>
        </is>
      </c>
      <c r="I1007" t="inlineStr" s="5">
        <is>
          <t/>
        </is>
      </c>
    </row>
    <row r="1008" ht="22" customHeight="1">
      <c r="A1008" t="inlineStr" s="6">
        <is>
          <t/>
        </is>
      </c>
      <c r="B1008" s="5">
        <f>IF(A1008="","",TEXT(A1008,"aaa"))</f>
      </c>
      <c r="C1008" t="inlineStr" s="5">
        <is>
          <t/>
        </is>
      </c>
      <c r="D1008" t="inlineStr" s="5">
        <is>
          <t/>
        </is>
      </c>
      <c r="E1008" t="inlineStr" s="7">
        <is>
          <t/>
        </is>
      </c>
      <c r="F1008" t="inlineStr" s="7">
        <is>
          <t/>
        </is>
      </c>
      <c r="G1008" s="8">
        <f>IF(AND(E1008="",F1008=""),"",F1008-E1008)</f>
      </c>
      <c r="H1008" t="inlineStr" s="5">
        <is>
          <t/>
        </is>
      </c>
      <c r="I1008" t="inlineStr" s="5">
        <is>
          <t/>
        </is>
      </c>
    </row>
    <row r="1009" ht="22" customHeight="1">
      <c r="A1009" t="inlineStr" s="6">
        <is>
          <t/>
        </is>
      </c>
      <c r="B1009" s="5">
        <f>IF(A1009="","",TEXT(A1009,"aaa"))</f>
      </c>
      <c r="C1009" t="inlineStr" s="5">
        <is>
          <t/>
        </is>
      </c>
      <c r="D1009" t="inlineStr" s="5">
        <is>
          <t/>
        </is>
      </c>
      <c r="E1009" t="inlineStr" s="7">
        <is>
          <t/>
        </is>
      </c>
      <c r="F1009" t="inlineStr" s="7">
        <is>
          <t/>
        </is>
      </c>
      <c r="G1009" s="8">
        <f>IF(AND(E1009="",F1009=""),"",F1009-E1009)</f>
      </c>
      <c r="H1009" t="inlineStr" s="5">
        <is>
          <t/>
        </is>
      </c>
      <c r="I1009" t="inlineStr" s="5">
        <is>
          <t/>
        </is>
      </c>
    </row>
    <row r="1010" ht="22" customHeight="1">
      <c r="A1010" t="inlineStr" s="6">
        <is>
          <t/>
        </is>
      </c>
      <c r="B1010" s="5">
        <f>IF(A1010="","",TEXT(A1010,"aaa"))</f>
      </c>
      <c r="C1010" t="inlineStr" s="5">
        <is>
          <t/>
        </is>
      </c>
      <c r="D1010" t="inlineStr" s="5">
        <is>
          <t/>
        </is>
      </c>
      <c r="E1010" t="inlineStr" s="7">
        <is>
          <t/>
        </is>
      </c>
      <c r="F1010" t="inlineStr" s="7">
        <is>
          <t/>
        </is>
      </c>
      <c r="G1010" s="8">
        <f>IF(AND(E1010="",F1010=""),"",F1010-E1010)</f>
      </c>
      <c r="H1010" t="inlineStr" s="5">
        <is>
          <t/>
        </is>
      </c>
      <c r="I1010" t="inlineStr" s="5">
        <is>
          <t/>
        </is>
      </c>
    </row>
    <row r="1011" ht="22" customHeight="1">
      <c r="A1011" t="inlineStr" s="6">
        <is>
          <t/>
        </is>
      </c>
      <c r="B1011" s="5">
        <f>IF(A1011="","",TEXT(A1011,"aaa"))</f>
      </c>
      <c r="C1011" t="inlineStr" s="5">
        <is>
          <t/>
        </is>
      </c>
      <c r="D1011" t="inlineStr" s="5">
        <is>
          <t/>
        </is>
      </c>
      <c r="E1011" t="inlineStr" s="7">
        <is>
          <t/>
        </is>
      </c>
      <c r="F1011" t="inlineStr" s="7">
        <is>
          <t/>
        </is>
      </c>
      <c r="G1011" s="8">
        <f>IF(AND(E1011="",F1011=""),"",F1011-E1011)</f>
      </c>
      <c r="H1011" t="inlineStr" s="5">
        <is>
          <t/>
        </is>
      </c>
      <c r="I1011" t="inlineStr" s="5">
        <is>
          <t/>
        </is>
      </c>
    </row>
    <row r="1012" ht="22" customHeight="1">
      <c r="A1012" t="inlineStr" s="6">
        <is>
          <t/>
        </is>
      </c>
      <c r="B1012" s="5">
        <f>IF(A1012="","",TEXT(A1012,"aaa"))</f>
      </c>
      <c r="C1012" t="inlineStr" s="5">
        <is>
          <t/>
        </is>
      </c>
      <c r="D1012" t="inlineStr" s="5">
        <is>
          <t/>
        </is>
      </c>
      <c r="E1012" t="inlineStr" s="7">
        <is>
          <t/>
        </is>
      </c>
      <c r="F1012" t="inlineStr" s="7">
        <is>
          <t/>
        </is>
      </c>
      <c r="G1012" s="8">
        <f>IF(AND(E1012="",F1012=""),"",F1012-E1012)</f>
      </c>
      <c r="H1012" t="inlineStr" s="5">
        <is>
          <t/>
        </is>
      </c>
      <c r="I1012" t="inlineStr" s="5">
        <is>
          <t/>
        </is>
      </c>
    </row>
    <row r="1013" ht="22" customHeight="1">
      <c r="A1013" t="inlineStr" s="6">
        <is>
          <t/>
        </is>
      </c>
      <c r="B1013" s="5">
        <f>IF(A1013="","",TEXT(A1013,"aaa"))</f>
      </c>
      <c r="C1013" t="inlineStr" s="5">
        <is>
          <t/>
        </is>
      </c>
      <c r="D1013" t="inlineStr" s="5">
        <is>
          <t/>
        </is>
      </c>
      <c r="E1013" t="inlineStr" s="7">
        <is>
          <t/>
        </is>
      </c>
      <c r="F1013" t="inlineStr" s="7">
        <is>
          <t/>
        </is>
      </c>
      <c r="G1013" s="8">
        <f>IF(AND(E1013="",F1013=""),"",F1013-E1013)</f>
      </c>
      <c r="H1013" t="inlineStr" s="5">
        <is>
          <t/>
        </is>
      </c>
      <c r="I1013" t="inlineStr" s="5">
        <is>
          <t/>
        </is>
      </c>
    </row>
    <row r="1014" ht="22" customHeight="1">
      <c r="A1014" t="inlineStr" s="6">
        <is>
          <t/>
        </is>
      </c>
      <c r="B1014" s="5">
        <f>IF(A1014="","",TEXT(A1014,"aaa"))</f>
      </c>
      <c r="C1014" t="inlineStr" s="5">
        <is>
          <t/>
        </is>
      </c>
      <c r="D1014" t="inlineStr" s="5">
        <is>
          <t/>
        </is>
      </c>
      <c r="E1014" t="inlineStr" s="7">
        <is>
          <t/>
        </is>
      </c>
      <c r="F1014" t="inlineStr" s="7">
        <is>
          <t/>
        </is>
      </c>
      <c r="G1014" s="8">
        <f>IF(AND(E1014="",F1014=""),"",F1014-E1014)</f>
      </c>
      <c r="H1014" t="inlineStr" s="5">
        <is>
          <t/>
        </is>
      </c>
      <c r="I1014" t="inlineStr" s="5">
        <is>
          <t/>
        </is>
      </c>
    </row>
    <row r="1015" ht="22" customHeight="1">
      <c r="A1015" t="inlineStr" s="6">
        <is>
          <t/>
        </is>
      </c>
      <c r="B1015" s="5">
        <f>IF(A1015="","",TEXT(A1015,"aaa"))</f>
      </c>
      <c r="C1015" t="inlineStr" s="5">
        <is>
          <t/>
        </is>
      </c>
      <c r="D1015" t="inlineStr" s="5">
        <is>
          <t/>
        </is>
      </c>
      <c r="E1015" t="inlineStr" s="7">
        <is>
          <t/>
        </is>
      </c>
      <c r="F1015" t="inlineStr" s="7">
        <is>
          <t/>
        </is>
      </c>
      <c r="G1015" s="8">
        <f>IF(AND(E1015="",F1015=""),"",F1015-E1015)</f>
      </c>
      <c r="H1015" t="inlineStr" s="5">
        <is>
          <t/>
        </is>
      </c>
      <c r="I1015" t="inlineStr" s="5">
        <is>
          <t/>
        </is>
      </c>
    </row>
    <row r="1016" ht="22" customHeight="1">
      <c r="A1016" t="inlineStr" s="6">
        <is>
          <t/>
        </is>
      </c>
      <c r="B1016" s="5">
        <f>IF(A1016="","",TEXT(A1016,"aaa"))</f>
      </c>
      <c r="C1016" t="inlineStr" s="5">
        <is>
          <t/>
        </is>
      </c>
      <c r="D1016" t="inlineStr" s="5">
        <is>
          <t/>
        </is>
      </c>
      <c r="E1016" t="inlineStr" s="7">
        <is>
          <t/>
        </is>
      </c>
      <c r="F1016" t="inlineStr" s="7">
        <is>
          <t/>
        </is>
      </c>
      <c r="G1016" s="8">
        <f>IF(AND(E1016="",F1016=""),"",F1016-E1016)</f>
      </c>
      <c r="H1016" t="inlineStr" s="5">
        <is>
          <t/>
        </is>
      </c>
      <c r="I1016" t="inlineStr" s="5">
        <is>
          <t/>
        </is>
      </c>
    </row>
    <row r="1017" ht="22" customHeight="1">
      <c r="A1017" t="inlineStr" s="6">
        <is>
          <t/>
        </is>
      </c>
      <c r="B1017" s="5">
        <f>IF(A1017="","",TEXT(A1017,"aaa"))</f>
      </c>
      <c r="C1017" t="inlineStr" s="5">
        <is>
          <t/>
        </is>
      </c>
      <c r="D1017" t="inlineStr" s="5">
        <is>
          <t/>
        </is>
      </c>
      <c r="E1017" t="inlineStr" s="7">
        <is>
          <t/>
        </is>
      </c>
      <c r="F1017" t="inlineStr" s="7">
        <is>
          <t/>
        </is>
      </c>
      <c r="G1017" s="8">
        <f>IF(AND(E1017="",F1017=""),"",F1017-E1017)</f>
      </c>
      <c r="H1017" t="inlineStr" s="5">
        <is>
          <t/>
        </is>
      </c>
      <c r="I1017" t="inlineStr" s="5">
        <is>
          <t/>
        </is>
      </c>
    </row>
    <row r="1018" ht="22" customHeight="1">
      <c r="A1018" t="inlineStr" s="6">
        <is>
          <t/>
        </is>
      </c>
      <c r="B1018" s="5">
        <f>IF(A1018="","",TEXT(A1018,"aaa"))</f>
      </c>
      <c r="C1018" t="inlineStr" s="5">
        <is>
          <t/>
        </is>
      </c>
      <c r="D1018" t="inlineStr" s="5">
        <is>
          <t/>
        </is>
      </c>
      <c r="E1018" t="inlineStr" s="7">
        <is>
          <t/>
        </is>
      </c>
      <c r="F1018" t="inlineStr" s="7">
        <is>
          <t/>
        </is>
      </c>
      <c r="G1018" s="8">
        <f>IF(AND(E1018="",F1018=""),"",F1018-E1018)</f>
      </c>
      <c r="H1018" t="inlineStr" s="5">
        <is>
          <t/>
        </is>
      </c>
      <c r="I1018" t="inlineStr" s="5">
        <is>
          <t/>
        </is>
      </c>
    </row>
    <row r="1019" ht="24" customHeight="1">
      <c r="A1019" t="inlineStr" s="9">
        <is>
          <t>本周小计</t>
        </is>
      </c>
      <c r="B1019" t="inlineStr" s="9">
        <is>
          <t/>
        </is>
      </c>
      <c r="C1019" t="inlineStr" s="9">
        <is>
          <t/>
        </is>
      </c>
      <c r="D1019" t="inlineStr" s="9">
        <is>
          <t/>
        </is>
      </c>
      <c r="E1019" s="9">
        <f>SUM(E1004:E1018)</f>
      </c>
      <c r="F1019" s="9">
        <f>SUM(F1004:F1018)</f>
      </c>
      <c r="G1019" s="9">
        <f>SUM(G1004:G1018)</f>
      </c>
      <c r="H1019" t="inlineStr" s="9">
        <is>
          <t/>
        </is>
      </c>
      <c r="I1019" t="inlineStr" s="9">
        <is>
          <t/>
        </is>
      </c>
    </row>
    <row r="1020" ht="18" customHeight="1">
      <c r="A1020" t="inlineStr" s="10">
        <is>
          <t/>
        </is>
      </c>
      <c r="B1020" t="inlineStr" s="10">
        <is>
          <t/>
        </is>
      </c>
      <c r="C1020" t="inlineStr" s="10">
        <is>
          <t/>
        </is>
      </c>
      <c r="D1020" t="inlineStr" s="10">
        <is>
          <t/>
        </is>
      </c>
      <c r="E1020" t="inlineStr" s="10">
        <is>
          <t/>
        </is>
      </c>
      <c r="F1020" t="inlineStr" s="10">
        <is>
          <t/>
        </is>
      </c>
      <c r="G1020" t="inlineStr" s="10">
        <is>
          <t/>
        </is>
      </c>
      <c r="H1020" t="inlineStr" s="10">
        <is>
          <t/>
        </is>
      </c>
      <c r="I1020" t="inlineStr" s="10">
        <is>
          <t/>
        </is>
      </c>
    </row>
    <row r="1021" ht="18" customHeight="1">
      <c r="A1021" t="inlineStr" s="10">
        <is>
          <t/>
        </is>
      </c>
      <c r="B1021" t="inlineStr" s="10">
        <is>
          <t/>
        </is>
      </c>
      <c r="C1021" t="inlineStr" s="10">
        <is>
          <t/>
        </is>
      </c>
      <c r="D1021" t="inlineStr" s="10">
        <is>
          <t/>
        </is>
      </c>
      <c r="E1021" t="inlineStr" s="10">
        <is>
          <t/>
        </is>
      </c>
      <c r="F1021" t="inlineStr" s="10">
        <is>
          <t/>
        </is>
      </c>
      <c r="G1021" t="inlineStr" s="10">
        <is>
          <t/>
        </is>
      </c>
      <c r="H1021" t="inlineStr" s="10">
        <is>
          <t/>
        </is>
      </c>
      <c r="I1021" t="inlineStr" s="10">
        <is>
          <t/>
        </is>
      </c>
    </row>
    <row r="1022" ht="28" customHeight="1">
      <c r="A1022" t="inlineStr" s="3">
        <is>
          <t>2027年5月｜第四周（5月24日 - 5月30日）</t>
        </is>
      </c>
      <c r="B1022" t="inlineStr" s="3">
        <is>
          <t/>
        </is>
      </c>
      <c r="C1022" t="inlineStr" s="3">
        <is>
          <t/>
        </is>
      </c>
      <c r="D1022" t="inlineStr" s="3">
        <is>
          <t/>
        </is>
      </c>
      <c r="E1022" t="inlineStr" s="3">
        <is>
          <t/>
        </is>
      </c>
      <c r="F1022" t="inlineStr" s="3">
        <is>
          <t/>
        </is>
      </c>
      <c r="G1022" t="inlineStr" s="3">
        <is>
          <t/>
        </is>
      </c>
      <c r="H1022" t="inlineStr" s="3">
        <is>
          <t/>
        </is>
      </c>
      <c r="I1022" t="inlineStr" s="3">
        <is>
          <t/>
        </is>
      </c>
    </row>
    <row r="1023" ht="23" customHeight="1">
      <c r="A1023" t="inlineStr" s="4">
        <is>
          <t>日期</t>
        </is>
      </c>
      <c r="B1023" t="inlineStr" s="4">
        <is>
          <t>星期</t>
        </is>
      </c>
      <c r="C1023" t="inlineStr" s="4">
        <is>
          <t>分类</t>
        </is>
      </c>
      <c r="D1023" t="inlineStr" s="4">
        <is>
          <t>事项</t>
        </is>
      </c>
      <c r="E1023" t="inlineStr" s="4">
        <is>
          <t>支出金额</t>
        </is>
      </c>
      <c r="F1023" t="inlineStr" s="4">
        <is>
          <t>收入金额</t>
        </is>
      </c>
      <c r="G1023" t="inlineStr" s="4">
        <is>
          <t>当笔净额</t>
        </is>
      </c>
      <c r="H1023" t="inlineStr" s="4">
        <is>
          <t>支付方式</t>
        </is>
      </c>
      <c r="I1023" t="inlineStr" s="4">
        <is>
          <t>备注</t>
        </is>
      </c>
    </row>
    <row r="1024" ht="22" customHeight="1">
      <c r="A1024" t="inlineStr" s="6">
        <is>
          <t/>
        </is>
      </c>
      <c r="B1024" s="5">
        <f>IF(A1024="","",TEXT(A1024,"aaa"))</f>
      </c>
      <c r="C1024" t="inlineStr" s="5">
        <is>
          <t/>
        </is>
      </c>
      <c r="D1024" t="inlineStr" s="5">
        <is>
          <t/>
        </is>
      </c>
      <c r="E1024" t="inlineStr" s="7">
        <is>
          <t/>
        </is>
      </c>
      <c r="F1024" t="inlineStr" s="7">
        <is>
          <t/>
        </is>
      </c>
      <c r="G1024" s="8">
        <f>IF(AND(E1024="",F1024=""),"",F1024-E1024)</f>
      </c>
      <c r="H1024" t="inlineStr" s="5">
        <is>
          <t/>
        </is>
      </c>
      <c r="I1024" t="inlineStr" s="5">
        <is>
          <t/>
        </is>
      </c>
    </row>
    <row r="1025" ht="22" customHeight="1">
      <c r="A1025" t="inlineStr" s="6">
        <is>
          <t/>
        </is>
      </c>
      <c r="B1025" s="5">
        <f>IF(A1025="","",TEXT(A1025,"aaa"))</f>
      </c>
      <c r="C1025" t="inlineStr" s="5">
        <is>
          <t/>
        </is>
      </c>
      <c r="D1025" t="inlineStr" s="5">
        <is>
          <t/>
        </is>
      </c>
      <c r="E1025" t="inlineStr" s="7">
        <is>
          <t/>
        </is>
      </c>
      <c r="F1025" t="inlineStr" s="7">
        <is>
          <t/>
        </is>
      </c>
      <c r="G1025" s="8">
        <f>IF(AND(E1025="",F1025=""),"",F1025-E1025)</f>
      </c>
      <c r="H1025" t="inlineStr" s="5">
        <is>
          <t/>
        </is>
      </c>
      <c r="I1025" t="inlineStr" s="5">
        <is>
          <t/>
        </is>
      </c>
    </row>
    <row r="1026" ht="22" customHeight="1">
      <c r="A1026" t="inlineStr" s="6">
        <is>
          <t/>
        </is>
      </c>
      <c r="B1026" s="5">
        <f>IF(A1026="","",TEXT(A1026,"aaa"))</f>
      </c>
      <c r="C1026" t="inlineStr" s="5">
        <is>
          <t/>
        </is>
      </c>
      <c r="D1026" t="inlineStr" s="5">
        <is>
          <t/>
        </is>
      </c>
      <c r="E1026" t="inlineStr" s="7">
        <is>
          <t/>
        </is>
      </c>
      <c r="F1026" t="inlineStr" s="7">
        <is>
          <t/>
        </is>
      </c>
      <c r="G1026" s="8">
        <f>IF(AND(E1026="",F1026=""),"",F1026-E1026)</f>
      </c>
      <c r="H1026" t="inlineStr" s="5">
        <is>
          <t/>
        </is>
      </c>
      <c r="I1026" t="inlineStr" s="5">
        <is>
          <t/>
        </is>
      </c>
    </row>
    <row r="1027" ht="22" customHeight="1">
      <c r="A1027" t="inlineStr" s="6">
        <is>
          <t/>
        </is>
      </c>
      <c r="B1027" s="5">
        <f>IF(A1027="","",TEXT(A1027,"aaa"))</f>
      </c>
      <c r="C1027" t="inlineStr" s="5">
        <is>
          <t/>
        </is>
      </c>
      <c r="D1027" t="inlineStr" s="5">
        <is>
          <t/>
        </is>
      </c>
      <c r="E1027" t="inlineStr" s="7">
        <is>
          <t/>
        </is>
      </c>
      <c r="F1027" t="inlineStr" s="7">
        <is>
          <t/>
        </is>
      </c>
      <c r="G1027" s="8">
        <f>IF(AND(E1027="",F1027=""),"",F1027-E1027)</f>
      </c>
      <c r="H1027" t="inlineStr" s="5">
        <is>
          <t/>
        </is>
      </c>
      <c r="I1027" t="inlineStr" s="5">
        <is>
          <t/>
        </is>
      </c>
    </row>
    <row r="1028" ht="22" customHeight="1">
      <c r="A1028" t="inlineStr" s="6">
        <is>
          <t/>
        </is>
      </c>
      <c r="B1028" s="5">
        <f>IF(A1028="","",TEXT(A1028,"aaa"))</f>
      </c>
      <c r="C1028" t="inlineStr" s="5">
        <is>
          <t/>
        </is>
      </c>
      <c r="D1028" t="inlineStr" s="5">
        <is>
          <t/>
        </is>
      </c>
      <c r="E1028" t="inlineStr" s="7">
        <is>
          <t/>
        </is>
      </c>
      <c r="F1028" t="inlineStr" s="7">
        <is>
          <t/>
        </is>
      </c>
      <c r="G1028" s="8">
        <f>IF(AND(E1028="",F1028=""),"",F1028-E1028)</f>
      </c>
      <c r="H1028" t="inlineStr" s="5">
        <is>
          <t/>
        </is>
      </c>
      <c r="I1028" t="inlineStr" s="5">
        <is>
          <t/>
        </is>
      </c>
    </row>
    <row r="1029" ht="22" customHeight="1">
      <c r="A1029" t="inlineStr" s="6">
        <is>
          <t/>
        </is>
      </c>
      <c r="B1029" s="5">
        <f>IF(A1029="","",TEXT(A1029,"aaa"))</f>
      </c>
      <c r="C1029" t="inlineStr" s="5">
        <is>
          <t/>
        </is>
      </c>
      <c r="D1029" t="inlineStr" s="5">
        <is>
          <t/>
        </is>
      </c>
      <c r="E1029" t="inlineStr" s="7">
        <is>
          <t/>
        </is>
      </c>
      <c r="F1029" t="inlineStr" s="7">
        <is>
          <t/>
        </is>
      </c>
      <c r="G1029" s="8">
        <f>IF(AND(E1029="",F1029=""),"",F1029-E1029)</f>
      </c>
      <c r="H1029" t="inlineStr" s="5">
        <is>
          <t/>
        </is>
      </c>
      <c r="I1029" t="inlineStr" s="5">
        <is>
          <t/>
        </is>
      </c>
    </row>
    <row r="1030" ht="22" customHeight="1">
      <c r="A1030" t="inlineStr" s="6">
        <is>
          <t/>
        </is>
      </c>
      <c r="B1030" s="5">
        <f>IF(A1030="","",TEXT(A1030,"aaa"))</f>
      </c>
      <c r="C1030" t="inlineStr" s="5">
        <is>
          <t/>
        </is>
      </c>
      <c r="D1030" t="inlineStr" s="5">
        <is>
          <t/>
        </is>
      </c>
      <c r="E1030" t="inlineStr" s="7">
        <is>
          <t/>
        </is>
      </c>
      <c r="F1030" t="inlineStr" s="7">
        <is>
          <t/>
        </is>
      </c>
      <c r="G1030" s="8">
        <f>IF(AND(E1030="",F1030=""),"",F1030-E1030)</f>
      </c>
      <c r="H1030" t="inlineStr" s="5">
        <is>
          <t/>
        </is>
      </c>
      <c r="I1030" t="inlineStr" s="5">
        <is>
          <t/>
        </is>
      </c>
    </row>
    <row r="1031" ht="22" customHeight="1">
      <c r="A1031" t="inlineStr" s="6">
        <is>
          <t/>
        </is>
      </c>
      <c r="B1031" s="5">
        <f>IF(A1031="","",TEXT(A1031,"aaa"))</f>
      </c>
      <c r="C1031" t="inlineStr" s="5">
        <is>
          <t/>
        </is>
      </c>
      <c r="D1031" t="inlineStr" s="5">
        <is>
          <t/>
        </is>
      </c>
      <c r="E1031" t="inlineStr" s="7">
        <is>
          <t/>
        </is>
      </c>
      <c r="F1031" t="inlineStr" s="7">
        <is>
          <t/>
        </is>
      </c>
      <c r="G1031" s="8">
        <f>IF(AND(E1031="",F1031=""),"",F1031-E1031)</f>
      </c>
      <c r="H1031" t="inlineStr" s="5">
        <is>
          <t/>
        </is>
      </c>
      <c r="I1031" t="inlineStr" s="5">
        <is>
          <t/>
        </is>
      </c>
    </row>
    <row r="1032" ht="22" customHeight="1">
      <c r="A1032" t="inlineStr" s="6">
        <is>
          <t/>
        </is>
      </c>
      <c r="B1032" s="5">
        <f>IF(A1032="","",TEXT(A1032,"aaa"))</f>
      </c>
      <c r="C1032" t="inlineStr" s="5">
        <is>
          <t/>
        </is>
      </c>
      <c r="D1032" t="inlineStr" s="5">
        <is>
          <t/>
        </is>
      </c>
      <c r="E1032" t="inlineStr" s="7">
        <is>
          <t/>
        </is>
      </c>
      <c r="F1032" t="inlineStr" s="7">
        <is>
          <t/>
        </is>
      </c>
      <c r="G1032" s="8">
        <f>IF(AND(E1032="",F1032=""),"",F1032-E1032)</f>
      </c>
      <c r="H1032" t="inlineStr" s="5">
        <is>
          <t/>
        </is>
      </c>
      <c r="I1032" t="inlineStr" s="5">
        <is>
          <t/>
        </is>
      </c>
    </row>
    <row r="1033" ht="22" customHeight="1">
      <c r="A1033" t="inlineStr" s="6">
        <is>
          <t/>
        </is>
      </c>
      <c r="B1033" s="5">
        <f>IF(A1033="","",TEXT(A1033,"aaa"))</f>
      </c>
      <c r="C1033" t="inlineStr" s="5">
        <is>
          <t/>
        </is>
      </c>
      <c r="D1033" t="inlineStr" s="5">
        <is>
          <t/>
        </is>
      </c>
      <c r="E1033" t="inlineStr" s="7">
        <is>
          <t/>
        </is>
      </c>
      <c r="F1033" t="inlineStr" s="7">
        <is>
          <t/>
        </is>
      </c>
      <c r="G1033" s="8">
        <f>IF(AND(E1033="",F1033=""),"",F1033-E1033)</f>
      </c>
      <c r="H1033" t="inlineStr" s="5">
        <is>
          <t/>
        </is>
      </c>
      <c r="I1033" t="inlineStr" s="5">
        <is>
          <t/>
        </is>
      </c>
    </row>
    <row r="1034" ht="22" customHeight="1">
      <c r="A1034" t="inlineStr" s="6">
        <is>
          <t/>
        </is>
      </c>
      <c r="B1034" s="5">
        <f>IF(A1034="","",TEXT(A1034,"aaa"))</f>
      </c>
      <c r="C1034" t="inlineStr" s="5">
        <is>
          <t/>
        </is>
      </c>
      <c r="D1034" t="inlineStr" s="5">
        <is>
          <t/>
        </is>
      </c>
      <c r="E1034" t="inlineStr" s="7">
        <is>
          <t/>
        </is>
      </c>
      <c r="F1034" t="inlineStr" s="7">
        <is>
          <t/>
        </is>
      </c>
      <c r="G1034" s="8">
        <f>IF(AND(E1034="",F1034=""),"",F1034-E1034)</f>
      </c>
      <c r="H1034" t="inlineStr" s="5">
        <is>
          <t/>
        </is>
      </c>
      <c r="I1034" t="inlineStr" s="5">
        <is>
          <t/>
        </is>
      </c>
    </row>
    <row r="1035" ht="22" customHeight="1">
      <c r="A1035" t="inlineStr" s="6">
        <is>
          <t/>
        </is>
      </c>
      <c r="B1035" s="5">
        <f>IF(A1035="","",TEXT(A1035,"aaa"))</f>
      </c>
      <c r="C1035" t="inlineStr" s="5">
        <is>
          <t/>
        </is>
      </c>
      <c r="D1035" t="inlineStr" s="5">
        <is>
          <t/>
        </is>
      </c>
      <c r="E1035" t="inlineStr" s="7">
        <is>
          <t/>
        </is>
      </c>
      <c r="F1035" t="inlineStr" s="7">
        <is>
          <t/>
        </is>
      </c>
      <c r="G1035" s="8">
        <f>IF(AND(E1035="",F1035=""),"",F1035-E1035)</f>
      </c>
      <c r="H1035" t="inlineStr" s="5">
        <is>
          <t/>
        </is>
      </c>
      <c r="I1035" t="inlineStr" s="5">
        <is>
          <t/>
        </is>
      </c>
    </row>
    <row r="1036" ht="22" customHeight="1">
      <c r="A1036" t="inlineStr" s="6">
        <is>
          <t/>
        </is>
      </c>
      <c r="B1036" s="5">
        <f>IF(A1036="","",TEXT(A1036,"aaa"))</f>
      </c>
      <c r="C1036" t="inlineStr" s="5">
        <is>
          <t/>
        </is>
      </c>
      <c r="D1036" t="inlineStr" s="5">
        <is>
          <t/>
        </is>
      </c>
      <c r="E1036" t="inlineStr" s="7">
        <is>
          <t/>
        </is>
      </c>
      <c r="F1036" t="inlineStr" s="7">
        <is>
          <t/>
        </is>
      </c>
      <c r="G1036" s="8">
        <f>IF(AND(E1036="",F1036=""),"",F1036-E1036)</f>
      </c>
      <c r="H1036" t="inlineStr" s="5">
        <is>
          <t/>
        </is>
      </c>
      <c r="I1036" t="inlineStr" s="5">
        <is>
          <t/>
        </is>
      </c>
    </row>
    <row r="1037" ht="22" customHeight="1">
      <c r="A1037" t="inlineStr" s="6">
        <is>
          <t/>
        </is>
      </c>
      <c r="B1037" s="5">
        <f>IF(A1037="","",TEXT(A1037,"aaa"))</f>
      </c>
      <c r="C1037" t="inlineStr" s="5">
        <is>
          <t/>
        </is>
      </c>
      <c r="D1037" t="inlineStr" s="5">
        <is>
          <t/>
        </is>
      </c>
      <c r="E1037" t="inlineStr" s="7">
        <is>
          <t/>
        </is>
      </c>
      <c r="F1037" t="inlineStr" s="7">
        <is>
          <t/>
        </is>
      </c>
      <c r="G1037" s="8">
        <f>IF(AND(E1037="",F1037=""),"",F1037-E1037)</f>
      </c>
      <c r="H1037" t="inlineStr" s="5">
        <is>
          <t/>
        </is>
      </c>
      <c r="I1037" t="inlineStr" s="5">
        <is>
          <t/>
        </is>
      </c>
    </row>
    <row r="1038" ht="22" customHeight="1">
      <c r="A1038" t="inlineStr" s="6">
        <is>
          <t/>
        </is>
      </c>
      <c r="B1038" s="5">
        <f>IF(A1038="","",TEXT(A1038,"aaa"))</f>
      </c>
      <c r="C1038" t="inlineStr" s="5">
        <is>
          <t/>
        </is>
      </c>
      <c r="D1038" t="inlineStr" s="5">
        <is>
          <t/>
        </is>
      </c>
      <c r="E1038" t="inlineStr" s="7">
        <is>
          <t/>
        </is>
      </c>
      <c r="F1038" t="inlineStr" s="7">
        <is>
          <t/>
        </is>
      </c>
      <c r="G1038" s="8">
        <f>IF(AND(E1038="",F1038=""),"",F1038-E1038)</f>
      </c>
      <c r="H1038" t="inlineStr" s="5">
        <is>
          <t/>
        </is>
      </c>
      <c r="I1038" t="inlineStr" s="5">
        <is>
          <t/>
        </is>
      </c>
    </row>
    <row r="1039" ht="24" customHeight="1">
      <c r="A1039" t="inlineStr" s="9">
        <is>
          <t>本周小计</t>
        </is>
      </c>
      <c r="B1039" t="inlineStr" s="9">
        <is>
          <t/>
        </is>
      </c>
      <c r="C1039" t="inlineStr" s="9">
        <is>
          <t/>
        </is>
      </c>
      <c r="D1039" t="inlineStr" s="9">
        <is>
          <t/>
        </is>
      </c>
      <c r="E1039" s="9">
        <f>SUM(E1024:E1038)</f>
      </c>
      <c r="F1039" s="9">
        <f>SUM(F1024:F1038)</f>
      </c>
      <c r="G1039" s="9">
        <f>SUM(G1024:G1038)</f>
      </c>
      <c r="H1039" t="inlineStr" s="9">
        <is>
          <t/>
        </is>
      </c>
      <c r="I1039" t="inlineStr" s="9">
        <is>
          <t/>
        </is>
      </c>
    </row>
    <row r="1040" ht="18" customHeight="1">
      <c r="A1040" t="inlineStr" s="10">
        <is>
          <t/>
        </is>
      </c>
      <c r="B1040" t="inlineStr" s="10">
        <is>
          <t/>
        </is>
      </c>
      <c r="C1040" t="inlineStr" s="10">
        <is>
          <t/>
        </is>
      </c>
      <c r="D1040" t="inlineStr" s="10">
        <is>
          <t/>
        </is>
      </c>
      <c r="E1040" t="inlineStr" s="10">
        <is>
          <t/>
        </is>
      </c>
      <c r="F1040" t="inlineStr" s="10">
        <is>
          <t/>
        </is>
      </c>
      <c r="G1040" t="inlineStr" s="10">
        <is>
          <t/>
        </is>
      </c>
      <c r="H1040" t="inlineStr" s="10">
        <is>
          <t/>
        </is>
      </c>
      <c r="I1040" t="inlineStr" s="10">
        <is>
          <t/>
        </is>
      </c>
    </row>
    <row r="1041" ht="18" customHeight="1">
      <c r="A1041" t="inlineStr" s="10">
        <is>
          <t/>
        </is>
      </c>
      <c r="B1041" t="inlineStr" s="10">
        <is>
          <t/>
        </is>
      </c>
      <c r="C1041" t="inlineStr" s="10">
        <is>
          <t/>
        </is>
      </c>
      <c r="D1041" t="inlineStr" s="10">
        <is>
          <t/>
        </is>
      </c>
      <c r="E1041" t="inlineStr" s="10">
        <is>
          <t/>
        </is>
      </c>
      <c r="F1041" t="inlineStr" s="10">
        <is>
          <t/>
        </is>
      </c>
      <c r="G1041" t="inlineStr" s="10">
        <is>
          <t/>
        </is>
      </c>
      <c r="H1041" t="inlineStr" s="10">
        <is>
          <t/>
        </is>
      </c>
      <c r="I1041" t="inlineStr" s="10">
        <is>
          <t/>
        </is>
      </c>
    </row>
    <row r="1042" ht="28" customHeight="1">
      <c r="A1042" t="inlineStr" s="3">
        <is>
          <t>2027年5月-6月｜第五周（5月31日 - 6月6日）</t>
        </is>
      </c>
      <c r="B1042" t="inlineStr" s="3">
        <is>
          <t/>
        </is>
      </c>
      <c r="C1042" t="inlineStr" s="3">
        <is>
          <t/>
        </is>
      </c>
      <c r="D1042" t="inlineStr" s="3">
        <is>
          <t/>
        </is>
      </c>
      <c r="E1042" t="inlineStr" s="3">
        <is>
          <t/>
        </is>
      </c>
      <c r="F1042" t="inlineStr" s="3">
        <is>
          <t/>
        </is>
      </c>
      <c r="G1042" t="inlineStr" s="3">
        <is>
          <t/>
        </is>
      </c>
      <c r="H1042" t="inlineStr" s="3">
        <is>
          <t/>
        </is>
      </c>
      <c r="I1042" t="inlineStr" s="3">
        <is>
          <t/>
        </is>
      </c>
    </row>
    <row r="1043" ht="23" customHeight="1">
      <c r="A1043" t="inlineStr" s="4">
        <is>
          <t>日期</t>
        </is>
      </c>
      <c r="B1043" t="inlineStr" s="4">
        <is>
          <t>星期</t>
        </is>
      </c>
      <c r="C1043" t="inlineStr" s="4">
        <is>
          <t>分类</t>
        </is>
      </c>
      <c r="D1043" t="inlineStr" s="4">
        <is>
          <t>事项</t>
        </is>
      </c>
      <c r="E1043" t="inlineStr" s="4">
        <is>
          <t>支出金额</t>
        </is>
      </c>
      <c r="F1043" t="inlineStr" s="4">
        <is>
          <t>收入金额</t>
        </is>
      </c>
      <c r="G1043" t="inlineStr" s="4">
        <is>
          <t>当笔净额</t>
        </is>
      </c>
      <c r="H1043" t="inlineStr" s="4">
        <is>
          <t>支付方式</t>
        </is>
      </c>
      <c r="I1043" t="inlineStr" s="4">
        <is>
          <t>备注</t>
        </is>
      </c>
    </row>
    <row r="1044" ht="22" customHeight="1">
      <c r="A1044" t="inlineStr" s="6">
        <is>
          <t/>
        </is>
      </c>
      <c r="B1044" s="5">
        <f>IF(A1044="","",TEXT(A1044,"aaa"))</f>
      </c>
      <c r="C1044" t="inlineStr" s="5">
        <is>
          <t/>
        </is>
      </c>
      <c r="D1044" t="inlineStr" s="5">
        <is>
          <t/>
        </is>
      </c>
      <c r="E1044" t="inlineStr" s="7">
        <is>
          <t/>
        </is>
      </c>
      <c r="F1044" t="inlineStr" s="7">
        <is>
          <t/>
        </is>
      </c>
      <c r="G1044" s="8">
        <f>IF(AND(E1044="",F1044=""),"",F1044-E1044)</f>
      </c>
      <c r="H1044" t="inlineStr" s="5">
        <is>
          <t/>
        </is>
      </c>
      <c r="I1044" t="inlineStr" s="5">
        <is>
          <t/>
        </is>
      </c>
    </row>
    <row r="1045" ht="22" customHeight="1">
      <c r="A1045" t="inlineStr" s="6">
        <is>
          <t/>
        </is>
      </c>
      <c r="B1045" s="5">
        <f>IF(A1045="","",TEXT(A1045,"aaa"))</f>
      </c>
      <c r="C1045" t="inlineStr" s="5">
        <is>
          <t/>
        </is>
      </c>
      <c r="D1045" t="inlineStr" s="5">
        <is>
          <t/>
        </is>
      </c>
      <c r="E1045" t="inlineStr" s="7">
        <is>
          <t/>
        </is>
      </c>
      <c r="F1045" t="inlineStr" s="7">
        <is>
          <t/>
        </is>
      </c>
      <c r="G1045" s="8">
        <f>IF(AND(E1045="",F1045=""),"",F1045-E1045)</f>
      </c>
      <c r="H1045" t="inlineStr" s="5">
        <is>
          <t/>
        </is>
      </c>
      <c r="I1045" t="inlineStr" s="5">
        <is>
          <t/>
        </is>
      </c>
    </row>
    <row r="1046" ht="22" customHeight="1">
      <c r="A1046" t="inlineStr" s="6">
        <is>
          <t/>
        </is>
      </c>
      <c r="B1046" s="5">
        <f>IF(A1046="","",TEXT(A1046,"aaa"))</f>
      </c>
      <c r="C1046" t="inlineStr" s="5">
        <is>
          <t/>
        </is>
      </c>
      <c r="D1046" t="inlineStr" s="5">
        <is>
          <t/>
        </is>
      </c>
      <c r="E1046" t="inlineStr" s="7">
        <is>
          <t/>
        </is>
      </c>
      <c r="F1046" t="inlineStr" s="7">
        <is>
          <t/>
        </is>
      </c>
      <c r="G1046" s="8">
        <f>IF(AND(E1046="",F1046=""),"",F1046-E1046)</f>
      </c>
      <c r="H1046" t="inlineStr" s="5">
        <is>
          <t/>
        </is>
      </c>
      <c r="I1046" t="inlineStr" s="5">
        <is>
          <t/>
        </is>
      </c>
    </row>
    <row r="1047" ht="22" customHeight="1">
      <c r="A1047" t="inlineStr" s="6">
        <is>
          <t/>
        </is>
      </c>
      <c r="B1047" s="5">
        <f>IF(A1047="","",TEXT(A1047,"aaa"))</f>
      </c>
      <c r="C1047" t="inlineStr" s="5">
        <is>
          <t/>
        </is>
      </c>
      <c r="D1047" t="inlineStr" s="5">
        <is>
          <t/>
        </is>
      </c>
      <c r="E1047" t="inlineStr" s="7">
        <is>
          <t/>
        </is>
      </c>
      <c r="F1047" t="inlineStr" s="7">
        <is>
          <t/>
        </is>
      </c>
      <c r="G1047" s="8">
        <f>IF(AND(E1047="",F1047=""),"",F1047-E1047)</f>
      </c>
      <c r="H1047" t="inlineStr" s="5">
        <is>
          <t/>
        </is>
      </c>
      <c r="I1047" t="inlineStr" s="5">
        <is>
          <t/>
        </is>
      </c>
    </row>
    <row r="1048" ht="22" customHeight="1">
      <c r="A1048" t="inlineStr" s="6">
        <is>
          <t/>
        </is>
      </c>
      <c r="B1048" s="5">
        <f>IF(A1048="","",TEXT(A1048,"aaa"))</f>
      </c>
      <c r="C1048" t="inlineStr" s="5">
        <is>
          <t/>
        </is>
      </c>
      <c r="D1048" t="inlineStr" s="5">
        <is>
          <t/>
        </is>
      </c>
      <c r="E1048" t="inlineStr" s="7">
        <is>
          <t/>
        </is>
      </c>
      <c r="F1048" t="inlineStr" s="7">
        <is>
          <t/>
        </is>
      </c>
      <c r="G1048" s="8">
        <f>IF(AND(E1048="",F1048=""),"",F1048-E1048)</f>
      </c>
      <c r="H1048" t="inlineStr" s="5">
        <is>
          <t/>
        </is>
      </c>
      <c r="I1048" t="inlineStr" s="5">
        <is>
          <t/>
        </is>
      </c>
    </row>
    <row r="1049" ht="22" customHeight="1">
      <c r="A1049" t="inlineStr" s="6">
        <is>
          <t/>
        </is>
      </c>
      <c r="B1049" s="5">
        <f>IF(A1049="","",TEXT(A1049,"aaa"))</f>
      </c>
      <c r="C1049" t="inlineStr" s="5">
        <is>
          <t/>
        </is>
      </c>
      <c r="D1049" t="inlineStr" s="5">
        <is>
          <t/>
        </is>
      </c>
      <c r="E1049" t="inlineStr" s="7">
        <is>
          <t/>
        </is>
      </c>
      <c r="F1049" t="inlineStr" s="7">
        <is>
          <t/>
        </is>
      </c>
      <c r="G1049" s="8">
        <f>IF(AND(E1049="",F1049=""),"",F1049-E1049)</f>
      </c>
      <c r="H1049" t="inlineStr" s="5">
        <is>
          <t/>
        </is>
      </c>
      <c r="I1049" t="inlineStr" s="5">
        <is>
          <t/>
        </is>
      </c>
    </row>
    <row r="1050" ht="22" customHeight="1">
      <c r="A1050" t="inlineStr" s="6">
        <is>
          <t/>
        </is>
      </c>
      <c r="B1050" s="5">
        <f>IF(A1050="","",TEXT(A1050,"aaa"))</f>
      </c>
      <c r="C1050" t="inlineStr" s="5">
        <is>
          <t/>
        </is>
      </c>
      <c r="D1050" t="inlineStr" s="5">
        <is>
          <t/>
        </is>
      </c>
      <c r="E1050" t="inlineStr" s="7">
        <is>
          <t/>
        </is>
      </c>
      <c r="F1050" t="inlineStr" s="7">
        <is>
          <t/>
        </is>
      </c>
      <c r="G1050" s="8">
        <f>IF(AND(E1050="",F1050=""),"",F1050-E1050)</f>
      </c>
      <c r="H1050" t="inlineStr" s="5">
        <is>
          <t/>
        </is>
      </c>
      <c r="I1050" t="inlineStr" s="5">
        <is>
          <t/>
        </is>
      </c>
    </row>
    <row r="1051" ht="22" customHeight="1">
      <c r="A1051" t="inlineStr" s="6">
        <is>
          <t/>
        </is>
      </c>
      <c r="B1051" s="5">
        <f>IF(A1051="","",TEXT(A1051,"aaa"))</f>
      </c>
      <c r="C1051" t="inlineStr" s="5">
        <is>
          <t/>
        </is>
      </c>
      <c r="D1051" t="inlineStr" s="5">
        <is>
          <t/>
        </is>
      </c>
      <c r="E1051" t="inlineStr" s="7">
        <is>
          <t/>
        </is>
      </c>
      <c r="F1051" t="inlineStr" s="7">
        <is>
          <t/>
        </is>
      </c>
      <c r="G1051" s="8">
        <f>IF(AND(E1051="",F1051=""),"",F1051-E1051)</f>
      </c>
      <c r="H1051" t="inlineStr" s="5">
        <is>
          <t/>
        </is>
      </c>
      <c r="I1051" t="inlineStr" s="5">
        <is>
          <t/>
        </is>
      </c>
    </row>
    <row r="1052" ht="22" customHeight="1">
      <c r="A1052" t="inlineStr" s="6">
        <is>
          <t/>
        </is>
      </c>
      <c r="B1052" s="5">
        <f>IF(A1052="","",TEXT(A1052,"aaa"))</f>
      </c>
      <c r="C1052" t="inlineStr" s="5">
        <is>
          <t/>
        </is>
      </c>
      <c r="D1052" t="inlineStr" s="5">
        <is>
          <t/>
        </is>
      </c>
      <c r="E1052" t="inlineStr" s="7">
        <is>
          <t/>
        </is>
      </c>
      <c r="F1052" t="inlineStr" s="7">
        <is>
          <t/>
        </is>
      </c>
      <c r="G1052" s="8">
        <f>IF(AND(E1052="",F1052=""),"",F1052-E1052)</f>
      </c>
      <c r="H1052" t="inlineStr" s="5">
        <is>
          <t/>
        </is>
      </c>
      <c r="I1052" t="inlineStr" s="5">
        <is>
          <t/>
        </is>
      </c>
    </row>
    <row r="1053" ht="22" customHeight="1">
      <c r="A1053" t="inlineStr" s="6">
        <is>
          <t/>
        </is>
      </c>
      <c r="B1053" s="5">
        <f>IF(A1053="","",TEXT(A1053,"aaa"))</f>
      </c>
      <c r="C1053" t="inlineStr" s="5">
        <is>
          <t/>
        </is>
      </c>
      <c r="D1053" t="inlineStr" s="5">
        <is>
          <t/>
        </is>
      </c>
      <c r="E1053" t="inlineStr" s="7">
        <is>
          <t/>
        </is>
      </c>
      <c r="F1053" t="inlineStr" s="7">
        <is>
          <t/>
        </is>
      </c>
      <c r="G1053" s="8">
        <f>IF(AND(E1053="",F1053=""),"",F1053-E1053)</f>
      </c>
      <c r="H1053" t="inlineStr" s="5">
        <is>
          <t/>
        </is>
      </c>
      <c r="I1053" t="inlineStr" s="5">
        <is>
          <t/>
        </is>
      </c>
    </row>
    <row r="1054" ht="22" customHeight="1">
      <c r="A1054" t="inlineStr" s="6">
        <is>
          <t/>
        </is>
      </c>
      <c r="B1054" s="5">
        <f>IF(A1054="","",TEXT(A1054,"aaa"))</f>
      </c>
      <c r="C1054" t="inlineStr" s="5">
        <is>
          <t/>
        </is>
      </c>
      <c r="D1054" t="inlineStr" s="5">
        <is>
          <t/>
        </is>
      </c>
      <c r="E1054" t="inlineStr" s="7">
        <is>
          <t/>
        </is>
      </c>
      <c r="F1054" t="inlineStr" s="7">
        <is>
          <t/>
        </is>
      </c>
      <c r="G1054" s="8">
        <f>IF(AND(E1054="",F1054=""),"",F1054-E1054)</f>
      </c>
      <c r="H1054" t="inlineStr" s="5">
        <is>
          <t/>
        </is>
      </c>
      <c r="I1054" t="inlineStr" s="5">
        <is>
          <t/>
        </is>
      </c>
    </row>
    <row r="1055" ht="22" customHeight="1">
      <c r="A1055" t="inlineStr" s="6">
        <is>
          <t/>
        </is>
      </c>
      <c r="B1055" s="5">
        <f>IF(A1055="","",TEXT(A1055,"aaa"))</f>
      </c>
      <c r="C1055" t="inlineStr" s="5">
        <is>
          <t/>
        </is>
      </c>
      <c r="D1055" t="inlineStr" s="5">
        <is>
          <t/>
        </is>
      </c>
      <c r="E1055" t="inlineStr" s="7">
        <is>
          <t/>
        </is>
      </c>
      <c r="F1055" t="inlineStr" s="7">
        <is>
          <t/>
        </is>
      </c>
      <c r="G1055" s="8">
        <f>IF(AND(E1055="",F1055=""),"",F1055-E1055)</f>
      </c>
      <c r="H1055" t="inlineStr" s="5">
        <is>
          <t/>
        </is>
      </c>
      <c r="I1055" t="inlineStr" s="5">
        <is>
          <t/>
        </is>
      </c>
    </row>
    <row r="1056" ht="22" customHeight="1">
      <c r="A1056" t="inlineStr" s="6">
        <is>
          <t/>
        </is>
      </c>
      <c r="B1056" s="5">
        <f>IF(A1056="","",TEXT(A1056,"aaa"))</f>
      </c>
      <c r="C1056" t="inlineStr" s="5">
        <is>
          <t/>
        </is>
      </c>
      <c r="D1056" t="inlineStr" s="5">
        <is>
          <t/>
        </is>
      </c>
      <c r="E1056" t="inlineStr" s="7">
        <is>
          <t/>
        </is>
      </c>
      <c r="F1056" t="inlineStr" s="7">
        <is>
          <t/>
        </is>
      </c>
      <c r="G1056" s="8">
        <f>IF(AND(E1056="",F1056=""),"",F1056-E1056)</f>
      </c>
      <c r="H1056" t="inlineStr" s="5">
        <is>
          <t/>
        </is>
      </c>
      <c r="I1056" t="inlineStr" s="5">
        <is>
          <t/>
        </is>
      </c>
    </row>
    <row r="1057" ht="22" customHeight="1">
      <c r="A1057" t="inlineStr" s="6">
        <is>
          <t/>
        </is>
      </c>
      <c r="B1057" s="5">
        <f>IF(A1057="","",TEXT(A1057,"aaa"))</f>
      </c>
      <c r="C1057" t="inlineStr" s="5">
        <is>
          <t/>
        </is>
      </c>
      <c r="D1057" t="inlineStr" s="5">
        <is>
          <t/>
        </is>
      </c>
      <c r="E1057" t="inlineStr" s="7">
        <is>
          <t/>
        </is>
      </c>
      <c r="F1057" t="inlineStr" s="7">
        <is>
          <t/>
        </is>
      </c>
      <c r="G1057" s="8">
        <f>IF(AND(E1057="",F1057=""),"",F1057-E1057)</f>
      </c>
      <c r="H1057" t="inlineStr" s="5">
        <is>
          <t/>
        </is>
      </c>
      <c r="I1057" t="inlineStr" s="5">
        <is>
          <t/>
        </is>
      </c>
    </row>
    <row r="1058" ht="22" customHeight="1">
      <c r="A1058" t="inlineStr" s="6">
        <is>
          <t/>
        </is>
      </c>
      <c r="B1058" s="5">
        <f>IF(A1058="","",TEXT(A1058,"aaa"))</f>
      </c>
      <c r="C1058" t="inlineStr" s="5">
        <is>
          <t/>
        </is>
      </c>
      <c r="D1058" t="inlineStr" s="5">
        <is>
          <t/>
        </is>
      </c>
      <c r="E1058" t="inlineStr" s="7">
        <is>
          <t/>
        </is>
      </c>
      <c r="F1058" t="inlineStr" s="7">
        <is>
          <t/>
        </is>
      </c>
      <c r="G1058" s="8">
        <f>IF(AND(E1058="",F1058=""),"",F1058-E1058)</f>
      </c>
      <c r="H1058" t="inlineStr" s="5">
        <is>
          <t/>
        </is>
      </c>
      <c r="I1058" t="inlineStr" s="5">
        <is>
          <t/>
        </is>
      </c>
    </row>
    <row r="1059" ht="24" customHeight="1">
      <c r="A1059" t="inlineStr" s="9">
        <is>
          <t>本周小计</t>
        </is>
      </c>
      <c r="B1059" t="inlineStr" s="9">
        <is>
          <t/>
        </is>
      </c>
      <c r="C1059" t="inlineStr" s="9">
        <is>
          <t/>
        </is>
      </c>
      <c r="D1059" t="inlineStr" s="9">
        <is>
          <t/>
        </is>
      </c>
      <c r="E1059" s="9">
        <f>SUM(E1044:E1058)</f>
      </c>
      <c r="F1059" s="9">
        <f>SUM(F1044:F1058)</f>
      </c>
      <c r="G1059" s="9">
        <f>SUM(G1044:G1058)</f>
      </c>
      <c r="H1059" t="inlineStr" s="9">
        <is>
          <t/>
        </is>
      </c>
      <c r="I1059" t="inlineStr" s="9">
        <is>
          <t/>
        </is>
      </c>
    </row>
    <row r="1060" ht="18" customHeight="1">
      <c r="A1060" t="inlineStr" s="10">
        <is>
          <t/>
        </is>
      </c>
      <c r="B1060" t="inlineStr" s="10">
        <is>
          <t/>
        </is>
      </c>
      <c r="C1060" t="inlineStr" s="10">
        <is>
          <t/>
        </is>
      </c>
      <c r="D1060" t="inlineStr" s="10">
        <is>
          <t/>
        </is>
      </c>
      <c r="E1060" t="inlineStr" s="10">
        <is>
          <t/>
        </is>
      </c>
      <c r="F1060" t="inlineStr" s="10">
        <is>
          <t/>
        </is>
      </c>
      <c r="G1060" t="inlineStr" s="10">
        <is>
          <t/>
        </is>
      </c>
      <c r="H1060" t="inlineStr" s="10">
        <is>
          <t/>
        </is>
      </c>
      <c r="I1060" t="inlineStr" s="10">
        <is>
          <t/>
        </is>
      </c>
    </row>
    <row r="1061" ht="18" customHeight="1">
      <c r="A1061" t="inlineStr" s="10">
        <is>
          <t/>
        </is>
      </c>
      <c r="B1061" t="inlineStr" s="10">
        <is>
          <t/>
        </is>
      </c>
      <c r="C1061" t="inlineStr" s="10">
        <is>
          <t/>
        </is>
      </c>
      <c r="D1061" t="inlineStr" s="10">
        <is>
          <t/>
        </is>
      </c>
      <c r="E1061" t="inlineStr" s="10">
        <is>
          <t/>
        </is>
      </c>
      <c r="F1061" t="inlineStr" s="10">
        <is>
          <t/>
        </is>
      </c>
      <c r="G1061" t="inlineStr" s="10">
        <is>
          <t/>
        </is>
      </c>
      <c r="H1061" t="inlineStr" s="10">
        <is>
          <t/>
        </is>
      </c>
      <c r="I1061" t="inlineStr" s="10">
        <is>
          <t/>
        </is>
      </c>
    </row>
  </sheetData>
  <mergeCells count="106">
    <mergeCell ref="A2:I2"/>
    <mergeCell ref="A19:D19"/>
    <mergeCell ref="A22:I22"/>
    <mergeCell ref="A39:D39"/>
    <mergeCell ref="A42:I42"/>
    <mergeCell ref="A59:D59"/>
    <mergeCell ref="A62:I62"/>
    <mergeCell ref="A79:D79"/>
    <mergeCell ref="A82:I82"/>
    <mergeCell ref="A99:D99"/>
    <mergeCell ref="A102:I102"/>
    <mergeCell ref="A119:D119"/>
    <mergeCell ref="A122:I122"/>
    <mergeCell ref="A139:D139"/>
    <mergeCell ref="A142:I142"/>
    <mergeCell ref="A159:D159"/>
    <mergeCell ref="A162:I162"/>
    <mergeCell ref="A179:D179"/>
    <mergeCell ref="A182:I182"/>
    <mergeCell ref="A199:D199"/>
    <mergeCell ref="A202:I202"/>
    <mergeCell ref="A219:D219"/>
    <mergeCell ref="A222:I222"/>
    <mergeCell ref="A239:D239"/>
    <mergeCell ref="A242:I242"/>
    <mergeCell ref="A259:D259"/>
    <mergeCell ref="A262:I262"/>
    <mergeCell ref="A279:D279"/>
    <mergeCell ref="A282:I282"/>
    <mergeCell ref="A299:D299"/>
    <mergeCell ref="A302:I302"/>
    <mergeCell ref="A319:D319"/>
    <mergeCell ref="A322:I322"/>
    <mergeCell ref="A339:D339"/>
    <mergeCell ref="A342:I342"/>
    <mergeCell ref="A359:D359"/>
    <mergeCell ref="A362:I362"/>
    <mergeCell ref="A379:D379"/>
    <mergeCell ref="A382:I382"/>
    <mergeCell ref="A399:D399"/>
    <mergeCell ref="A402:I402"/>
    <mergeCell ref="A419:D419"/>
    <mergeCell ref="A422:I422"/>
    <mergeCell ref="A439:D439"/>
    <mergeCell ref="A442:I442"/>
    <mergeCell ref="A459:D459"/>
    <mergeCell ref="A462:I462"/>
    <mergeCell ref="A479:D479"/>
    <mergeCell ref="A482:I482"/>
    <mergeCell ref="A499:D499"/>
    <mergeCell ref="A502:I502"/>
    <mergeCell ref="A519:D519"/>
    <mergeCell ref="A522:I522"/>
    <mergeCell ref="A539:D539"/>
    <mergeCell ref="A542:I542"/>
    <mergeCell ref="A559:D559"/>
    <mergeCell ref="A562:I562"/>
    <mergeCell ref="A579:D579"/>
    <mergeCell ref="A582:I582"/>
    <mergeCell ref="A599:D599"/>
    <mergeCell ref="A602:I602"/>
    <mergeCell ref="A619:D619"/>
    <mergeCell ref="A622:I622"/>
    <mergeCell ref="A639:D639"/>
    <mergeCell ref="A642:I642"/>
    <mergeCell ref="A659:D659"/>
    <mergeCell ref="A662:I662"/>
    <mergeCell ref="A679:D679"/>
    <mergeCell ref="A682:I682"/>
    <mergeCell ref="A699:D699"/>
    <mergeCell ref="A702:I702"/>
    <mergeCell ref="A719:D719"/>
    <mergeCell ref="A722:I722"/>
    <mergeCell ref="A739:D739"/>
    <mergeCell ref="A742:I742"/>
    <mergeCell ref="A759:D759"/>
    <mergeCell ref="A762:I762"/>
    <mergeCell ref="A779:D779"/>
    <mergeCell ref="A782:I782"/>
    <mergeCell ref="A799:D799"/>
    <mergeCell ref="A802:I802"/>
    <mergeCell ref="A819:D819"/>
    <mergeCell ref="A822:I822"/>
    <mergeCell ref="A839:D839"/>
    <mergeCell ref="A842:I842"/>
    <mergeCell ref="A859:D859"/>
    <mergeCell ref="A862:I862"/>
    <mergeCell ref="A879:D879"/>
    <mergeCell ref="A882:I882"/>
    <mergeCell ref="A899:D899"/>
    <mergeCell ref="A902:I902"/>
    <mergeCell ref="A919:D919"/>
    <mergeCell ref="A922:I922"/>
    <mergeCell ref="A939:D939"/>
    <mergeCell ref="A942:I942"/>
    <mergeCell ref="A959:D959"/>
    <mergeCell ref="A962:I962"/>
    <mergeCell ref="A979:D979"/>
    <mergeCell ref="A982:I982"/>
    <mergeCell ref="A999:D999"/>
    <mergeCell ref="A1002:I1002"/>
    <mergeCell ref="A1019:D1019"/>
    <mergeCell ref="A1022:I1022"/>
    <mergeCell ref="A1039:D1039"/>
    <mergeCell ref="A1042:I1042"/>
    <mergeCell ref="A1059:D1059"/>
  </mergeCells>
  <dataValidations count="2">
    <dataValidation type="list" allowBlank="1" showErrorMessage="1" sqref="C4:C18 C24:C38 C44:C58 C64:C78 C84:C98 C104:C118 C124:C138 C144:C158 C164:C178 C184:C198 C204:C218 C224:C238 C244:C258 C264:C278 C284:C298 C304:C318 C324:C338 C344:C358 C364:C378 C384:C398 C404:C418 C424:C438 C444:C458 C464:C478 C484:C498 C504:C518 C524:C538 C544:C558 C564:C578 C584:C598 C604:C618 C624:C638 C644:C658 C664:C678 C684:C698 C704:C718 C724:C738 C744:C758 C764:C778 C784:C798 C804:C818 C824:C838 C844:C858 C864:C878 C884:C898 C904:C918 C924:C938 C944:C958 C964:C978 C984:C998 C1004:C1018 C1024:C1038 C1044:C1058">
      <formula1>'选项设置'!$A$2:$A$13</formula1>
    </dataValidation>
    <dataValidation type="list" allowBlank="1" showErrorMessage="1" sqref="H4:H18 H24:H38 H44:H58 H64:H78 H84:H98 H104:H118 H124:H138 H144:H158 H164:H178 H184:H198 H204:H218 H224:H238 H244:H258 H264:H278 H284:H298 H304:H318 H324:H338 H344:H358 H364:H378 H384:H398 H404:H418 H424:H438 H444:H458 H464:H478 H484:H498 H504:H518 H524:H538 H544:H558 H564:H578 H584:H598 H604:H618 H624:H638 H644:H658 H664:H678 H684:H698 H704:H718 H724:H738 H744:H758 H764:H778 H784:H798 H804:H818 H824:H838 H844:H858 H864:H878 H884:H898 H904:H918 H924:H938 H944:H958 H964:H978 H984:H998 H1004:H1018 H1024:H1038 H1044:H1058">
      <formula1>'选项设置'!$B$2:$B$7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55"/>
  <sheetViews>
    <sheetView workbookViewId="0">
      <pane ySplit="2" topLeftCell="A3" activePane="bottomLeft" state="frozen"/>
    </sheetView>
  </sheetViews>
  <cols>
    <col min="1" max="1" width="12" customWidth="1"/>
    <col min="2" max="2" width="13" customWidth="1"/>
    <col min="3" max="3" width="13" customWidth="1"/>
    <col min="4" max="4" width="14" customWidth="1"/>
    <col min="5" max="5" width="14" customWidth="1"/>
    <col min="6" max="6" width="14" customWidth="1"/>
    <col min="7" max="7" width="14" customWidth="1"/>
    <col min="8" max="8" width="28" customWidth="1"/>
  </cols>
  <sheetData>
    <row r="1">
      <c r="A1" t="inlineStr" s="11">
        <is>
          <t>按周汇总</t>
        </is>
      </c>
      <c r="B1" t="inlineStr" s="11">
        <is>
          <t/>
        </is>
      </c>
      <c r="C1" t="inlineStr" s="11">
        <is>
          <t/>
        </is>
      </c>
      <c r="D1" t="inlineStr" s="11">
        <is>
          <t/>
        </is>
      </c>
      <c r="E1" t="inlineStr" s="11">
        <is>
          <t/>
        </is>
      </c>
      <c r="F1" t="inlineStr" s="11">
        <is>
          <t/>
        </is>
      </c>
      <c r="G1" t="inlineStr" s="11">
        <is>
          <t/>
        </is>
      </c>
      <c r="H1" t="inlineStr" s="11">
        <is>
          <t/>
        </is>
      </c>
    </row>
    <row r="2">
      <c r="A2" t="inlineStr" s="12">
        <is>
          <t>周次</t>
        </is>
      </c>
      <c r="B2" t="inlineStr" s="12">
        <is>
          <t>起始日期</t>
        </is>
      </c>
      <c r="C2" t="inlineStr" s="12">
        <is>
          <t>结束日期</t>
        </is>
      </c>
      <c r="D2" t="inlineStr" s="12">
        <is>
          <t>支出合计</t>
        </is>
      </c>
      <c r="E2" t="inlineStr" s="12">
        <is>
          <t>收入合计</t>
        </is>
      </c>
      <c r="F2" t="inlineStr" s="12">
        <is>
          <t>本周净额</t>
        </is>
      </c>
      <c r="G2" t="inlineStr" s="12">
        <is>
          <t>累计余额</t>
        </is>
      </c>
      <c r="H2" t="inlineStr" s="12">
        <is>
          <t>备注</t>
        </is>
      </c>
    </row>
    <row r="3">
      <c r="A3" t="inlineStr" s="0">
        <is>
          <t>第01周</t>
        </is>
      </c>
      <c r="B3" t="n" s="6">
        <v>46174</v>
      </c>
      <c r="C3" t="n" s="6">
        <v>46180</v>
      </c>
      <c r="D3" s="7">
        <f>SUM('流水记账'!E4:E18)</f>
      </c>
      <c r="E3" s="7">
        <f>SUM('流水记账'!F4:F18)</f>
      </c>
      <c r="F3" s="8">
        <f>E3-D3</f>
      </c>
      <c r="G3" s="8">
        <f>'按月汇总'!$B$2+SUM($F$3:F3)</f>
      </c>
      <c r="H3" t="inlineStr" s="0">
        <is>
          <t/>
        </is>
      </c>
    </row>
    <row r="4">
      <c r="A4" t="inlineStr" s="13">
        <is>
          <t>第02周</t>
        </is>
      </c>
      <c r="B4" t="n" s="6">
        <v>46181</v>
      </c>
      <c r="C4" t="n" s="6">
        <v>46187</v>
      </c>
      <c r="D4" s="7">
        <f>SUM('流水记账'!E24:E38)</f>
      </c>
      <c r="E4" s="7">
        <f>SUM('流水记账'!F24:F38)</f>
      </c>
      <c r="F4" s="8">
        <f>E4-D4</f>
      </c>
      <c r="G4" s="8">
        <f>'按月汇总'!$B$2+SUM($F$3:F4)</f>
      </c>
      <c r="H4" t="inlineStr" s="13">
        <is>
          <t/>
        </is>
      </c>
    </row>
    <row r="5">
      <c r="A5" t="inlineStr" s="0">
        <is>
          <t>第03周</t>
        </is>
      </c>
      <c r="B5" t="n" s="6">
        <v>46188</v>
      </c>
      <c r="C5" t="n" s="6">
        <v>46194</v>
      </c>
      <c r="D5" s="7">
        <f>SUM('流水记账'!E44:E58)</f>
      </c>
      <c r="E5" s="7">
        <f>SUM('流水记账'!F44:F58)</f>
      </c>
      <c r="F5" s="8">
        <f>E5-D5</f>
      </c>
      <c r="G5" s="8">
        <f>'按月汇总'!$B$2+SUM($F$3:F5)</f>
      </c>
      <c r="H5" t="inlineStr" s="0">
        <is>
          <t/>
        </is>
      </c>
    </row>
    <row r="6">
      <c r="A6" t="inlineStr" s="13">
        <is>
          <t>第04周</t>
        </is>
      </c>
      <c r="B6" t="n" s="6">
        <v>46195</v>
      </c>
      <c r="C6" t="n" s="6">
        <v>46201</v>
      </c>
      <c r="D6" s="7">
        <f>SUM('流水记账'!E64:E78)</f>
      </c>
      <c r="E6" s="7">
        <f>SUM('流水记账'!F64:F78)</f>
      </c>
      <c r="F6" s="8">
        <f>E6-D6</f>
      </c>
      <c r="G6" s="8">
        <f>'按月汇总'!$B$2+SUM($F$3:F6)</f>
      </c>
      <c r="H6" t="inlineStr" s="13">
        <is>
          <t/>
        </is>
      </c>
    </row>
    <row r="7">
      <c r="A7" t="inlineStr" s="0">
        <is>
          <t>第05周</t>
        </is>
      </c>
      <c r="B7" t="n" s="6">
        <v>46202</v>
      </c>
      <c r="C7" t="n" s="6">
        <v>46208</v>
      </c>
      <c r="D7" s="7">
        <f>SUM('流水记账'!E84:E98)</f>
      </c>
      <c r="E7" s="7">
        <f>SUM('流水记账'!F84:F98)</f>
      </c>
      <c r="F7" s="8">
        <f>E7-D7</f>
      </c>
      <c r="G7" s="8">
        <f>'按月汇总'!$B$2+SUM($F$3:F7)</f>
      </c>
      <c r="H7" t="inlineStr" s="0">
        <is>
          <t/>
        </is>
      </c>
    </row>
    <row r="8">
      <c r="A8" t="inlineStr" s="13">
        <is>
          <t>第06周</t>
        </is>
      </c>
      <c r="B8" t="n" s="6">
        <v>46209</v>
      </c>
      <c r="C8" t="n" s="6">
        <v>46215</v>
      </c>
      <c r="D8" s="7">
        <f>SUM('流水记账'!E104:E118)</f>
      </c>
      <c r="E8" s="7">
        <f>SUM('流水记账'!F104:F118)</f>
      </c>
      <c r="F8" s="8">
        <f>E8-D8</f>
      </c>
      <c r="G8" s="8">
        <f>'按月汇总'!$B$2+SUM($F$3:F8)</f>
      </c>
      <c r="H8" t="inlineStr" s="13">
        <is>
          <t/>
        </is>
      </c>
    </row>
    <row r="9">
      <c r="A9" t="inlineStr" s="0">
        <is>
          <t>第07周</t>
        </is>
      </c>
      <c r="B9" t="n" s="6">
        <v>46216</v>
      </c>
      <c r="C9" t="n" s="6">
        <v>46222</v>
      </c>
      <c r="D9" s="7">
        <f>SUM('流水记账'!E124:E138)</f>
      </c>
      <c r="E9" s="7">
        <f>SUM('流水记账'!F124:F138)</f>
      </c>
      <c r="F9" s="8">
        <f>E9-D9</f>
      </c>
      <c r="G9" s="8">
        <f>'按月汇总'!$B$2+SUM($F$3:F9)</f>
      </c>
      <c r="H9" t="inlineStr" s="0">
        <is>
          <t/>
        </is>
      </c>
    </row>
    <row r="10">
      <c r="A10" t="inlineStr" s="13">
        <is>
          <t>第08周</t>
        </is>
      </c>
      <c r="B10" t="n" s="6">
        <v>46223</v>
      </c>
      <c r="C10" t="n" s="6">
        <v>46229</v>
      </c>
      <c r="D10" s="7">
        <f>SUM('流水记账'!E144:E158)</f>
      </c>
      <c r="E10" s="7">
        <f>SUM('流水记账'!F144:F158)</f>
      </c>
      <c r="F10" s="8">
        <f>E10-D10</f>
      </c>
      <c r="G10" s="8">
        <f>'按月汇总'!$B$2+SUM($F$3:F10)</f>
      </c>
      <c r="H10" t="inlineStr" s="13">
        <is>
          <t/>
        </is>
      </c>
    </row>
    <row r="11">
      <c r="A11" t="inlineStr" s="0">
        <is>
          <t>第09周</t>
        </is>
      </c>
      <c r="B11" t="n" s="6">
        <v>46230</v>
      </c>
      <c r="C11" t="n" s="6">
        <v>46236</v>
      </c>
      <c r="D11" s="7">
        <f>SUM('流水记账'!E164:E178)</f>
      </c>
      <c r="E11" s="7">
        <f>SUM('流水记账'!F164:F178)</f>
      </c>
      <c r="F11" s="8">
        <f>E11-D11</f>
      </c>
      <c r="G11" s="8">
        <f>'按月汇总'!$B$2+SUM($F$3:F11)</f>
      </c>
      <c r="H11" t="inlineStr" s="0">
        <is>
          <t/>
        </is>
      </c>
    </row>
    <row r="12">
      <c r="A12" t="inlineStr" s="13">
        <is>
          <t>第10周</t>
        </is>
      </c>
      <c r="B12" t="n" s="6">
        <v>46237</v>
      </c>
      <c r="C12" t="n" s="6">
        <v>46243</v>
      </c>
      <c r="D12" s="7">
        <f>SUM('流水记账'!E184:E198)</f>
      </c>
      <c r="E12" s="7">
        <f>SUM('流水记账'!F184:F198)</f>
      </c>
      <c r="F12" s="8">
        <f>E12-D12</f>
      </c>
      <c r="G12" s="8">
        <f>'按月汇总'!$B$2+SUM($F$3:F12)</f>
      </c>
      <c r="H12" t="inlineStr" s="13">
        <is>
          <t/>
        </is>
      </c>
    </row>
    <row r="13">
      <c r="A13" t="inlineStr" s="0">
        <is>
          <t>第11周</t>
        </is>
      </c>
      <c r="B13" t="n" s="6">
        <v>46244</v>
      </c>
      <c r="C13" t="n" s="6">
        <v>46250</v>
      </c>
      <c r="D13" s="7">
        <f>SUM('流水记账'!E204:E218)</f>
      </c>
      <c r="E13" s="7">
        <f>SUM('流水记账'!F204:F218)</f>
      </c>
      <c r="F13" s="8">
        <f>E13-D13</f>
      </c>
      <c r="G13" s="8">
        <f>'按月汇总'!$B$2+SUM($F$3:F13)</f>
      </c>
      <c r="H13" t="inlineStr" s="0">
        <is>
          <t/>
        </is>
      </c>
    </row>
    <row r="14">
      <c r="A14" t="inlineStr" s="13">
        <is>
          <t>第12周</t>
        </is>
      </c>
      <c r="B14" t="n" s="6">
        <v>46251</v>
      </c>
      <c r="C14" t="n" s="6">
        <v>46257</v>
      </c>
      <c r="D14" s="7">
        <f>SUM('流水记账'!E224:E238)</f>
      </c>
      <c r="E14" s="7">
        <f>SUM('流水记账'!F224:F238)</f>
      </c>
      <c r="F14" s="8">
        <f>E14-D14</f>
      </c>
      <c r="G14" s="8">
        <f>'按月汇总'!$B$2+SUM($F$3:F14)</f>
      </c>
      <c r="H14" t="inlineStr" s="13">
        <is>
          <t/>
        </is>
      </c>
    </row>
    <row r="15">
      <c r="A15" t="inlineStr" s="0">
        <is>
          <t>第13周</t>
        </is>
      </c>
      <c r="B15" t="n" s="6">
        <v>46258</v>
      </c>
      <c r="C15" t="n" s="6">
        <v>46264</v>
      </c>
      <c r="D15" s="7">
        <f>SUM('流水记账'!E244:E258)</f>
      </c>
      <c r="E15" s="7">
        <f>SUM('流水记账'!F244:F258)</f>
      </c>
      <c r="F15" s="8">
        <f>E15-D15</f>
      </c>
      <c r="G15" s="8">
        <f>'按月汇总'!$B$2+SUM($F$3:F15)</f>
      </c>
      <c r="H15" t="inlineStr" s="0">
        <is>
          <t/>
        </is>
      </c>
    </row>
    <row r="16">
      <c r="A16" t="inlineStr" s="13">
        <is>
          <t>第14周</t>
        </is>
      </c>
      <c r="B16" t="n" s="6">
        <v>46265</v>
      </c>
      <c r="C16" t="n" s="6">
        <v>46271</v>
      </c>
      <c r="D16" s="7">
        <f>SUM('流水记账'!E264:E278)</f>
      </c>
      <c r="E16" s="7">
        <f>SUM('流水记账'!F264:F278)</f>
      </c>
      <c r="F16" s="8">
        <f>E16-D16</f>
      </c>
      <c r="G16" s="8">
        <f>'按月汇总'!$B$2+SUM($F$3:F16)</f>
      </c>
      <c r="H16" t="inlineStr" s="13">
        <is>
          <t/>
        </is>
      </c>
    </row>
    <row r="17">
      <c r="A17" t="inlineStr" s="0">
        <is>
          <t>第15周</t>
        </is>
      </c>
      <c r="B17" t="n" s="6">
        <v>46272</v>
      </c>
      <c r="C17" t="n" s="6">
        <v>46278</v>
      </c>
      <c r="D17" s="7">
        <f>SUM('流水记账'!E284:E298)</f>
      </c>
      <c r="E17" s="7">
        <f>SUM('流水记账'!F284:F298)</f>
      </c>
      <c r="F17" s="8">
        <f>E17-D17</f>
      </c>
      <c r="G17" s="8">
        <f>'按月汇总'!$B$2+SUM($F$3:F17)</f>
      </c>
      <c r="H17" t="inlineStr" s="0">
        <is>
          <t/>
        </is>
      </c>
    </row>
    <row r="18">
      <c r="A18" t="inlineStr" s="13">
        <is>
          <t>第16周</t>
        </is>
      </c>
      <c r="B18" t="n" s="6">
        <v>46279</v>
      </c>
      <c r="C18" t="n" s="6">
        <v>46285</v>
      </c>
      <c r="D18" s="7">
        <f>SUM('流水记账'!E304:E318)</f>
      </c>
      <c r="E18" s="7">
        <f>SUM('流水记账'!F304:F318)</f>
      </c>
      <c r="F18" s="8">
        <f>E18-D18</f>
      </c>
      <c r="G18" s="8">
        <f>'按月汇总'!$B$2+SUM($F$3:F18)</f>
      </c>
      <c r="H18" t="inlineStr" s="13">
        <is>
          <t/>
        </is>
      </c>
    </row>
    <row r="19">
      <c r="A19" t="inlineStr" s="0">
        <is>
          <t>第17周</t>
        </is>
      </c>
      <c r="B19" t="n" s="6">
        <v>46286</v>
      </c>
      <c r="C19" t="n" s="6">
        <v>46292</v>
      </c>
      <c r="D19" s="7">
        <f>SUM('流水记账'!E324:E338)</f>
      </c>
      <c r="E19" s="7">
        <f>SUM('流水记账'!F324:F338)</f>
      </c>
      <c r="F19" s="8">
        <f>E19-D19</f>
      </c>
      <c r="G19" s="8">
        <f>'按月汇总'!$B$2+SUM($F$3:F19)</f>
      </c>
      <c r="H19" t="inlineStr" s="0">
        <is>
          <t/>
        </is>
      </c>
    </row>
    <row r="20">
      <c r="A20" t="inlineStr" s="13">
        <is>
          <t>第18周</t>
        </is>
      </c>
      <c r="B20" t="n" s="6">
        <v>46293</v>
      </c>
      <c r="C20" t="n" s="6">
        <v>46299</v>
      </c>
      <c r="D20" s="7">
        <f>SUM('流水记账'!E344:E358)</f>
      </c>
      <c r="E20" s="7">
        <f>SUM('流水记账'!F344:F358)</f>
      </c>
      <c r="F20" s="8">
        <f>E20-D20</f>
      </c>
      <c r="G20" s="8">
        <f>'按月汇总'!$B$2+SUM($F$3:F20)</f>
      </c>
      <c r="H20" t="inlineStr" s="13">
        <is>
          <t/>
        </is>
      </c>
    </row>
    <row r="21">
      <c r="A21" t="inlineStr" s="0">
        <is>
          <t>第19周</t>
        </is>
      </c>
      <c r="B21" t="n" s="6">
        <v>46300</v>
      </c>
      <c r="C21" t="n" s="6">
        <v>46306</v>
      </c>
      <c r="D21" s="7">
        <f>SUM('流水记账'!E364:E378)</f>
      </c>
      <c r="E21" s="7">
        <f>SUM('流水记账'!F364:F378)</f>
      </c>
      <c r="F21" s="8">
        <f>E21-D21</f>
      </c>
      <c r="G21" s="8">
        <f>'按月汇总'!$B$2+SUM($F$3:F21)</f>
      </c>
      <c r="H21" t="inlineStr" s="0">
        <is>
          <t/>
        </is>
      </c>
    </row>
    <row r="22">
      <c r="A22" t="inlineStr" s="13">
        <is>
          <t>第20周</t>
        </is>
      </c>
      <c r="B22" t="n" s="6">
        <v>46307</v>
      </c>
      <c r="C22" t="n" s="6">
        <v>46313</v>
      </c>
      <c r="D22" s="7">
        <f>SUM('流水记账'!E384:E398)</f>
      </c>
      <c r="E22" s="7">
        <f>SUM('流水记账'!F384:F398)</f>
      </c>
      <c r="F22" s="8">
        <f>E22-D22</f>
      </c>
      <c r="G22" s="8">
        <f>'按月汇总'!$B$2+SUM($F$3:F22)</f>
      </c>
      <c r="H22" t="inlineStr" s="13">
        <is>
          <t/>
        </is>
      </c>
    </row>
    <row r="23">
      <c r="A23" t="inlineStr" s="0">
        <is>
          <t>第21周</t>
        </is>
      </c>
      <c r="B23" t="n" s="6">
        <v>46314</v>
      </c>
      <c r="C23" t="n" s="6">
        <v>46320</v>
      </c>
      <c r="D23" s="7">
        <f>SUM('流水记账'!E404:E418)</f>
      </c>
      <c r="E23" s="7">
        <f>SUM('流水记账'!F404:F418)</f>
      </c>
      <c r="F23" s="8">
        <f>E23-D23</f>
      </c>
      <c r="G23" s="8">
        <f>'按月汇总'!$B$2+SUM($F$3:F23)</f>
      </c>
      <c r="H23" t="inlineStr" s="0">
        <is>
          <t/>
        </is>
      </c>
    </row>
    <row r="24">
      <c r="A24" t="inlineStr" s="13">
        <is>
          <t>第22周</t>
        </is>
      </c>
      <c r="B24" t="n" s="6">
        <v>46321</v>
      </c>
      <c r="C24" t="n" s="6">
        <v>46327</v>
      </c>
      <c r="D24" s="7">
        <f>SUM('流水记账'!E424:E438)</f>
      </c>
      <c r="E24" s="7">
        <f>SUM('流水记账'!F424:F438)</f>
      </c>
      <c r="F24" s="8">
        <f>E24-D24</f>
      </c>
      <c r="G24" s="8">
        <f>'按月汇总'!$B$2+SUM($F$3:F24)</f>
      </c>
      <c r="H24" t="inlineStr" s="13">
        <is>
          <t/>
        </is>
      </c>
    </row>
    <row r="25">
      <c r="A25" t="inlineStr" s="0">
        <is>
          <t>第23周</t>
        </is>
      </c>
      <c r="B25" t="n" s="6">
        <v>46328</v>
      </c>
      <c r="C25" t="n" s="6">
        <v>46334</v>
      </c>
      <c r="D25" s="7">
        <f>SUM('流水记账'!E444:E458)</f>
      </c>
      <c r="E25" s="7">
        <f>SUM('流水记账'!F444:F458)</f>
      </c>
      <c r="F25" s="8">
        <f>E25-D25</f>
      </c>
      <c r="G25" s="8">
        <f>'按月汇总'!$B$2+SUM($F$3:F25)</f>
      </c>
      <c r="H25" t="inlineStr" s="0">
        <is>
          <t/>
        </is>
      </c>
    </row>
    <row r="26">
      <c r="A26" t="inlineStr" s="13">
        <is>
          <t>第24周</t>
        </is>
      </c>
      <c r="B26" t="n" s="6">
        <v>46335</v>
      </c>
      <c r="C26" t="n" s="6">
        <v>46341</v>
      </c>
      <c r="D26" s="7">
        <f>SUM('流水记账'!E464:E478)</f>
      </c>
      <c r="E26" s="7">
        <f>SUM('流水记账'!F464:F478)</f>
      </c>
      <c r="F26" s="8">
        <f>E26-D26</f>
      </c>
      <c r="G26" s="8">
        <f>'按月汇总'!$B$2+SUM($F$3:F26)</f>
      </c>
      <c r="H26" t="inlineStr" s="13">
        <is>
          <t/>
        </is>
      </c>
    </row>
    <row r="27">
      <c r="A27" t="inlineStr" s="0">
        <is>
          <t>第25周</t>
        </is>
      </c>
      <c r="B27" t="n" s="6">
        <v>46342</v>
      </c>
      <c r="C27" t="n" s="6">
        <v>46348</v>
      </c>
      <c r="D27" s="7">
        <f>SUM('流水记账'!E484:E498)</f>
      </c>
      <c r="E27" s="7">
        <f>SUM('流水记账'!F484:F498)</f>
      </c>
      <c r="F27" s="8">
        <f>E27-D27</f>
      </c>
      <c r="G27" s="8">
        <f>'按月汇总'!$B$2+SUM($F$3:F27)</f>
      </c>
      <c r="H27" t="inlineStr" s="0">
        <is>
          <t/>
        </is>
      </c>
    </row>
    <row r="28">
      <c r="A28" t="inlineStr" s="13">
        <is>
          <t>第26周</t>
        </is>
      </c>
      <c r="B28" t="n" s="6">
        <v>46349</v>
      </c>
      <c r="C28" t="n" s="6">
        <v>46355</v>
      </c>
      <c r="D28" s="7">
        <f>SUM('流水记账'!E504:E518)</f>
      </c>
      <c r="E28" s="7">
        <f>SUM('流水记账'!F504:F518)</f>
      </c>
      <c r="F28" s="8">
        <f>E28-D28</f>
      </c>
      <c r="G28" s="8">
        <f>'按月汇总'!$B$2+SUM($F$3:F28)</f>
      </c>
      <c r="H28" t="inlineStr" s="13">
        <is>
          <t/>
        </is>
      </c>
    </row>
    <row r="29">
      <c r="A29" t="inlineStr" s="0">
        <is>
          <t>第27周</t>
        </is>
      </c>
      <c r="B29" t="n" s="6">
        <v>46356</v>
      </c>
      <c r="C29" t="n" s="6">
        <v>46362</v>
      </c>
      <c r="D29" s="7">
        <f>SUM('流水记账'!E524:E538)</f>
      </c>
      <c r="E29" s="7">
        <f>SUM('流水记账'!F524:F538)</f>
      </c>
      <c r="F29" s="8">
        <f>E29-D29</f>
      </c>
      <c r="G29" s="8">
        <f>'按月汇总'!$B$2+SUM($F$3:F29)</f>
      </c>
      <c r="H29" t="inlineStr" s="0">
        <is>
          <t/>
        </is>
      </c>
    </row>
    <row r="30">
      <c r="A30" t="inlineStr" s="13">
        <is>
          <t>第28周</t>
        </is>
      </c>
      <c r="B30" t="n" s="6">
        <v>46363</v>
      </c>
      <c r="C30" t="n" s="6">
        <v>46369</v>
      </c>
      <c r="D30" s="7">
        <f>SUM('流水记账'!E544:E558)</f>
      </c>
      <c r="E30" s="7">
        <f>SUM('流水记账'!F544:F558)</f>
      </c>
      <c r="F30" s="8">
        <f>E30-D30</f>
      </c>
      <c r="G30" s="8">
        <f>'按月汇总'!$B$2+SUM($F$3:F30)</f>
      </c>
      <c r="H30" t="inlineStr" s="13">
        <is>
          <t/>
        </is>
      </c>
    </row>
    <row r="31">
      <c r="A31" t="inlineStr" s="0">
        <is>
          <t>第29周</t>
        </is>
      </c>
      <c r="B31" t="n" s="6">
        <v>46370</v>
      </c>
      <c r="C31" t="n" s="6">
        <v>46376</v>
      </c>
      <c r="D31" s="7">
        <f>SUM('流水记账'!E564:E578)</f>
      </c>
      <c r="E31" s="7">
        <f>SUM('流水记账'!F564:F578)</f>
      </c>
      <c r="F31" s="8">
        <f>E31-D31</f>
      </c>
      <c r="G31" s="8">
        <f>'按月汇总'!$B$2+SUM($F$3:F31)</f>
      </c>
      <c r="H31" t="inlineStr" s="0">
        <is>
          <t/>
        </is>
      </c>
    </row>
    <row r="32">
      <c r="A32" t="inlineStr" s="13">
        <is>
          <t>第30周</t>
        </is>
      </c>
      <c r="B32" t="n" s="6">
        <v>46377</v>
      </c>
      <c r="C32" t="n" s="6">
        <v>46383</v>
      </c>
      <c r="D32" s="7">
        <f>SUM('流水记账'!E584:E598)</f>
      </c>
      <c r="E32" s="7">
        <f>SUM('流水记账'!F584:F598)</f>
      </c>
      <c r="F32" s="8">
        <f>E32-D32</f>
      </c>
      <c r="G32" s="8">
        <f>'按月汇总'!$B$2+SUM($F$3:F32)</f>
      </c>
      <c r="H32" t="inlineStr" s="13">
        <is>
          <t/>
        </is>
      </c>
    </row>
    <row r="33">
      <c r="A33" t="inlineStr" s="0">
        <is>
          <t>第31周</t>
        </is>
      </c>
      <c r="B33" t="n" s="6">
        <v>46384</v>
      </c>
      <c r="C33" t="n" s="6">
        <v>46390</v>
      </c>
      <c r="D33" s="7">
        <f>SUM('流水记账'!E604:E618)</f>
      </c>
      <c r="E33" s="7">
        <f>SUM('流水记账'!F604:F618)</f>
      </c>
      <c r="F33" s="8">
        <f>E33-D33</f>
      </c>
      <c r="G33" s="8">
        <f>'按月汇总'!$B$2+SUM($F$3:F33)</f>
      </c>
      <c r="H33" t="inlineStr" s="0">
        <is>
          <t/>
        </is>
      </c>
    </row>
    <row r="34">
      <c r="A34" t="inlineStr" s="13">
        <is>
          <t>第32周</t>
        </is>
      </c>
      <c r="B34" t="n" s="6">
        <v>46391</v>
      </c>
      <c r="C34" t="n" s="6">
        <v>46397</v>
      </c>
      <c r="D34" s="7">
        <f>SUM('流水记账'!E624:E638)</f>
      </c>
      <c r="E34" s="7">
        <f>SUM('流水记账'!F624:F638)</f>
      </c>
      <c r="F34" s="8">
        <f>E34-D34</f>
      </c>
      <c r="G34" s="8">
        <f>'按月汇总'!$B$2+SUM($F$3:F34)</f>
      </c>
      <c r="H34" t="inlineStr" s="13">
        <is>
          <t/>
        </is>
      </c>
    </row>
    <row r="35">
      <c r="A35" t="inlineStr" s="0">
        <is>
          <t>第33周</t>
        </is>
      </c>
      <c r="B35" t="n" s="6">
        <v>46398</v>
      </c>
      <c r="C35" t="n" s="6">
        <v>46404</v>
      </c>
      <c r="D35" s="7">
        <f>SUM('流水记账'!E644:E658)</f>
      </c>
      <c r="E35" s="7">
        <f>SUM('流水记账'!F644:F658)</f>
      </c>
      <c r="F35" s="8">
        <f>E35-D35</f>
      </c>
      <c r="G35" s="8">
        <f>'按月汇总'!$B$2+SUM($F$3:F35)</f>
      </c>
      <c r="H35" t="inlineStr" s="0">
        <is>
          <t/>
        </is>
      </c>
    </row>
    <row r="36">
      <c r="A36" t="inlineStr" s="13">
        <is>
          <t>第34周</t>
        </is>
      </c>
      <c r="B36" t="n" s="6">
        <v>46405</v>
      </c>
      <c r="C36" t="n" s="6">
        <v>46411</v>
      </c>
      <c r="D36" s="7">
        <f>SUM('流水记账'!E664:E678)</f>
      </c>
      <c r="E36" s="7">
        <f>SUM('流水记账'!F664:F678)</f>
      </c>
      <c r="F36" s="8">
        <f>E36-D36</f>
      </c>
      <c r="G36" s="8">
        <f>'按月汇总'!$B$2+SUM($F$3:F36)</f>
      </c>
      <c r="H36" t="inlineStr" s="13">
        <is>
          <t/>
        </is>
      </c>
    </row>
    <row r="37">
      <c r="A37" t="inlineStr" s="0">
        <is>
          <t>第35周</t>
        </is>
      </c>
      <c r="B37" t="n" s="6">
        <v>46412</v>
      </c>
      <c r="C37" t="n" s="6">
        <v>46418</v>
      </c>
      <c r="D37" s="7">
        <f>SUM('流水记账'!E684:E698)</f>
      </c>
      <c r="E37" s="7">
        <f>SUM('流水记账'!F684:F698)</f>
      </c>
      <c r="F37" s="8">
        <f>E37-D37</f>
      </c>
      <c r="G37" s="8">
        <f>'按月汇总'!$B$2+SUM($F$3:F37)</f>
      </c>
      <c r="H37" t="inlineStr" s="0">
        <is>
          <t/>
        </is>
      </c>
    </row>
    <row r="38">
      <c r="A38" t="inlineStr" s="13">
        <is>
          <t>第36周</t>
        </is>
      </c>
      <c r="B38" t="n" s="6">
        <v>46419</v>
      </c>
      <c r="C38" t="n" s="6">
        <v>46425</v>
      </c>
      <c r="D38" s="7">
        <f>SUM('流水记账'!E704:E718)</f>
      </c>
      <c r="E38" s="7">
        <f>SUM('流水记账'!F704:F718)</f>
      </c>
      <c r="F38" s="8">
        <f>E38-D38</f>
      </c>
      <c r="G38" s="8">
        <f>'按月汇总'!$B$2+SUM($F$3:F38)</f>
      </c>
      <c r="H38" t="inlineStr" s="13">
        <is>
          <t/>
        </is>
      </c>
    </row>
    <row r="39">
      <c r="A39" t="inlineStr" s="0">
        <is>
          <t>第37周</t>
        </is>
      </c>
      <c r="B39" t="n" s="6">
        <v>46426</v>
      </c>
      <c r="C39" t="n" s="6">
        <v>46432</v>
      </c>
      <c r="D39" s="7">
        <f>SUM('流水记账'!E724:E738)</f>
      </c>
      <c r="E39" s="7">
        <f>SUM('流水记账'!F724:F738)</f>
      </c>
      <c r="F39" s="8">
        <f>E39-D39</f>
      </c>
      <c r="G39" s="8">
        <f>'按月汇总'!$B$2+SUM($F$3:F39)</f>
      </c>
      <c r="H39" t="inlineStr" s="0">
        <is>
          <t/>
        </is>
      </c>
    </row>
    <row r="40">
      <c r="A40" t="inlineStr" s="13">
        <is>
          <t>第38周</t>
        </is>
      </c>
      <c r="B40" t="n" s="6">
        <v>46433</v>
      </c>
      <c r="C40" t="n" s="6">
        <v>46439</v>
      </c>
      <c r="D40" s="7">
        <f>SUM('流水记账'!E744:E758)</f>
      </c>
      <c r="E40" s="7">
        <f>SUM('流水记账'!F744:F758)</f>
      </c>
      <c r="F40" s="8">
        <f>E40-D40</f>
      </c>
      <c r="G40" s="8">
        <f>'按月汇总'!$B$2+SUM($F$3:F40)</f>
      </c>
      <c r="H40" t="inlineStr" s="13">
        <is>
          <t/>
        </is>
      </c>
    </row>
    <row r="41">
      <c r="A41" t="inlineStr" s="0">
        <is>
          <t>第39周</t>
        </is>
      </c>
      <c r="B41" t="n" s="6">
        <v>46440</v>
      </c>
      <c r="C41" t="n" s="6">
        <v>46446</v>
      </c>
      <c r="D41" s="7">
        <f>SUM('流水记账'!E764:E778)</f>
      </c>
      <c r="E41" s="7">
        <f>SUM('流水记账'!F764:F778)</f>
      </c>
      <c r="F41" s="8">
        <f>E41-D41</f>
      </c>
      <c r="G41" s="8">
        <f>'按月汇总'!$B$2+SUM($F$3:F41)</f>
      </c>
      <c r="H41" t="inlineStr" s="0">
        <is>
          <t/>
        </is>
      </c>
    </row>
    <row r="42">
      <c r="A42" t="inlineStr" s="13">
        <is>
          <t>第40周</t>
        </is>
      </c>
      <c r="B42" t="n" s="6">
        <v>46447</v>
      </c>
      <c r="C42" t="n" s="6">
        <v>46453</v>
      </c>
      <c r="D42" s="7">
        <f>SUM('流水记账'!E784:E798)</f>
      </c>
      <c r="E42" s="7">
        <f>SUM('流水记账'!F784:F798)</f>
      </c>
      <c r="F42" s="8">
        <f>E42-D42</f>
      </c>
      <c r="G42" s="8">
        <f>'按月汇总'!$B$2+SUM($F$3:F42)</f>
      </c>
      <c r="H42" t="inlineStr" s="13">
        <is>
          <t/>
        </is>
      </c>
    </row>
    <row r="43">
      <c r="A43" t="inlineStr" s="0">
        <is>
          <t>第41周</t>
        </is>
      </c>
      <c r="B43" t="n" s="6">
        <v>46454</v>
      </c>
      <c r="C43" t="n" s="6">
        <v>46460</v>
      </c>
      <c r="D43" s="7">
        <f>SUM('流水记账'!E804:E818)</f>
      </c>
      <c r="E43" s="7">
        <f>SUM('流水记账'!F804:F818)</f>
      </c>
      <c r="F43" s="8">
        <f>E43-D43</f>
      </c>
      <c r="G43" s="8">
        <f>'按月汇总'!$B$2+SUM($F$3:F43)</f>
      </c>
      <c r="H43" t="inlineStr" s="0">
        <is>
          <t/>
        </is>
      </c>
    </row>
    <row r="44">
      <c r="A44" t="inlineStr" s="13">
        <is>
          <t>第42周</t>
        </is>
      </c>
      <c r="B44" t="n" s="6">
        <v>46461</v>
      </c>
      <c r="C44" t="n" s="6">
        <v>46467</v>
      </c>
      <c r="D44" s="7">
        <f>SUM('流水记账'!E824:E838)</f>
      </c>
      <c r="E44" s="7">
        <f>SUM('流水记账'!F824:F838)</f>
      </c>
      <c r="F44" s="8">
        <f>E44-D44</f>
      </c>
      <c r="G44" s="8">
        <f>'按月汇总'!$B$2+SUM($F$3:F44)</f>
      </c>
      <c r="H44" t="inlineStr" s="13">
        <is>
          <t/>
        </is>
      </c>
    </row>
    <row r="45">
      <c r="A45" t="inlineStr" s="0">
        <is>
          <t>第43周</t>
        </is>
      </c>
      <c r="B45" t="n" s="6">
        <v>46468</v>
      </c>
      <c r="C45" t="n" s="6">
        <v>46474</v>
      </c>
      <c r="D45" s="7">
        <f>SUM('流水记账'!E844:E858)</f>
      </c>
      <c r="E45" s="7">
        <f>SUM('流水记账'!F844:F858)</f>
      </c>
      <c r="F45" s="8">
        <f>E45-D45</f>
      </c>
      <c r="G45" s="8">
        <f>'按月汇总'!$B$2+SUM($F$3:F45)</f>
      </c>
      <c r="H45" t="inlineStr" s="0">
        <is>
          <t/>
        </is>
      </c>
    </row>
    <row r="46">
      <c r="A46" t="inlineStr" s="13">
        <is>
          <t>第44周</t>
        </is>
      </c>
      <c r="B46" t="n" s="6">
        <v>46475</v>
      </c>
      <c r="C46" t="n" s="6">
        <v>46481</v>
      </c>
      <c r="D46" s="7">
        <f>SUM('流水记账'!E864:E878)</f>
      </c>
      <c r="E46" s="7">
        <f>SUM('流水记账'!F864:F878)</f>
      </c>
      <c r="F46" s="8">
        <f>E46-D46</f>
      </c>
      <c r="G46" s="8">
        <f>'按月汇总'!$B$2+SUM($F$3:F46)</f>
      </c>
      <c r="H46" t="inlineStr" s="13">
        <is>
          <t/>
        </is>
      </c>
    </row>
    <row r="47">
      <c r="A47" t="inlineStr" s="0">
        <is>
          <t>第45周</t>
        </is>
      </c>
      <c r="B47" t="n" s="6">
        <v>46482</v>
      </c>
      <c r="C47" t="n" s="6">
        <v>46488</v>
      </c>
      <c r="D47" s="7">
        <f>SUM('流水记账'!E884:E898)</f>
      </c>
      <c r="E47" s="7">
        <f>SUM('流水记账'!F884:F898)</f>
      </c>
      <c r="F47" s="8">
        <f>E47-D47</f>
      </c>
      <c r="G47" s="8">
        <f>'按月汇总'!$B$2+SUM($F$3:F47)</f>
      </c>
      <c r="H47" t="inlineStr" s="0">
        <is>
          <t/>
        </is>
      </c>
    </row>
    <row r="48">
      <c r="A48" t="inlineStr" s="13">
        <is>
          <t>第46周</t>
        </is>
      </c>
      <c r="B48" t="n" s="6">
        <v>46489</v>
      </c>
      <c r="C48" t="n" s="6">
        <v>46495</v>
      </c>
      <c r="D48" s="7">
        <f>SUM('流水记账'!E904:E918)</f>
      </c>
      <c r="E48" s="7">
        <f>SUM('流水记账'!F904:F918)</f>
      </c>
      <c r="F48" s="8">
        <f>E48-D48</f>
      </c>
      <c r="G48" s="8">
        <f>'按月汇总'!$B$2+SUM($F$3:F48)</f>
      </c>
      <c r="H48" t="inlineStr" s="13">
        <is>
          <t/>
        </is>
      </c>
    </row>
    <row r="49">
      <c r="A49" t="inlineStr" s="0">
        <is>
          <t>第47周</t>
        </is>
      </c>
      <c r="B49" t="n" s="6">
        <v>46496</v>
      </c>
      <c r="C49" t="n" s="6">
        <v>46502</v>
      </c>
      <c r="D49" s="7">
        <f>SUM('流水记账'!E924:E938)</f>
      </c>
      <c r="E49" s="7">
        <f>SUM('流水记账'!F924:F938)</f>
      </c>
      <c r="F49" s="8">
        <f>E49-D49</f>
      </c>
      <c r="G49" s="8">
        <f>'按月汇总'!$B$2+SUM($F$3:F49)</f>
      </c>
      <c r="H49" t="inlineStr" s="0">
        <is>
          <t/>
        </is>
      </c>
    </row>
    <row r="50">
      <c r="A50" t="inlineStr" s="13">
        <is>
          <t>第48周</t>
        </is>
      </c>
      <c r="B50" t="n" s="6">
        <v>46503</v>
      </c>
      <c r="C50" t="n" s="6">
        <v>46509</v>
      </c>
      <c r="D50" s="7">
        <f>SUM('流水记账'!E944:E958)</f>
      </c>
      <c r="E50" s="7">
        <f>SUM('流水记账'!F944:F958)</f>
      </c>
      <c r="F50" s="8">
        <f>E50-D50</f>
      </c>
      <c r="G50" s="8">
        <f>'按月汇总'!$B$2+SUM($F$3:F50)</f>
      </c>
      <c r="H50" t="inlineStr" s="13">
        <is>
          <t/>
        </is>
      </c>
    </row>
    <row r="51">
      <c r="A51" t="inlineStr" s="0">
        <is>
          <t>第49周</t>
        </is>
      </c>
      <c r="B51" t="n" s="6">
        <v>46510</v>
      </c>
      <c r="C51" t="n" s="6">
        <v>46516</v>
      </c>
      <c r="D51" s="7">
        <f>SUM('流水记账'!E964:E978)</f>
      </c>
      <c r="E51" s="7">
        <f>SUM('流水记账'!F964:F978)</f>
      </c>
      <c r="F51" s="8">
        <f>E51-D51</f>
      </c>
      <c r="G51" s="8">
        <f>'按月汇总'!$B$2+SUM($F$3:F51)</f>
      </c>
      <c r="H51" t="inlineStr" s="0">
        <is>
          <t/>
        </is>
      </c>
    </row>
    <row r="52">
      <c r="A52" t="inlineStr" s="13">
        <is>
          <t>第50周</t>
        </is>
      </c>
      <c r="B52" t="n" s="6">
        <v>46517</v>
      </c>
      <c r="C52" t="n" s="6">
        <v>46523</v>
      </c>
      <c r="D52" s="7">
        <f>SUM('流水记账'!E984:E998)</f>
      </c>
      <c r="E52" s="7">
        <f>SUM('流水记账'!F984:F998)</f>
      </c>
      <c r="F52" s="8">
        <f>E52-D52</f>
      </c>
      <c r="G52" s="8">
        <f>'按月汇总'!$B$2+SUM($F$3:F52)</f>
      </c>
      <c r="H52" t="inlineStr" s="13">
        <is>
          <t/>
        </is>
      </c>
    </row>
    <row r="53">
      <c r="A53" t="inlineStr" s="0">
        <is>
          <t>第51周</t>
        </is>
      </c>
      <c r="B53" t="n" s="6">
        <v>46524</v>
      </c>
      <c r="C53" t="n" s="6">
        <v>46530</v>
      </c>
      <c r="D53" s="7">
        <f>SUM('流水记账'!E1004:E1018)</f>
      </c>
      <c r="E53" s="7">
        <f>SUM('流水记账'!F1004:F1018)</f>
      </c>
      <c r="F53" s="8">
        <f>E53-D53</f>
      </c>
      <c r="G53" s="8">
        <f>'按月汇总'!$B$2+SUM($F$3:F53)</f>
      </c>
      <c r="H53" t="inlineStr" s="0">
        <is>
          <t/>
        </is>
      </c>
    </row>
    <row r="54">
      <c r="A54" t="inlineStr" s="13">
        <is>
          <t>第52周</t>
        </is>
      </c>
      <c r="B54" t="n" s="6">
        <v>46531</v>
      </c>
      <c r="C54" t="n" s="6">
        <v>46537</v>
      </c>
      <c r="D54" s="7">
        <f>SUM('流水记账'!E1024:E1038)</f>
      </c>
      <c r="E54" s="7">
        <f>SUM('流水记账'!F1024:F1038)</f>
      </c>
      <c r="F54" s="8">
        <f>E54-D54</f>
      </c>
      <c r="G54" s="8">
        <f>'按月汇总'!$B$2+SUM($F$3:F54)</f>
      </c>
      <c r="H54" t="inlineStr" s="13">
        <is>
          <t/>
        </is>
      </c>
    </row>
    <row r="55">
      <c r="A55" t="inlineStr" s="0">
        <is>
          <t>第53周</t>
        </is>
      </c>
      <c r="B55" t="n" s="6">
        <v>46538</v>
      </c>
      <c r="C55" t="n" s="6">
        <v>46544</v>
      </c>
      <c r="D55" s="7">
        <f>SUM('流水记账'!E1044:E1058)</f>
      </c>
      <c r="E55" s="7">
        <f>SUM('流水记账'!F1044:F1058)</f>
      </c>
      <c r="F55" s="8">
        <f>E55-D55</f>
      </c>
      <c r="G55" s="8">
        <f>'按月汇总'!$B$2+SUM($F$3:F55)</f>
      </c>
      <c r="H55" t="inlineStr" s="0">
        <is>
          <t/>
        </is>
      </c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ySplit="5" topLeftCell="A6" activePane="bottomLeft" state="frozen"/>
    </sheetView>
  </sheetViews>
  <cols>
    <col min="1" max="1" width="14" customWidth="1"/>
    <col min="2" max="2" width="14" customWidth="1"/>
    <col min="3" max="3" width="14" customWidth="1"/>
    <col min="4" max="4" width="14" customWidth="1"/>
    <col min="5" max="5" width="14" customWidth="1"/>
    <col min="6" max="6" width="28" customWidth="1"/>
  </cols>
  <sheetData>
    <row r="1">
      <c r="A1" t="inlineStr" s="11">
        <is>
          <t>按月汇总</t>
        </is>
      </c>
      <c r="B1" t="inlineStr" s="11">
        <is>
          <t/>
        </is>
      </c>
      <c r="C1" t="inlineStr" s="11">
        <is>
          <t/>
        </is>
      </c>
      <c r="D1" t="inlineStr" s="11">
        <is>
          <t/>
        </is>
      </c>
      <c r="E1" t="inlineStr" s="11">
        <is>
          <t/>
        </is>
      </c>
      <c r="F1" t="inlineStr" s="11">
        <is>
          <t/>
        </is>
      </c>
    </row>
    <row r="2">
      <c r="A2" t="inlineStr" s="15">
        <is>
          <t>起始余额</t>
        </is>
      </c>
      <c r="B2" t="n" s="16">
        <v>0</v>
      </c>
      <c r="C2" t="inlineStr" s="15">
        <is>
          <t>总支出</t>
        </is>
      </c>
      <c r="D2" s="16">
        <f>SUM(B6:B17)</f>
      </c>
      <c r="E2" t="inlineStr" s="15">
        <is>
          <t>总收入</t>
        </is>
      </c>
      <c r="F2" s="16">
        <f>SUM(C6:C17)</f>
      </c>
    </row>
    <row r="3">
      <c r="A3" t="inlineStr" s="15">
        <is>
          <t>总净额</t>
        </is>
      </c>
      <c r="B3" s="16">
        <f>SUM(D6:D17)</f>
      </c>
      <c r="C3" t="inlineStr" s="15">
        <is>
          <t>当前余额</t>
        </is>
      </c>
      <c r="D3" s="16">
        <f>B2+B3</f>
      </c>
      <c r="E3" t="inlineStr" s="0">
        <is>
          <t/>
        </is>
      </c>
      <c r="F3" t="inlineStr" s="0">
        <is>
          <t/>
        </is>
      </c>
    </row>
    <row r="4">
      <c r="A4" t="inlineStr" s="10">
        <is>
          <t/>
        </is>
      </c>
      <c r="B4" t="inlineStr" s="10">
        <is>
          <t/>
        </is>
      </c>
      <c r="C4" t="inlineStr" s="10">
        <is>
          <t/>
        </is>
      </c>
      <c r="D4" t="inlineStr" s="10">
        <is>
          <t/>
        </is>
      </c>
      <c r="E4" t="inlineStr" s="10">
        <is>
          <t/>
        </is>
      </c>
      <c r="F4" t="inlineStr" s="10">
        <is>
          <t/>
        </is>
      </c>
    </row>
    <row r="5">
      <c r="A5" t="inlineStr" s="12">
        <is>
          <t>月份</t>
        </is>
      </c>
      <c r="B5" t="inlineStr" s="12">
        <is>
          <t>支出合计</t>
        </is>
      </c>
      <c r="C5" t="inlineStr" s="12">
        <is>
          <t>收入合计</t>
        </is>
      </c>
      <c r="D5" t="inlineStr" s="12">
        <is>
          <t>本月净额</t>
        </is>
      </c>
      <c r="E5" t="inlineStr" s="12">
        <is>
          <t>累计余额</t>
        </is>
      </c>
      <c r="F5" t="inlineStr" s="12">
        <is>
          <t>备注</t>
        </is>
      </c>
    </row>
    <row r="6">
      <c r="A6" t="inlineStr" s="0">
        <is>
          <t>2026年6月</t>
        </is>
      </c>
      <c r="B6" s="7">
        <f>SUMIFS('流水记账'!E:E,'流水记账'!A:A,"&gt;="&amp;DATE(2026,6,1),'流水记账'!A:A,"&lt;"&amp;DATE(2026,7,1))</f>
      </c>
      <c r="C6" s="7">
        <f>SUMIFS('流水记账'!F:F,'流水记账'!A:A,"&gt;="&amp;DATE(2026,6,1),'流水记账'!A:A,"&lt;"&amp;DATE(2026,7,1))</f>
      </c>
      <c r="D6" s="8">
        <f>C6-B6</f>
      </c>
      <c r="E6" s="8">
        <f>$B$2+SUM($D$6:D6)</f>
      </c>
      <c r="F6" t="inlineStr" s="0">
        <is>
          <t/>
        </is>
      </c>
    </row>
    <row r="7">
      <c r="A7" t="inlineStr" s="13">
        <is>
          <t>2026年7月</t>
        </is>
      </c>
      <c r="B7" s="7">
        <f>SUMIFS('流水记账'!E:E,'流水记账'!A:A,"&gt;="&amp;DATE(2026,7,1),'流水记账'!A:A,"&lt;"&amp;DATE(2026,8,1))</f>
      </c>
      <c r="C7" s="7">
        <f>SUMIFS('流水记账'!F:F,'流水记账'!A:A,"&gt;="&amp;DATE(2026,7,1),'流水记账'!A:A,"&lt;"&amp;DATE(2026,8,1))</f>
      </c>
      <c r="D7" s="8">
        <f>C7-B7</f>
      </c>
      <c r="E7" s="8">
        <f>$B$2+SUM($D$6:D7)</f>
      </c>
      <c r="F7" t="inlineStr" s="13">
        <is>
          <t/>
        </is>
      </c>
    </row>
    <row r="8">
      <c r="A8" t="inlineStr" s="0">
        <is>
          <t>2026年8月</t>
        </is>
      </c>
      <c r="B8" s="7">
        <f>SUMIFS('流水记账'!E:E,'流水记账'!A:A,"&gt;="&amp;DATE(2026,8,1),'流水记账'!A:A,"&lt;"&amp;DATE(2026,9,1))</f>
      </c>
      <c r="C8" s="7">
        <f>SUMIFS('流水记账'!F:F,'流水记账'!A:A,"&gt;="&amp;DATE(2026,8,1),'流水记账'!A:A,"&lt;"&amp;DATE(2026,9,1))</f>
      </c>
      <c r="D8" s="8">
        <f>C8-B8</f>
      </c>
      <c r="E8" s="8">
        <f>$B$2+SUM($D$6:D8)</f>
      </c>
      <c r="F8" t="inlineStr" s="0">
        <is>
          <t/>
        </is>
      </c>
    </row>
    <row r="9">
      <c r="A9" t="inlineStr" s="13">
        <is>
          <t>2026年9月</t>
        </is>
      </c>
      <c r="B9" s="7">
        <f>SUMIFS('流水记账'!E:E,'流水记账'!A:A,"&gt;="&amp;DATE(2026,9,1),'流水记账'!A:A,"&lt;"&amp;DATE(2026,10,1))</f>
      </c>
      <c r="C9" s="7">
        <f>SUMIFS('流水记账'!F:F,'流水记账'!A:A,"&gt;="&amp;DATE(2026,9,1),'流水记账'!A:A,"&lt;"&amp;DATE(2026,10,1))</f>
      </c>
      <c r="D9" s="8">
        <f>C9-B9</f>
      </c>
      <c r="E9" s="8">
        <f>$B$2+SUM($D$6:D9)</f>
      </c>
      <c r="F9" t="inlineStr" s="13">
        <is>
          <t/>
        </is>
      </c>
    </row>
    <row r="10">
      <c r="A10" t="inlineStr" s="0">
        <is>
          <t>2026年10月</t>
        </is>
      </c>
      <c r="B10" s="7">
        <f>SUMIFS('流水记账'!E:E,'流水记账'!A:A,"&gt;="&amp;DATE(2026,10,1),'流水记账'!A:A,"&lt;"&amp;DATE(2026,11,1))</f>
      </c>
      <c r="C10" s="7">
        <f>SUMIFS('流水记账'!F:F,'流水记账'!A:A,"&gt;="&amp;DATE(2026,10,1),'流水记账'!A:A,"&lt;"&amp;DATE(2026,11,1))</f>
      </c>
      <c r="D10" s="8">
        <f>C10-B10</f>
      </c>
      <c r="E10" s="8">
        <f>$B$2+SUM($D$6:D10)</f>
      </c>
      <c r="F10" t="inlineStr" s="0">
        <is>
          <t/>
        </is>
      </c>
    </row>
    <row r="11">
      <c r="A11" t="inlineStr" s="13">
        <is>
          <t>2026年11月</t>
        </is>
      </c>
      <c r="B11" s="7">
        <f>SUMIFS('流水记账'!E:E,'流水记账'!A:A,"&gt;="&amp;DATE(2026,11,1),'流水记账'!A:A,"&lt;"&amp;DATE(2026,12,1))</f>
      </c>
      <c r="C11" s="7">
        <f>SUMIFS('流水记账'!F:F,'流水记账'!A:A,"&gt;="&amp;DATE(2026,11,1),'流水记账'!A:A,"&lt;"&amp;DATE(2026,12,1))</f>
      </c>
      <c r="D11" s="8">
        <f>C11-B11</f>
      </c>
      <c r="E11" s="8">
        <f>$B$2+SUM($D$6:D11)</f>
      </c>
      <c r="F11" t="inlineStr" s="13">
        <is>
          <t/>
        </is>
      </c>
    </row>
    <row r="12">
      <c r="A12" t="inlineStr" s="0">
        <is>
          <t>2026年12月</t>
        </is>
      </c>
      <c r="B12" s="7">
        <f>SUMIFS('流水记账'!E:E,'流水记账'!A:A,"&gt;="&amp;DATE(2026,12,1),'流水记账'!A:A,"&lt;"&amp;DATE(2027,1,1))</f>
      </c>
      <c r="C12" s="7">
        <f>SUMIFS('流水记账'!F:F,'流水记账'!A:A,"&gt;="&amp;DATE(2026,12,1),'流水记账'!A:A,"&lt;"&amp;DATE(2027,1,1))</f>
      </c>
      <c r="D12" s="8">
        <f>C12-B12</f>
      </c>
      <c r="E12" s="8">
        <f>$B$2+SUM($D$6:D12)</f>
      </c>
      <c r="F12" t="inlineStr" s="0">
        <is>
          <t/>
        </is>
      </c>
    </row>
    <row r="13">
      <c r="A13" t="inlineStr" s="13">
        <is>
          <t>2027年1月</t>
        </is>
      </c>
      <c r="B13" s="7">
        <f>SUMIFS('流水记账'!E:E,'流水记账'!A:A,"&gt;="&amp;DATE(2027,1,1),'流水记账'!A:A,"&lt;"&amp;DATE(2027,2,1))</f>
      </c>
      <c r="C13" s="7">
        <f>SUMIFS('流水记账'!F:F,'流水记账'!A:A,"&gt;="&amp;DATE(2027,1,1),'流水记账'!A:A,"&lt;"&amp;DATE(2027,2,1))</f>
      </c>
      <c r="D13" s="8">
        <f>C13-B13</f>
      </c>
      <c r="E13" s="8">
        <f>$B$2+SUM($D$6:D13)</f>
      </c>
      <c r="F13" t="inlineStr" s="13">
        <is>
          <t/>
        </is>
      </c>
    </row>
    <row r="14">
      <c r="A14" t="inlineStr" s="0">
        <is>
          <t>2027年2月</t>
        </is>
      </c>
      <c r="B14" s="7">
        <f>SUMIFS('流水记账'!E:E,'流水记账'!A:A,"&gt;="&amp;DATE(2027,2,1),'流水记账'!A:A,"&lt;"&amp;DATE(2027,3,1))</f>
      </c>
      <c r="C14" s="7">
        <f>SUMIFS('流水记账'!F:F,'流水记账'!A:A,"&gt;="&amp;DATE(2027,2,1),'流水记账'!A:A,"&lt;"&amp;DATE(2027,3,1))</f>
      </c>
      <c r="D14" s="8">
        <f>C14-B14</f>
      </c>
      <c r="E14" s="8">
        <f>$B$2+SUM($D$6:D14)</f>
      </c>
      <c r="F14" t="inlineStr" s="0">
        <is>
          <t/>
        </is>
      </c>
    </row>
    <row r="15">
      <c r="A15" t="inlineStr" s="13">
        <is>
          <t>2027年3月</t>
        </is>
      </c>
      <c r="B15" s="7">
        <f>SUMIFS('流水记账'!E:E,'流水记账'!A:A,"&gt;="&amp;DATE(2027,3,1),'流水记账'!A:A,"&lt;"&amp;DATE(2027,4,1))</f>
      </c>
      <c r="C15" s="7">
        <f>SUMIFS('流水记账'!F:F,'流水记账'!A:A,"&gt;="&amp;DATE(2027,3,1),'流水记账'!A:A,"&lt;"&amp;DATE(2027,4,1))</f>
      </c>
      <c r="D15" s="8">
        <f>C15-B15</f>
      </c>
      <c r="E15" s="8">
        <f>$B$2+SUM($D$6:D15)</f>
      </c>
      <c r="F15" t="inlineStr" s="13">
        <is>
          <t/>
        </is>
      </c>
    </row>
    <row r="16">
      <c r="A16" t="inlineStr" s="0">
        <is>
          <t>2027年4月</t>
        </is>
      </c>
      <c r="B16" s="7">
        <f>SUMIFS('流水记账'!E:E,'流水记账'!A:A,"&gt;="&amp;DATE(2027,4,1),'流水记账'!A:A,"&lt;"&amp;DATE(2027,5,1))</f>
      </c>
      <c r="C16" s="7">
        <f>SUMIFS('流水记账'!F:F,'流水记账'!A:A,"&gt;="&amp;DATE(2027,4,1),'流水记账'!A:A,"&lt;"&amp;DATE(2027,5,1))</f>
      </c>
      <c r="D16" s="8">
        <f>C16-B16</f>
      </c>
      <c r="E16" s="8">
        <f>$B$2+SUM($D$6:D16)</f>
      </c>
      <c r="F16" t="inlineStr" s="0">
        <is>
          <t/>
        </is>
      </c>
    </row>
    <row r="17">
      <c r="A17" t="inlineStr" s="13">
        <is>
          <t>2027年5月</t>
        </is>
      </c>
      <c r="B17" s="7">
        <f>SUMIFS('流水记账'!E:E,'流水记账'!A:A,"&gt;="&amp;DATE(2027,5,1),'流水记账'!A:A,"&lt;"&amp;DATE(2027,6,1))</f>
      </c>
      <c r="C17" s="7">
        <f>SUMIFS('流水记账'!F:F,'流水记账'!A:A,"&gt;="&amp;DATE(2027,5,1),'流水记账'!A:A,"&lt;"&amp;DATE(2027,6,1))</f>
      </c>
      <c r="D17" s="8">
        <f>C17-B17</f>
      </c>
      <c r="E17" s="8">
        <f>$B$2+SUM($D$6:D17)</f>
      </c>
      <c r="F17" t="inlineStr" s="13">
        <is>
          <t/>
        </is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1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</cols>
  <sheetData>
    <row r="1">
      <c r="A1" t="inlineStr" s="14">
        <is>
          <t>分类</t>
        </is>
      </c>
      <c r="B1" t="inlineStr" s="14">
        <is>
          <t>支付方式</t>
        </is>
      </c>
    </row>
    <row r="2">
      <c r="A2" t="inlineStr" s="5">
        <is>
          <t>餐饮</t>
        </is>
      </c>
      <c r="B2" t="inlineStr" s="5">
        <is>
          <t>微信</t>
        </is>
      </c>
    </row>
    <row r="3">
      <c r="A3" t="inlineStr" s="5">
        <is>
          <t>奶茶/咖啡</t>
        </is>
      </c>
      <c r="B3" t="inlineStr" s="5">
        <is>
          <t>支付宝</t>
        </is>
      </c>
    </row>
    <row r="4">
      <c r="A4" t="inlineStr" s="5">
        <is>
          <t>交通</t>
        </is>
      </c>
      <c r="B4" t="inlineStr" s="5">
        <is>
          <t>银行卡</t>
        </is>
      </c>
    </row>
    <row r="5">
      <c r="A5" t="inlineStr" s="5">
        <is>
          <t>购物</t>
        </is>
      </c>
      <c r="B5" t="inlineStr" s="5">
        <is>
          <t>现金</t>
        </is>
      </c>
    </row>
    <row r="6">
      <c r="A6" t="inlineStr" s="5">
        <is>
          <t>娱乐</t>
        </is>
      </c>
      <c r="B6" t="inlineStr" s="5">
        <is>
          <t>信用卡</t>
        </is>
      </c>
    </row>
    <row r="7">
      <c r="A7" t="inlineStr" s="5">
        <is>
          <t>生活用品</t>
        </is>
      </c>
      <c r="B7" t="inlineStr" s="5">
        <is>
          <t>其他</t>
        </is>
      </c>
    </row>
    <row r="8">
      <c r="A8" t="inlineStr" s="5">
        <is>
          <t>旅行</t>
        </is>
      </c>
      <c r="B8" t="inlineStr" s="5">
        <is>
          <t/>
        </is>
      </c>
    </row>
    <row r="9">
      <c r="A9" t="inlineStr" s="5">
        <is>
          <t>医疗</t>
        </is>
      </c>
      <c r="B9" t="inlineStr" s="5">
        <is>
          <t/>
        </is>
      </c>
    </row>
    <row r="10">
      <c r="A10" t="inlineStr" s="5">
        <is>
          <t>人情/礼物</t>
        </is>
      </c>
      <c r="B10" t="inlineStr" s="5">
        <is>
          <t/>
        </is>
      </c>
    </row>
    <row r="11">
      <c r="A11" t="inlineStr" s="5">
        <is>
          <t>房租/固定支出</t>
        </is>
      </c>
      <c r="B11" t="inlineStr" s="5">
        <is>
          <t/>
        </is>
      </c>
    </row>
    <row r="12">
      <c r="A12" t="inlineStr" s="5">
        <is>
          <t>家庭支出</t>
        </is>
      </c>
      <c r="B12" t="inlineStr" s="5">
        <is>
          <t/>
        </is>
      </c>
    </row>
    <row r="13">
      <c r="A13" t="inlineStr" s="5">
        <is>
          <t>其他</t>
        </is>
      </c>
      <c r="B13" t="inlineStr" s="5">
        <is>
          <t/>
        </is>
      </c>
    </row>
  </sheetData>
  <pageMargins left="0.7" right="0.7" top="0.75" bottom="0.75" header="0.3" footer="0.3"/>
</worksheet>
</file>